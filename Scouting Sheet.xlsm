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itoarai/Git/Scouting/"/>
    </mc:Choice>
  </mc:AlternateContent>
  <bookViews>
    <workbookView xWindow="0" yWindow="460" windowWidth="28800" windowHeight="17460" activeTab="1"/>
  </bookViews>
  <sheets>
    <sheet name="Data Input" sheetId="2" r:id="rId1"/>
    <sheet name="Unprocessed Data" sheetId="1" r:id="rId2"/>
    <sheet name="Processed Data" sheetId="3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" i="3" l="1"/>
  <c r="L3" i="3"/>
  <c r="N3" i="3"/>
  <c r="O3" i="3"/>
  <c r="P3" i="3"/>
  <c r="Q3" i="3"/>
  <c r="S3" i="3"/>
  <c r="R3" i="3"/>
  <c r="T3" i="3"/>
  <c r="U3" i="3"/>
  <c r="V3" i="3"/>
  <c r="W3" i="3"/>
  <c r="X3" i="3"/>
  <c r="Y3" i="3"/>
  <c r="M2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2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2" i="3"/>
  <c r="Q2" i="3"/>
  <c r="S2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2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2" i="3"/>
  <c r="W2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2" i="3"/>
  <c r="M4" i="3"/>
  <c r="Q4" i="3"/>
  <c r="S4" i="3"/>
  <c r="W4" i="3"/>
  <c r="M5" i="3"/>
  <c r="Q5" i="3"/>
  <c r="S5" i="3"/>
  <c r="W5" i="3"/>
  <c r="M6" i="3"/>
  <c r="Q6" i="3"/>
  <c r="S6" i="3"/>
  <c r="W6" i="3"/>
  <c r="M7" i="3"/>
  <c r="Q7" i="3"/>
  <c r="S7" i="3"/>
  <c r="W7" i="3"/>
  <c r="M8" i="3"/>
  <c r="Q8" i="3"/>
  <c r="S8" i="3"/>
  <c r="W8" i="3"/>
  <c r="M9" i="3"/>
  <c r="Q9" i="3"/>
  <c r="S9" i="3"/>
  <c r="W9" i="3"/>
  <c r="M10" i="3"/>
  <c r="Q10" i="3"/>
  <c r="S10" i="3"/>
  <c r="W10" i="3"/>
  <c r="M11" i="3"/>
  <c r="Q11" i="3"/>
  <c r="S11" i="3"/>
  <c r="W11" i="3"/>
  <c r="M12" i="3"/>
  <c r="Q12" i="3"/>
  <c r="S12" i="3"/>
  <c r="W12" i="3"/>
  <c r="M13" i="3"/>
  <c r="Q13" i="3"/>
  <c r="S13" i="3"/>
  <c r="W13" i="3"/>
  <c r="M14" i="3"/>
  <c r="Q14" i="3"/>
  <c r="S14" i="3"/>
  <c r="W14" i="3"/>
  <c r="M15" i="3"/>
  <c r="Q15" i="3"/>
  <c r="S15" i="3"/>
  <c r="W15" i="3"/>
  <c r="M16" i="3"/>
  <c r="Q16" i="3"/>
  <c r="S16" i="3"/>
  <c r="W16" i="3"/>
  <c r="M17" i="3"/>
  <c r="Q17" i="3"/>
  <c r="S17" i="3"/>
  <c r="W17" i="3"/>
  <c r="M18" i="3"/>
  <c r="Q18" i="3"/>
  <c r="S18" i="3"/>
  <c r="W18" i="3"/>
  <c r="M19" i="3"/>
  <c r="Q19" i="3"/>
  <c r="S19" i="3"/>
  <c r="W19" i="3"/>
  <c r="M20" i="3"/>
  <c r="Q20" i="3"/>
  <c r="S20" i="3"/>
  <c r="W20" i="3"/>
  <c r="M21" i="3"/>
  <c r="Q21" i="3"/>
  <c r="S21" i="3"/>
  <c r="W21" i="3"/>
  <c r="M22" i="3"/>
  <c r="Q22" i="3"/>
  <c r="S22" i="3"/>
  <c r="W22" i="3"/>
  <c r="M23" i="3"/>
  <c r="Q23" i="3"/>
  <c r="S23" i="3"/>
  <c r="W23" i="3"/>
  <c r="M24" i="3"/>
  <c r="Q24" i="3"/>
  <c r="S24" i="3"/>
  <c r="W24" i="3"/>
  <c r="M25" i="3"/>
  <c r="Q25" i="3"/>
  <c r="S25" i="3"/>
  <c r="W25" i="3"/>
  <c r="M26" i="3"/>
  <c r="Q26" i="3"/>
  <c r="S26" i="3"/>
  <c r="W26" i="3"/>
  <c r="M27" i="3"/>
  <c r="Q27" i="3"/>
  <c r="S27" i="3"/>
  <c r="W27" i="3"/>
  <c r="M28" i="3"/>
  <c r="Q28" i="3"/>
  <c r="S28" i="3"/>
  <c r="W28" i="3"/>
  <c r="M29" i="3"/>
  <c r="Q29" i="3"/>
  <c r="S29" i="3"/>
  <c r="W29" i="3"/>
  <c r="M30" i="3"/>
  <c r="Q30" i="3"/>
  <c r="S30" i="3"/>
  <c r="W30" i="3"/>
  <c r="M31" i="3"/>
  <c r="Q31" i="3"/>
  <c r="S31" i="3"/>
  <c r="W31" i="3"/>
  <c r="M32" i="3"/>
  <c r="Q32" i="3"/>
  <c r="S32" i="3"/>
  <c r="W32" i="3"/>
  <c r="M33" i="3"/>
  <c r="Q33" i="3"/>
  <c r="S33" i="3"/>
  <c r="W33" i="3"/>
  <c r="M34" i="3"/>
  <c r="Q34" i="3"/>
  <c r="S34" i="3"/>
  <c r="W34" i="3"/>
  <c r="M35" i="3"/>
  <c r="Q35" i="3"/>
  <c r="S35" i="3"/>
  <c r="W35" i="3"/>
  <c r="M36" i="3"/>
  <c r="Q36" i="3"/>
  <c r="S36" i="3"/>
  <c r="W36" i="3"/>
  <c r="M37" i="3"/>
  <c r="Q37" i="3"/>
  <c r="S37" i="3"/>
  <c r="W37" i="3"/>
  <c r="M38" i="3"/>
  <c r="Q38" i="3"/>
  <c r="S38" i="3"/>
  <c r="W38" i="3"/>
  <c r="M39" i="3"/>
  <c r="Q39" i="3"/>
  <c r="S39" i="3"/>
  <c r="W39" i="3"/>
  <c r="M40" i="3"/>
  <c r="Q40" i="3"/>
  <c r="S40" i="3"/>
  <c r="W40" i="3"/>
  <c r="M41" i="3"/>
  <c r="Q41" i="3"/>
  <c r="S41" i="3"/>
  <c r="W41" i="3"/>
  <c r="M42" i="3"/>
  <c r="Q42" i="3"/>
  <c r="S42" i="3"/>
  <c r="W42" i="3"/>
  <c r="M43" i="3"/>
  <c r="Q43" i="3"/>
  <c r="S43" i="3"/>
  <c r="W43" i="3"/>
  <c r="M44" i="3"/>
  <c r="Q44" i="3"/>
  <c r="S44" i="3"/>
  <c r="W44" i="3"/>
  <c r="M45" i="3"/>
  <c r="Q45" i="3"/>
  <c r="S45" i="3"/>
  <c r="W45" i="3"/>
  <c r="M46" i="3"/>
  <c r="Q46" i="3"/>
  <c r="S46" i="3"/>
  <c r="W46" i="3"/>
  <c r="M47" i="3"/>
  <c r="Q47" i="3"/>
  <c r="S47" i="3"/>
  <c r="W47" i="3"/>
  <c r="M48" i="3"/>
  <c r="Q48" i="3"/>
  <c r="S48" i="3"/>
  <c r="W48" i="3"/>
  <c r="M49" i="3"/>
  <c r="Q49" i="3"/>
  <c r="S49" i="3"/>
  <c r="W49" i="3"/>
  <c r="M50" i="3"/>
  <c r="Q50" i="3"/>
  <c r="S50" i="3"/>
  <c r="W50" i="3"/>
  <c r="M51" i="3"/>
  <c r="Q51" i="3"/>
  <c r="S51" i="3"/>
  <c r="W51" i="3"/>
  <c r="M52" i="3"/>
  <c r="Q52" i="3"/>
  <c r="S52" i="3"/>
  <c r="W52" i="3"/>
  <c r="M53" i="3"/>
  <c r="Q53" i="3"/>
  <c r="S53" i="3"/>
  <c r="W53" i="3"/>
  <c r="M54" i="3"/>
  <c r="Q54" i="3"/>
  <c r="S54" i="3"/>
  <c r="W54" i="3"/>
  <c r="M55" i="3"/>
  <c r="Q55" i="3"/>
  <c r="S55" i="3"/>
  <c r="W55" i="3"/>
  <c r="M56" i="3"/>
  <c r="Q56" i="3"/>
  <c r="S56" i="3"/>
  <c r="W56" i="3"/>
  <c r="M57" i="3"/>
  <c r="Q57" i="3"/>
  <c r="S57" i="3"/>
  <c r="W57" i="3"/>
  <c r="M58" i="3"/>
  <c r="Q58" i="3"/>
  <c r="S58" i="3"/>
  <c r="W58" i="3"/>
  <c r="M59" i="3"/>
  <c r="Q59" i="3"/>
  <c r="S59" i="3"/>
  <c r="W59" i="3"/>
  <c r="M60" i="3"/>
  <c r="Q60" i="3"/>
  <c r="S60" i="3"/>
  <c r="W60" i="3"/>
  <c r="M61" i="3"/>
  <c r="Q61" i="3"/>
  <c r="S61" i="3"/>
  <c r="W61" i="3"/>
  <c r="M62" i="3"/>
  <c r="Q62" i="3"/>
  <c r="S62" i="3"/>
  <c r="W62" i="3"/>
  <c r="M63" i="3"/>
  <c r="Q63" i="3"/>
  <c r="S63" i="3"/>
  <c r="W63" i="3"/>
  <c r="M64" i="3"/>
  <c r="Q64" i="3"/>
  <c r="S64" i="3"/>
  <c r="W64" i="3"/>
  <c r="M65" i="3"/>
  <c r="Q65" i="3"/>
  <c r="S65" i="3"/>
  <c r="W65" i="3"/>
  <c r="M66" i="3"/>
  <c r="Q66" i="3"/>
  <c r="S66" i="3"/>
  <c r="W66" i="3"/>
  <c r="M67" i="3"/>
  <c r="Q67" i="3"/>
  <c r="S67" i="3"/>
  <c r="W67" i="3"/>
  <c r="M68" i="3"/>
  <c r="Q68" i="3"/>
  <c r="S68" i="3"/>
  <c r="W68" i="3"/>
  <c r="M69" i="3"/>
  <c r="Q69" i="3"/>
  <c r="S69" i="3"/>
  <c r="W69" i="3"/>
  <c r="M70" i="3"/>
  <c r="Q70" i="3"/>
  <c r="S70" i="3"/>
  <c r="W70" i="3"/>
  <c r="M71" i="3"/>
  <c r="Q71" i="3"/>
  <c r="S71" i="3"/>
  <c r="W71" i="3"/>
  <c r="M72" i="3"/>
  <c r="Q72" i="3"/>
  <c r="S72" i="3"/>
  <c r="W72" i="3"/>
  <c r="M73" i="3"/>
  <c r="Q73" i="3"/>
  <c r="S73" i="3"/>
  <c r="W73" i="3"/>
  <c r="M74" i="3"/>
  <c r="Q74" i="3"/>
  <c r="S74" i="3"/>
  <c r="W74" i="3"/>
  <c r="M75" i="3"/>
  <c r="Q75" i="3"/>
  <c r="S75" i="3"/>
  <c r="W75" i="3"/>
  <c r="M76" i="3"/>
  <c r="Q76" i="3"/>
  <c r="S76" i="3"/>
  <c r="W76" i="3"/>
  <c r="M77" i="3"/>
  <c r="Q77" i="3"/>
  <c r="S77" i="3"/>
  <c r="W77" i="3"/>
  <c r="M78" i="3"/>
  <c r="Q78" i="3"/>
  <c r="S78" i="3"/>
  <c r="W78" i="3"/>
  <c r="M79" i="3"/>
  <c r="Q79" i="3"/>
  <c r="S79" i="3"/>
  <c r="W79" i="3"/>
  <c r="M80" i="3"/>
  <c r="Q80" i="3"/>
  <c r="S80" i="3"/>
  <c r="W80" i="3"/>
  <c r="M81" i="3"/>
  <c r="Q81" i="3"/>
  <c r="S81" i="3"/>
  <c r="W81" i="3"/>
  <c r="M82" i="3"/>
  <c r="Q82" i="3"/>
  <c r="S82" i="3"/>
  <c r="W82" i="3"/>
  <c r="M83" i="3"/>
  <c r="Q83" i="3"/>
  <c r="S83" i="3"/>
  <c r="W83" i="3"/>
  <c r="M84" i="3"/>
  <c r="Q84" i="3"/>
  <c r="S84" i="3"/>
  <c r="W84" i="3"/>
  <c r="M85" i="3"/>
  <c r="Q85" i="3"/>
  <c r="S85" i="3"/>
  <c r="W85" i="3"/>
  <c r="M86" i="3"/>
  <c r="Q86" i="3"/>
  <c r="S86" i="3"/>
  <c r="W86" i="3"/>
  <c r="M87" i="3"/>
  <c r="Q87" i="3"/>
  <c r="S87" i="3"/>
  <c r="W87" i="3"/>
  <c r="M88" i="3"/>
  <c r="Q88" i="3"/>
  <c r="S88" i="3"/>
  <c r="W88" i="3"/>
  <c r="M89" i="3"/>
  <c r="Q89" i="3"/>
  <c r="S89" i="3"/>
  <c r="W89" i="3"/>
  <c r="M90" i="3"/>
  <c r="Q90" i="3"/>
  <c r="S90" i="3"/>
  <c r="W90" i="3"/>
  <c r="M91" i="3"/>
  <c r="Q91" i="3"/>
  <c r="S91" i="3"/>
  <c r="W91" i="3"/>
  <c r="M92" i="3"/>
  <c r="Q92" i="3"/>
  <c r="S92" i="3"/>
  <c r="W92" i="3"/>
  <c r="M93" i="3"/>
  <c r="Q93" i="3"/>
  <c r="S93" i="3"/>
  <c r="W93" i="3"/>
  <c r="M94" i="3"/>
  <c r="Q94" i="3"/>
  <c r="S94" i="3"/>
  <c r="W94" i="3"/>
  <c r="M95" i="3"/>
  <c r="Q95" i="3"/>
  <c r="S95" i="3"/>
  <c r="W95" i="3"/>
  <c r="M96" i="3"/>
  <c r="Q96" i="3"/>
  <c r="S96" i="3"/>
  <c r="W96" i="3"/>
  <c r="M97" i="3"/>
  <c r="Q97" i="3"/>
  <c r="S97" i="3"/>
  <c r="W97" i="3"/>
  <c r="M98" i="3"/>
  <c r="Q98" i="3"/>
  <c r="S98" i="3"/>
  <c r="W98" i="3"/>
  <c r="M99" i="3"/>
  <c r="Q99" i="3"/>
  <c r="S99" i="3"/>
  <c r="W99" i="3"/>
  <c r="M100" i="3"/>
  <c r="Q100" i="3"/>
  <c r="S100" i="3"/>
  <c r="W100" i="3"/>
  <c r="M101" i="3"/>
  <c r="Q101" i="3"/>
  <c r="S101" i="3"/>
  <c r="W101" i="3"/>
  <c r="M102" i="3"/>
  <c r="Q102" i="3"/>
  <c r="S102" i="3"/>
  <c r="W102" i="3"/>
  <c r="M103" i="3"/>
  <c r="Q103" i="3"/>
  <c r="S103" i="3"/>
  <c r="W103" i="3"/>
  <c r="M104" i="3"/>
  <c r="Q104" i="3"/>
  <c r="S104" i="3"/>
  <c r="W104" i="3"/>
  <c r="M105" i="3"/>
  <c r="Q105" i="3"/>
  <c r="S105" i="3"/>
  <c r="W105" i="3"/>
  <c r="M106" i="3"/>
  <c r="Q106" i="3"/>
  <c r="S106" i="3"/>
  <c r="W106" i="3"/>
  <c r="M107" i="3"/>
  <c r="Q107" i="3"/>
  <c r="S107" i="3"/>
  <c r="W107" i="3"/>
  <c r="M108" i="3"/>
  <c r="Q108" i="3"/>
  <c r="S108" i="3"/>
  <c r="W108" i="3"/>
  <c r="M109" i="3"/>
  <c r="Q109" i="3"/>
  <c r="S109" i="3"/>
  <c r="W109" i="3"/>
  <c r="M110" i="3"/>
  <c r="Q110" i="3"/>
  <c r="S110" i="3"/>
  <c r="W110" i="3"/>
  <c r="M111" i="3"/>
  <c r="Q111" i="3"/>
  <c r="S111" i="3"/>
  <c r="W111" i="3"/>
  <c r="M112" i="3"/>
  <c r="Q112" i="3"/>
  <c r="S112" i="3"/>
  <c r="W112" i="3"/>
  <c r="M113" i="3"/>
  <c r="Q113" i="3"/>
  <c r="S113" i="3"/>
  <c r="W113" i="3"/>
  <c r="M114" i="3"/>
  <c r="Q114" i="3"/>
  <c r="S114" i="3"/>
  <c r="W114" i="3"/>
  <c r="M115" i="3"/>
  <c r="Q115" i="3"/>
  <c r="S115" i="3"/>
  <c r="W115" i="3"/>
  <c r="M116" i="3"/>
  <c r="Q116" i="3"/>
  <c r="S116" i="3"/>
  <c r="W116" i="3"/>
  <c r="M117" i="3"/>
  <c r="Q117" i="3"/>
  <c r="S117" i="3"/>
  <c r="W117" i="3"/>
  <c r="M118" i="3"/>
  <c r="Q118" i="3"/>
  <c r="S118" i="3"/>
  <c r="W118" i="3"/>
  <c r="M119" i="3"/>
  <c r="Q119" i="3"/>
  <c r="S119" i="3"/>
  <c r="W119" i="3"/>
  <c r="M120" i="3"/>
  <c r="Q120" i="3"/>
  <c r="S120" i="3"/>
  <c r="W120" i="3"/>
  <c r="M121" i="3"/>
  <c r="Q121" i="3"/>
  <c r="S121" i="3"/>
  <c r="W121" i="3"/>
  <c r="M122" i="3"/>
  <c r="Q122" i="3"/>
  <c r="S122" i="3"/>
  <c r="W122" i="3"/>
  <c r="M123" i="3"/>
  <c r="Q123" i="3"/>
  <c r="S123" i="3"/>
  <c r="W123" i="3"/>
  <c r="M124" i="3"/>
  <c r="Q124" i="3"/>
  <c r="S124" i="3"/>
  <c r="W124" i="3"/>
  <c r="M125" i="3"/>
  <c r="Q125" i="3"/>
  <c r="S125" i="3"/>
  <c r="W125" i="3"/>
  <c r="M126" i="3"/>
  <c r="Q126" i="3"/>
  <c r="S126" i="3"/>
  <c r="W126" i="3"/>
  <c r="M127" i="3"/>
  <c r="Q127" i="3"/>
  <c r="S127" i="3"/>
  <c r="W127" i="3"/>
  <c r="M128" i="3"/>
  <c r="Q128" i="3"/>
  <c r="S128" i="3"/>
  <c r="W128" i="3"/>
  <c r="M129" i="3"/>
  <c r="Q129" i="3"/>
  <c r="S129" i="3"/>
  <c r="W129" i="3"/>
  <c r="M130" i="3"/>
  <c r="Q130" i="3"/>
  <c r="S130" i="3"/>
  <c r="W130" i="3"/>
  <c r="M131" i="3"/>
  <c r="Q131" i="3"/>
  <c r="S131" i="3"/>
  <c r="W131" i="3"/>
  <c r="M132" i="3"/>
  <c r="Q132" i="3"/>
  <c r="S132" i="3"/>
  <c r="W132" i="3"/>
  <c r="M133" i="3"/>
  <c r="Q133" i="3"/>
  <c r="S133" i="3"/>
  <c r="W133" i="3"/>
  <c r="M134" i="3"/>
  <c r="Q134" i="3"/>
  <c r="S134" i="3"/>
  <c r="W134" i="3"/>
  <c r="M135" i="3"/>
  <c r="Q135" i="3"/>
  <c r="S135" i="3"/>
  <c r="W135" i="3"/>
  <c r="M136" i="3"/>
  <c r="Q136" i="3"/>
  <c r="S136" i="3"/>
  <c r="W136" i="3"/>
  <c r="M137" i="3"/>
  <c r="Q137" i="3"/>
  <c r="S137" i="3"/>
  <c r="W137" i="3"/>
  <c r="M138" i="3"/>
  <c r="Q138" i="3"/>
  <c r="S138" i="3"/>
  <c r="W138" i="3"/>
  <c r="M139" i="3"/>
  <c r="Q139" i="3"/>
  <c r="S139" i="3"/>
  <c r="W139" i="3"/>
  <c r="M140" i="3"/>
  <c r="Q140" i="3"/>
  <c r="S140" i="3"/>
  <c r="W140" i="3"/>
  <c r="M141" i="3"/>
  <c r="Q141" i="3"/>
  <c r="S141" i="3"/>
  <c r="W141" i="3"/>
  <c r="M142" i="3"/>
  <c r="Q142" i="3"/>
  <c r="S142" i="3"/>
  <c r="W142" i="3"/>
  <c r="M143" i="3"/>
  <c r="Q143" i="3"/>
  <c r="S143" i="3"/>
  <c r="W143" i="3"/>
  <c r="M144" i="3"/>
  <c r="Q144" i="3"/>
  <c r="S144" i="3"/>
  <c r="W144" i="3"/>
  <c r="M145" i="3"/>
  <c r="Q145" i="3"/>
  <c r="S145" i="3"/>
  <c r="W145" i="3"/>
  <c r="M146" i="3"/>
  <c r="Q146" i="3"/>
  <c r="S146" i="3"/>
  <c r="W146" i="3"/>
  <c r="M147" i="3"/>
  <c r="Q147" i="3"/>
  <c r="S147" i="3"/>
  <c r="W147" i="3"/>
  <c r="M148" i="3"/>
  <c r="Q148" i="3"/>
  <c r="S148" i="3"/>
  <c r="W148" i="3"/>
  <c r="M149" i="3"/>
  <c r="Q149" i="3"/>
  <c r="S149" i="3"/>
  <c r="W149" i="3"/>
  <c r="M150" i="3"/>
  <c r="Q150" i="3"/>
  <c r="S150" i="3"/>
  <c r="W150" i="3"/>
  <c r="M151" i="3"/>
  <c r="Q151" i="3"/>
  <c r="S151" i="3"/>
  <c r="W151" i="3"/>
  <c r="M152" i="3"/>
  <c r="Q152" i="3"/>
  <c r="S152" i="3"/>
  <c r="W152" i="3"/>
  <c r="M153" i="3"/>
  <c r="Q153" i="3"/>
  <c r="S153" i="3"/>
  <c r="W153" i="3"/>
  <c r="M154" i="3"/>
  <c r="Q154" i="3"/>
  <c r="S154" i="3"/>
  <c r="W154" i="3"/>
  <c r="M155" i="3"/>
  <c r="Q155" i="3"/>
  <c r="S155" i="3"/>
  <c r="W155" i="3"/>
  <c r="M156" i="3"/>
  <c r="Q156" i="3"/>
  <c r="S156" i="3"/>
  <c r="W156" i="3"/>
  <c r="M157" i="3"/>
  <c r="Q157" i="3"/>
  <c r="S157" i="3"/>
  <c r="W157" i="3"/>
  <c r="M158" i="3"/>
  <c r="Q158" i="3"/>
  <c r="S158" i="3"/>
  <c r="W158" i="3"/>
  <c r="M159" i="3"/>
  <c r="Q159" i="3"/>
  <c r="S159" i="3"/>
  <c r="W159" i="3"/>
  <c r="M160" i="3"/>
  <c r="Q160" i="3"/>
  <c r="S160" i="3"/>
  <c r="W160" i="3"/>
  <c r="M161" i="3"/>
  <c r="Q161" i="3"/>
  <c r="S161" i="3"/>
  <c r="W161" i="3"/>
  <c r="M162" i="3"/>
  <c r="Q162" i="3"/>
  <c r="S162" i="3"/>
  <c r="W162" i="3"/>
  <c r="M163" i="3"/>
  <c r="Q163" i="3"/>
  <c r="S163" i="3"/>
  <c r="W163" i="3"/>
  <c r="M164" i="3"/>
  <c r="Q164" i="3"/>
  <c r="S164" i="3"/>
  <c r="W164" i="3"/>
  <c r="M165" i="3"/>
  <c r="Q165" i="3"/>
  <c r="S165" i="3"/>
  <c r="W165" i="3"/>
  <c r="M166" i="3"/>
  <c r="Q166" i="3"/>
  <c r="S166" i="3"/>
  <c r="W166" i="3"/>
  <c r="M167" i="3"/>
  <c r="Q167" i="3"/>
  <c r="S167" i="3"/>
  <c r="W167" i="3"/>
  <c r="M168" i="3"/>
  <c r="Q168" i="3"/>
  <c r="S168" i="3"/>
  <c r="W168" i="3"/>
  <c r="M169" i="3"/>
  <c r="Q169" i="3"/>
  <c r="S169" i="3"/>
  <c r="W169" i="3"/>
  <c r="M170" i="3"/>
  <c r="Q170" i="3"/>
  <c r="S170" i="3"/>
  <c r="W170" i="3"/>
  <c r="M171" i="3"/>
  <c r="Q171" i="3"/>
  <c r="S171" i="3"/>
  <c r="W171" i="3"/>
  <c r="M172" i="3"/>
  <c r="Q172" i="3"/>
  <c r="S172" i="3"/>
  <c r="W172" i="3"/>
  <c r="M173" i="3"/>
  <c r="Q173" i="3"/>
  <c r="S173" i="3"/>
  <c r="W173" i="3"/>
  <c r="M174" i="3"/>
  <c r="Q174" i="3"/>
  <c r="S174" i="3"/>
  <c r="W174" i="3"/>
  <c r="M175" i="3"/>
  <c r="Q175" i="3"/>
  <c r="S175" i="3"/>
  <c r="W175" i="3"/>
  <c r="M176" i="3"/>
  <c r="Q176" i="3"/>
  <c r="S176" i="3"/>
  <c r="W176" i="3"/>
  <c r="M177" i="3"/>
  <c r="Q177" i="3"/>
  <c r="S177" i="3"/>
  <c r="W177" i="3"/>
  <c r="M178" i="3"/>
  <c r="Q178" i="3"/>
  <c r="S178" i="3"/>
  <c r="W178" i="3"/>
  <c r="M179" i="3"/>
  <c r="Q179" i="3"/>
  <c r="S179" i="3"/>
  <c r="W179" i="3"/>
  <c r="M180" i="3"/>
  <c r="Q180" i="3"/>
  <c r="S180" i="3"/>
  <c r="W180" i="3"/>
  <c r="M181" i="3"/>
  <c r="Q181" i="3"/>
  <c r="S181" i="3"/>
  <c r="W181" i="3"/>
  <c r="M182" i="3"/>
  <c r="Q182" i="3"/>
  <c r="S182" i="3"/>
  <c r="W182" i="3"/>
  <c r="M183" i="3"/>
  <c r="Q183" i="3"/>
  <c r="S183" i="3"/>
  <c r="W183" i="3"/>
  <c r="M184" i="3"/>
  <c r="Q184" i="3"/>
  <c r="S184" i="3"/>
  <c r="W184" i="3"/>
  <c r="M185" i="3"/>
  <c r="Q185" i="3"/>
  <c r="S185" i="3"/>
  <c r="W185" i="3"/>
  <c r="M186" i="3"/>
  <c r="Q186" i="3"/>
  <c r="S186" i="3"/>
  <c r="W186" i="3"/>
  <c r="M187" i="3"/>
  <c r="Q187" i="3"/>
  <c r="S187" i="3"/>
  <c r="W187" i="3"/>
  <c r="M188" i="3"/>
  <c r="Q188" i="3"/>
  <c r="S188" i="3"/>
  <c r="W188" i="3"/>
  <c r="M189" i="3"/>
  <c r="Q189" i="3"/>
  <c r="S189" i="3"/>
  <c r="W189" i="3"/>
  <c r="M190" i="3"/>
  <c r="Q190" i="3"/>
  <c r="S190" i="3"/>
  <c r="W190" i="3"/>
  <c r="M191" i="3"/>
  <c r="Q191" i="3"/>
  <c r="S191" i="3"/>
  <c r="W191" i="3"/>
  <c r="M192" i="3"/>
  <c r="Q192" i="3"/>
  <c r="S192" i="3"/>
  <c r="W192" i="3"/>
  <c r="M193" i="3"/>
  <c r="Q193" i="3"/>
  <c r="S193" i="3"/>
  <c r="W193" i="3"/>
  <c r="M194" i="3"/>
  <c r="Q194" i="3"/>
  <c r="S194" i="3"/>
  <c r="W194" i="3"/>
  <c r="M195" i="3"/>
  <c r="Q195" i="3"/>
  <c r="S195" i="3"/>
  <c r="W195" i="3"/>
  <c r="M196" i="3"/>
  <c r="Q196" i="3"/>
  <c r="S196" i="3"/>
  <c r="W196" i="3"/>
  <c r="M197" i="3"/>
  <c r="Q197" i="3"/>
  <c r="S197" i="3"/>
  <c r="W197" i="3"/>
  <c r="M198" i="3"/>
  <c r="Q198" i="3"/>
  <c r="S198" i="3"/>
  <c r="W198" i="3"/>
  <c r="M199" i="3"/>
  <c r="Q199" i="3"/>
  <c r="S199" i="3"/>
  <c r="W199" i="3"/>
  <c r="M200" i="3"/>
  <c r="Q200" i="3"/>
  <c r="S200" i="3"/>
  <c r="W200" i="3"/>
  <c r="M201" i="3"/>
  <c r="Q201" i="3"/>
  <c r="S201" i="3"/>
  <c r="W201" i="3"/>
  <c r="M202" i="3"/>
  <c r="Q202" i="3"/>
  <c r="S202" i="3"/>
  <c r="W202" i="3"/>
  <c r="M203" i="3"/>
  <c r="Q203" i="3"/>
  <c r="S203" i="3"/>
  <c r="W203" i="3"/>
  <c r="M204" i="3"/>
  <c r="Q204" i="3"/>
  <c r="S204" i="3"/>
  <c r="W204" i="3"/>
  <c r="M205" i="3"/>
  <c r="Q205" i="3"/>
  <c r="S205" i="3"/>
  <c r="W205" i="3"/>
  <c r="M206" i="3"/>
  <c r="Q206" i="3"/>
  <c r="S206" i="3"/>
  <c r="W206" i="3"/>
  <c r="M207" i="3"/>
  <c r="Q207" i="3"/>
  <c r="S207" i="3"/>
  <c r="W207" i="3"/>
  <c r="M208" i="3"/>
  <c r="Q208" i="3"/>
  <c r="S208" i="3"/>
  <c r="W208" i="3"/>
  <c r="M209" i="3"/>
  <c r="Q209" i="3"/>
  <c r="S209" i="3"/>
  <c r="W209" i="3"/>
  <c r="M210" i="3"/>
  <c r="Q210" i="3"/>
  <c r="S210" i="3"/>
  <c r="W210" i="3"/>
  <c r="M211" i="3"/>
  <c r="Q211" i="3"/>
  <c r="S211" i="3"/>
  <c r="W211" i="3"/>
  <c r="M212" i="3"/>
  <c r="Q212" i="3"/>
  <c r="S212" i="3"/>
  <c r="W212" i="3"/>
  <c r="M213" i="3"/>
  <c r="Q213" i="3"/>
  <c r="S213" i="3"/>
  <c r="W213" i="3"/>
  <c r="M214" i="3"/>
  <c r="Q214" i="3"/>
  <c r="S214" i="3"/>
  <c r="W214" i="3"/>
  <c r="M215" i="3"/>
  <c r="Q215" i="3"/>
  <c r="S215" i="3"/>
  <c r="W215" i="3"/>
  <c r="M216" i="3"/>
  <c r="Q216" i="3"/>
  <c r="S216" i="3"/>
  <c r="W216" i="3"/>
  <c r="M217" i="3"/>
  <c r="Q217" i="3"/>
  <c r="S217" i="3"/>
  <c r="W217" i="3"/>
  <c r="M218" i="3"/>
  <c r="Q218" i="3"/>
  <c r="S218" i="3"/>
  <c r="W218" i="3"/>
  <c r="M219" i="3"/>
  <c r="Q219" i="3"/>
  <c r="S219" i="3"/>
  <c r="W219" i="3"/>
  <c r="M220" i="3"/>
  <c r="Q220" i="3"/>
  <c r="S220" i="3"/>
  <c r="W220" i="3"/>
  <c r="M221" i="3"/>
  <c r="Q221" i="3"/>
  <c r="S221" i="3"/>
  <c r="W221" i="3"/>
  <c r="M222" i="3"/>
  <c r="Q222" i="3"/>
  <c r="S222" i="3"/>
  <c r="W222" i="3"/>
  <c r="M223" i="3"/>
  <c r="Q223" i="3"/>
  <c r="S223" i="3"/>
  <c r="W223" i="3"/>
  <c r="M224" i="3"/>
  <c r="Q224" i="3"/>
  <c r="S224" i="3"/>
  <c r="W224" i="3"/>
  <c r="M225" i="3"/>
  <c r="Q225" i="3"/>
  <c r="S225" i="3"/>
  <c r="W225" i="3"/>
  <c r="M226" i="3"/>
  <c r="Q226" i="3"/>
  <c r="S226" i="3"/>
  <c r="W226" i="3"/>
  <c r="M227" i="3"/>
  <c r="Q227" i="3"/>
  <c r="S227" i="3"/>
  <c r="W227" i="3"/>
  <c r="M228" i="3"/>
  <c r="Q228" i="3"/>
  <c r="S228" i="3"/>
  <c r="W228" i="3"/>
  <c r="M229" i="3"/>
  <c r="Q229" i="3"/>
  <c r="S229" i="3"/>
  <c r="W229" i="3"/>
  <c r="M230" i="3"/>
  <c r="Q230" i="3"/>
  <c r="S230" i="3"/>
  <c r="W230" i="3"/>
  <c r="M231" i="3"/>
  <c r="Q231" i="3"/>
  <c r="S231" i="3"/>
  <c r="W231" i="3"/>
  <c r="M232" i="3"/>
  <c r="Q232" i="3"/>
  <c r="S232" i="3"/>
  <c r="W232" i="3"/>
  <c r="M233" i="3"/>
  <c r="Q233" i="3"/>
  <c r="S233" i="3"/>
  <c r="W233" i="3"/>
  <c r="M234" i="3"/>
  <c r="Q234" i="3"/>
  <c r="S234" i="3"/>
  <c r="W234" i="3"/>
  <c r="M235" i="3"/>
  <c r="Q235" i="3"/>
  <c r="S235" i="3"/>
  <c r="W235" i="3"/>
  <c r="M236" i="3"/>
  <c r="Q236" i="3"/>
  <c r="S236" i="3"/>
  <c r="W236" i="3"/>
  <c r="M237" i="3"/>
  <c r="Q237" i="3"/>
  <c r="S237" i="3"/>
  <c r="W237" i="3"/>
  <c r="M238" i="3"/>
  <c r="Q238" i="3"/>
  <c r="S238" i="3"/>
  <c r="W238" i="3"/>
  <c r="M239" i="3"/>
  <c r="Q239" i="3"/>
  <c r="S239" i="3"/>
  <c r="W239" i="3"/>
  <c r="M240" i="3"/>
  <c r="Q240" i="3"/>
  <c r="S240" i="3"/>
  <c r="W240" i="3"/>
  <c r="M241" i="3"/>
  <c r="Q241" i="3"/>
  <c r="S241" i="3"/>
  <c r="W241" i="3"/>
  <c r="M242" i="3"/>
  <c r="Q242" i="3"/>
  <c r="S242" i="3"/>
  <c r="W242" i="3"/>
  <c r="M243" i="3"/>
  <c r="Q243" i="3"/>
  <c r="S243" i="3"/>
  <c r="W243" i="3"/>
  <c r="M244" i="3"/>
  <c r="Q244" i="3"/>
  <c r="S244" i="3"/>
  <c r="W244" i="3"/>
  <c r="M245" i="3"/>
  <c r="Q245" i="3"/>
  <c r="S245" i="3"/>
  <c r="W245" i="3"/>
  <c r="M246" i="3"/>
  <c r="Q246" i="3"/>
  <c r="S246" i="3"/>
  <c r="W246" i="3"/>
  <c r="M247" i="3"/>
  <c r="Q247" i="3"/>
  <c r="S247" i="3"/>
  <c r="W247" i="3"/>
  <c r="M248" i="3"/>
  <c r="Q248" i="3"/>
  <c r="S248" i="3"/>
  <c r="W248" i="3"/>
  <c r="M249" i="3"/>
  <c r="Q249" i="3"/>
  <c r="S249" i="3"/>
  <c r="W249" i="3"/>
  <c r="M250" i="3"/>
  <c r="Q250" i="3"/>
  <c r="S250" i="3"/>
  <c r="W250" i="3"/>
  <c r="M251" i="3"/>
  <c r="Q251" i="3"/>
  <c r="S251" i="3"/>
  <c r="W251" i="3"/>
  <c r="M252" i="3"/>
  <c r="Q252" i="3"/>
  <c r="S252" i="3"/>
  <c r="W252" i="3"/>
  <c r="M253" i="3"/>
  <c r="Q253" i="3"/>
  <c r="S253" i="3"/>
  <c r="W253" i="3"/>
  <c r="M254" i="3"/>
  <c r="Q254" i="3"/>
  <c r="S254" i="3"/>
  <c r="W254" i="3"/>
  <c r="M255" i="3"/>
  <c r="Q255" i="3"/>
  <c r="S255" i="3"/>
  <c r="W255" i="3"/>
  <c r="M256" i="3"/>
  <c r="Q256" i="3"/>
  <c r="S256" i="3"/>
  <c r="W256" i="3"/>
  <c r="M257" i="3"/>
  <c r="Q257" i="3"/>
  <c r="S257" i="3"/>
  <c r="W257" i="3"/>
  <c r="M258" i="3"/>
  <c r="Q258" i="3"/>
  <c r="S258" i="3"/>
  <c r="W258" i="3"/>
  <c r="M259" i="3"/>
  <c r="Q259" i="3"/>
  <c r="S259" i="3"/>
  <c r="W259" i="3"/>
  <c r="M260" i="3"/>
  <c r="Q260" i="3"/>
  <c r="S260" i="3"/>
  <c r="W260" i="3"/>
  <c r="M261" i="3"/>
  <c r="Q261" i="3"/>
  <c r="S261" i="3"/>
  <c r="W261" i="3"/>
  <c r="M262" i="3"/>
  <c r="Q262" i="3"/>
  <c r="S262" i="3"/>
  <c r="W262" i="3"/>
  <c r="M263" i="3"/>
  <c r="Q263" i="3"/>
  <c r="S263" i="3"/>
  <c r="W263" i="3"/>
  <c r="M264" i="3"/>
  <c r="Q264" i="3"/>
  <c r="S264" i="3"/>
  <c r="W264" i="3"/>
  <c r="M265" i="3"/>
  <c r="Q265" i="3"/>
  <c r="S265" i="3"/>
  <c r="W265" i="3"/>
  <c r="M266" i="3"/>
  <c r="Q266" i="3"/>
  <c r="S266" i="3"/>
  <c r="W266" i="3"/>
  <c r="M267" i="3"/>
  <c r="Q267" i="3"/>
  <c r="S267" i="3"/>
  <c r="W267" i="3"/>
  <c r="M268" i="3"/>
  <c r="Q268" i="3"/>
  <c r="S268" i="3"/>
  <c r="W268" i="3"/>
  <c r="M269" i="3"/>
  <c r="Q269" i="3"/>
  <c r="S269" i="3"/>
  <c r="W269" i="3"/>
  <c r="M270" i="3"/>
  <c r="Q270" i="3"/>
  <c r="S270" i="3"/>
  <c r="W270" i="3"/>
  <c r="M271" i="3"/>
  <c r="Q271" i="3"/>
  <c r="S271" i="3"/>
  <c r="W271" i="3"/>
  <c r="M272" i="3"/>
  <c r="Q272" i="3"/>
  <c r="S272" i="3"/>
  <c r="W272" i="3"/>
  <c r="M273" i="3"/>
  <c r="Q273" i="3"/>
  <c r="S273" i="3"/>
  <c r="W273" i="3"/>
  <c r="M274" i="3"/>
  <c r="Q274" i="3"/>
  <c r="S274" i="3"/>
  <c r="W274" i="3"/>
  <c r="M275" i="3"/>
  <c r="Q275" i="3"/>
  <c r="S275" i="3"/>
  <c r="W275" i="3"/>
  <c r="M276" i="3"/>
  <c r="Q276" i="3"/>
  <c r="S276" i="3"/>
  <c r="W276" i="3"/>
  <c r="M277" i="3"/>
  <c r="Q277" i="3"/>
  <c r="S277" i="3"/>
  <c r="W277" i="3"/>
  <c r="M278" i="3"/>
  <c r="Q278" i="3"/>
  <c r="S278" i="3"/>
  <c r="W278" i="3"/>
  <c r="M279" i="3"/>
  <c r="Q279" i="3"/>
  <c r="S279" i="3"/>
  <c r="W279" i="3"/>
  <c r="M280" i="3"/>
  <c r="Q280" i="3"/>
  <c r="S280" i="3"/>
  <c r="W280" i="3"/>
  <c r="M281" i="3"/>
  <c r="Q281" i="3"/>
  <c r="S281" i="3"/>
  <c r="W281" i="3"/>
  <c r="M282" i="3"/>
  <c r="Q282" i="3"/>
  <c r="S282" i="3"/>
  <c r="W282" i="3"/>
  <c r="M283" i="3"/>
  <c r="Q283" i="3"/>
  <c r="S283" i="3"/>
  <c r="W283" i="3"/>
  <c r="M284" i="3"/>
  <c r="Q284" i="3"/>
  <c r="S284" i="3"/>
  <c r="W284" i="3"/>
  <c r="M285" i="3"/>
  <c r="Q285" i="3"/>
  <c r="S285" i="3"/>
  <c r="W285" i="3"/>
  <c r="M286" i="3"/>
  <c r="Q286" i="3"/>
  <c r="S286" i="3"/>
  <c r="W286" i="3"/>
  <c r="M287" i="3"/>
  <c r="Q287" i="3"/>
  <c r="S287" i="3"/>
  <c r="W287" i="3"/>
  <c r="M288" i="3"/>
  <c r="Q288" i="3"/>
  <c r="S288" i="3"/>
  <c r="W288" i="3"/>
  <c r="M289" i="3"/>
  <c r="Q289" i="3"/>
  <c r="S289" i="3"/>
  <c r="W289" i="3"/>
  <c r="M290" i="3"/>
  <c r="Q290" i="3"/>
  <c r="S290" i="3"/>
  <c r="W290" i="3"/>
  <c r="M291" i="3"/>
  <c r="Q291" i="3"/>
  <c r="S291" i="3"/>
  <c r="W291" i="3"/>
  <c r="M292" i="3"/>
  <c r="Q292" i="3"/>
  <c r="S292" i="3"/>
  <c r="W292" i="3"/>
  <c r="M293" i="3"/>
  <c r="Q293" i="3"/>
  <c r="S293" i="3"/>
  <c r="W293" i="3"/>
  <c r="M294" i="3"/>
  <c r="Q294" i="3"/>
  <c r="S294" i="3"/>
  <c r="W294" i="3"/>
  <c r="M295" i="3"/>
  <c r="Q295" i="3"/>
  <c r="S295" i="3"/>
  <c r="W295" i="3"/>
  <c r="M296" i="3"/>
  <c r="Q296" i="3"/>
  <c r="S296" i="3"/>
  <c r="W296" i="3"/>
  <c r="M297" i="3"/>
  <c r="Q297" i="3"/>
  <c r="S297" i="3"/>
  <c r="W297" i="3"/>
  <c r="M298" i="3"/>
  <c r="Q298" i="3"/>
  <c r="S298" i="3"/>
  <c r="W298" i="3"/>
  <c r="M299" i="3"/>
  <c r="Q299" i="3"/>
  <c r="S299" i="3"/>
  <c r="W299" i="3"/>
  <c r="M300" i="3"/>
  <c r="Q300" i="3"/>
  <c r="S300" i="3"/>
  <c r="W300" i="3"/>
  <c r="M301" i="3"/>
  <c r="Q301" i="3"/>
  <c r="S301" i="3"/>
  <c r="W301" i="3"/>
  <c r="M302" i="3"/>
  <c r="Q302" i="3"/>
  <c r="S302" i="3"/>
  <c r="W302" i="3"/>
  <c r="M303" i="3"/>
  <c r="Q303" i="3"/>
  <c r="S303" i="3"/>
  <c r="W303" i="3"/>
  <c r="M304" i="3"/>
  <c r="Q304" i="3"/>
  <c r="S304" i="3"/>
  <c r="W304" i="3"/>
  <c r="M305" i="3"/>
  <c r="Q305" i="3"/>
  <c r="S305" i="3"/>
  <c r="W305" i="3"/>
  <c r="M306" i="3"/>
  <c r="Q306" i="3"/>
  <c r="S306" i="3"/>
  <c r="W306" i="3"/>
  <c r="M307" i="3"/>
  <c r="Q307" i="3"/>
  <c r="S307" i="3"/>
  <c r="W307" i="3"/>
  <c r="M308" i="3"/>
  <c r="Q308" i="3"/>
  <c r="S308" i="3"/>
  <c r="W308" i="3"/>
  <c r="M309" i="3"/>
  <c r="Q309" i="3"/>
  <c r="S309" i="3"/>
  <c r="W309" i="3"/>
  <c r="M310" i="3"/>
  <c r="Q310" i="3"/>
  <c r="S310" i="3"/>
  <c r="W310" i="3"/>
  <c r="M311" i="3"/>
  <c r="Q311" i="3"/>
  <c r="S311" i="3"/>
  <c r="W311" i="3"/>
  <c r="M312" i="3"/>
  <c r="Q312" i="3"/>
  <c r="S312" i="3"/>
  <c r="W312" i="3"/>
  <c r="M313" i="3"/>
  <c r="Q313" i="3"/>
  <c r="S313" i="3"/>
  <c r="W313" i="3"/>
  <c r="M314" i="3"/>
  <c r="Q314" i="3"/>
  <c r="S314" i="3"/>
  <c r="W314" i="3"/>
  <c r="M315" i="3"/>
  <c r="Q315" i="3"/>
  <c r="S315" i="3"/>
  <c r="W315" i="3"/>
  <c r="M316" i="3"/>
  <c r="Q316" i="3"/>
  <c r="S316" i="3"/>
  <c r="W316" i="3"/>
  <c r="M317" i="3"/>
  <c r="Q317" i="3"/>
  <c r="S317" i="3"/>
  <c r="W317" i="3"/>
  <c r="M318" i="3"/>
  <c r="Q318" i="3"/>
  <c r="S318" i="3"/>
  <c r="W318" i="3"/>
  <c r="M319" i="3"/>
  <c r="Q319" i="3"/>
  <c r="S319" i="3"/>
  <c r="W319" i="3"/>
  <c r="M320" i="3"/>
  <c r="Q320" i="3"/>
  <c r="S320" i="3"/>
  <c r="W320" i="3"/>
  <c r="M321" i="3"/>
  <c r="Q321" i="3"/>
  <c r="S321" i="3"/>
  <c r="W321" i="3"/>
  <c r="M322" i="3"/>
  <c r="Q322" i="3"/>
  <c r="S322" i="3"/>
  <c r="W322" i="3"/>
  <c r="M323" i="3"/>
  <c r="Q323" i="3"/>
  <c r="S323" i="3"/>
  <c r="W323" i="3"/>
  <c r="M324" i="3"/>
  <c r="Q324" i="3"/>
  <c r="S324" i="3"/>
  <c r="W324" i="3"/>
  <c r="M325" i="3"/>
  <c r="Q325" i="3"/>
  <c r="S325" i="3"/>
  <c r="W325" i="3"/>
  <c r="M326" i="3"/>
  <c r="Q326" i="3"/>
  <c r="S326" i="3"/>
  <c r="W326" i="3"/>
  <c r="M327" i="3"/>
  <c r="Q327" i="3"/>
  <c r="S327" i="3"/>
  <c r="W327" i="3"/>
  <c r="M328" i="3"/>
  <c r="Q328" i="3"/>
  <c r="S328" i="3"/>
  <c r="W328" i="3"/>
  <c r="M329" i="3"/>
  <c r="Q329" i="3"/>
  <c r="S329" i="3"/>
  <c r="W329" i="3"/>
  <c r="M330" i="3"/>
  <c r="Q330" i="3"/>
  <c r="S330" i="3"/>
  <c r="W330" i="3"/>
  <c r="M331" i="3"/>
  <c r="Q331" i="3"/>
  <c r="S331" i="3"/>
  <c r="W331" i="3"/>
  <c r="M332" i="3"/>
  <c r="Q332" i="3"/>
  <c r="S332" i="3"/>
  <c r="W332" i="3"/>
  <c r="M333" i="3"/>
  <c r="Q333" i="3"/>
  <c r="S333" i="3"/>
  <c r="W333" i="3"/>
  <c r="M334" i="3"/>
  <c r="Q334" i="3"/>
  <c r="S334" i="3"/>
  <c r="W334" i="3"/>
  <c r="M335" i="3"/>
  <c r="Q335" i="3"/>
  <c r="S335" i="3"/>
  <c r="W335" i="3"/>
  <c r="M336" i="3"/>
  <c r="Q336" i="3"/>
  <c r="S336" i="3"/>
  <c r="W336" i="3"/>
  <c r="M337" i="3"/>
  <c r="Q337" i="3"/>
  <c r="S337" i="3"/>
  <c r="W337" i="3"/>
  <c r="M338" i="3"/>
  <c r="Q338" i="3"/>
  <c r="S338" i="3"/>
  <c r="W338" i="3"/>
  <c r="M339" i="3"/>
  <c r="Q339" i="3"/>
  <c r="S339" i="3"/>
  <c r="W339" i="3"/>
  <c r="M340" i="3"/>
  <c r="Q340" i="3"/>
  <c r="S340" i="3"/>
  <c r="W340" i="3"/>
  <c r="M341" i="3"/>
  <c r="Q341" i="3"/>
  <c r="S341" i="3"/>
  <c r="W341" i="3"/>
  <c r="M342" i="3"/>
  <c r="Q342" i="3"/>
  <c r="S342" i="3"/>
  <c r="W342" i="3"/>
  <c r="M343" i="3"/>
  <c r="Q343" i="3"/>
  <c r="S343" i="3"/>
  <c r="W343" i="3"/>
  <c r="M344" i="3"/>
  <c r="Q344" i="3"/>
  <c r="S344" i="3"/>
  <c r="W344" i="3"/>
  <c r="M345" i="3"/>
  <c r="Q345" i="3"/>
  <c r="S345" i="3"/>
  <c r="W345" i="3"/>
  <c r="M346" i="3"/>
  <c r="Q346" i="3"/>
  <c r="S346" i="3"/>
  <c r="W346" i="3"/>
  <c r="M347" i="3"/>
  <c r="Q347" i="3"/>
  <c r="S347" i="3"/>
  <c r="W347" i="3"/>
  <c r="M348" i="3"/>
  <c r="Q348" i="3"/>
  <c r="S348" i="3"/>
  <c r="W348" i="3"/>
  <c r="M349" i="3"/>
  <c r="Q349" i="3"/>
  <c r="S349" i="3"/>
  <c r="W349" i="3"/>
  <c r="M350" i="3"/>
  <c r="Q350" i="3"/>
  <c r="S350" i="3"/>
  <c r="W350" i="3"/>
  <c r="M351" i="3"/>
  <c r="Q351" i="3"/>
  <c r="S351" i="3"/>
  <c r="W351" i="3"/>
  <c r="M352" i="3"/>
  <c r="Q352" i="3"/>
  <c r="S352" i="3"/>
  <c r="W352" i="3"/>
  <c r="M353" i="3"/>
  <c r="Q353" i="3"/>
  <c r="S353" i="3"/>
  <c r="W353" i="3"/>
  <c r="M354" i="3"/>
  <c r="Q354" i="3"/>
  <c r="S354" i="3"/>
  <c r="W354" i="3"/>
  <c r="M355" i="3"/>
  <c r="Q355" i="3"/>
  <c r="S355" i="3"/>
  <c r="W355" i="3"/>
  <c r="M356" i="3"/>
  <c r="Q356" i="3"/>
  <c r="S356" i="3"/>
  <c r="W356" i="3"/>
  <c r="M357" i="3"/>
  <c r="Q357" i="3"/>
  <c r="S357" i="3"/>
  <c r="W357" i="3"/>
  <c r="M358" i="3"/>
  <c r="Q358" i="3"/>
  <c r="S358" i="3"/>
  <c r="W358" i="3"/>
  <c r="M359" i="3"/>
  <c r="Q359" i="3"/>
  <c r="S359" i="3"/>
  <c r="W359" i="3"/>
  <c r="M360" i="3"/>
  <c r="Q360" i="3"/>
  <c r="S360" i="3"/>
  <c r="W360" i="3"/>
  <c r="M361" i="3"/>
  <c r="Q361" i="3"/>
  <c r="S361" i="3"/>
  <c r="W361" i="3"/>
  <c r="M362" i="3"/>
  <c r="Q362" i="3"/>
  <c r="S362" i="3"/>
  <c r="W362" i="3"/>
  <c r="M363" i="3"/>
  <c r="Q363" i="3"/>
  <c r="S363" i="3"/>
  <c r="W363" i="3"/>
  <c r="M364" i="3"/>
  <c r="Q364" i="3"/>
  <c r="S364" i="3"/>
  <c r="W364" i="3"/>
  <c r="M365" i="3"/>
  <c r="Q365" i="3"/>
  <c r="S365" i="3"/>
  <c r="W365" i="3"/>
  <c r="M366" i="3"/>
  <c r="Q366" i="3"/>
  <c r="S366" i="3"/>
  <c r="W366" i="3"/>
  <c r="M367" i="3"/>
  <c r="Q367" i="3"/>
  <c r="S367" i="3"/>
  <c r="W367" i="3"/>
  <c r="M368" i="3"/>
  <c r="Q368" i="3"/>
  <c r="S368" i="3"/>
  <c r="W368" i="3"/>
  <c r="M369" i="3"/>
  <c r="Q369" i="3"/>
  <c r="S369" i="3"/>
  <c r="W369" i="3"/>
  <c r="M370" i="3"/>
  <c r="Q370" i="3"/>
  <c r="S370" i="3"/>
  <c r="W370" i="3"/>
  <c r="M371" i="3"/>
  <c r="Q371" i="3"/>
  <c r="S371" i="3"/>
  <c r="W371" i="3"/>
  <c r="M372" i="3"/>
  <c r="Q372" i="3"/>
  <c r="S372" i="3"/>
  <c r="W372" i="3"/>
  <c r="M373" i="3"/>
  <c r="Q373" i="3"/>
  <c r="S373" i="3"/>
  <c r="W373" i="3"/>
  <c r="M374" i="3"/>
  <c r="Q374" i="3"/>
  <c r="S374" i="3"/>
  <c r="W374" i="3"/>
  <c r="M375" i="3"/>
  <c r="Q375" i="3"/>
  <c r="S375" i="3"/>
  <c r="W375" i="3"/>
  <c r="M376" i="3"/>
  <c r="Q376" i="3"/>
  <c r="S376" i="3"/>
  <c r="W376" i="3"/>
  <c r="M377" i="3"/>
  <c r="Q377" i="3"/>
  <c r="S377" i="3"/>
  <c r="W377" i="3"/>
  <c r="M378" i="3"/>
  <c r="Q378" i="3"/>
  <c r="S378" i="3"/>
  <c r="W378" i="3"/>
  <c r="M379" i="3"/>
  <c r="Q379" i="3"/>
  <c r="S379" i="3"/>
  <c r="W379" i="3"/>
  <c r="M380" i="3"/>
  <c r="Q380" i="3"/>
  <c r="S380" i="3"/>
  <c r="W380" i="3"/>
  <c r="M381" i="3"/>
  <c r="Q381" i="3"/>
  <c r="S381" i="3"/>
  <c r="W381" i="3"/>
  <c r="M382" i="3"/>
  <c r="Q382" i="3"/>
  <c r="S382" i="3"/>
  <c r="W382" i="3"/>
  <c r="M383" i="3"/>
  <c r="Q383" i="3"/>
  <c r="S383" i="3"/>
  <c r="W383" i="3"/>
  <c r="M384" i="3"/>
  <c r="Q384" i="3"/>
  <c r="S384" i="3"/>
  <c r="W384" i="3"/>
  <c r="M385" i="3"/>
  <c r="Q385" i="3"/>
  <c r="S385" i="3"/>
  <c r="W385" i="3"/>
  <c r="M386" i="3"/>
  <c r="Q386" i="3"/>
  <c r="S386" i="3"/>
  <c r="W386" i="3"/>
  <c r="M387" i="3"/>
  <c r="Q387" i="3"/>
  <c r="S387" i="3"/>
  <c r="W387" i="3"/>
  <c r="M388" i="3"/>
  <c r="Q388" i="3"/>
  <c r="S388" i="3"/>
  <c r="W388" i="3"/>
  <c r="M389" i="3"/>
  <c r="Q389" i="3"/>
  <c r="S389" i="3"/>
  <c r="W389" i="3"/>
  <c r="M390" i="3"/>
  <c r="Q390" i="3"/>
  <c r="S390" i="3"/>
  <c r="W390" i="3"/>
  <c r="M391" i="3"/>
  <c r="Q391" i="3"/>
  <c r="S391" i="3"/>
  <c r="W391" i="3"/>
  <c r="M392" i="3"/>
  <c r="Q392" i="3"/>
  <c r="S392" i="3"/>
  <c r="W392" i="3"/>
  <c r="M393" i="3"/>
  <c r="Q393" i="3"/>
  <c r="S393" i="3"/>
  <c r="W393" i="3"/>
  <c r="M394" i="3"/>
  <c r="Q394" i="3"/>
  <c r="S394" i="3"/>
  <c r="W394" i="3"/>
  <c r="M395" i="3"/>
  <c r="Q395" i="3"/>
  <c r="S395" i="3"/>
  <c r="W395" i="3"/>
  <c r="M396" i="3"/>
  <c r="Q396" i="3"/>
  <c r="S396" i="3"/>
  <c r="W396" i="3"/>
  <c r="M397" i="3"/>
  <c r="Q397" i="3"/>
  <c r="S397" i="3"/>
  <c r="W397" i="3"/>
  <c r="M398" i="3"/>
  <c r="Q398" i="3"/>
  <c r="S398" i="3"/>
  <c r="W398" i="3"/>
  <c r="M399" i="3"/>
  <c r="Q399" i="3"/>
  <c r="S399" i="3"/>
  <c r="W399" i="3"/>
  <c r="M400" i="3"/>
  <c r="Q400" i="3"/>
  <c r="S400" i="3"/>
  <c r="W400" i="3"/>
  <c r="M401" i="3"/>
  <c r="Q401" i="3"/>
  <c r="S401" i="3"/>
  <c r="W401" i="3"/>
  <c r="M402" i="3"/>
  <c r="Q402" i="3"/>
  <c r="S402" i="3"/>
  <c r="W402" i="3"/>
  <c r="M403" i="3"/>
  <c r="Q403" i="3"/>
  <c r="S403" i="3"/>
  <c r="W403" i="3"/>
  <c r="M404" i="3"/>
  <c r="Q404" i="3"/>
  <c r="S404" i="3"/>
  <c r="W404" i="3"/>
  <c r="M405" i="3"/>
  <c r="Q405" i="3"/>
  <c r="S405" i="3"/>
  <c r="W405" i="3"/>
  <c r="M406" i="3"/>
  <c r="Q406" i="3"/>
  <c r="S406" i="3"/>
  <c r="W406" i="3"/>
  <c r="M407" i="3"/>
  <c r="Q407" i="3"/>
  <c r="S407" i="3"/>
  <c r="W407" i="3"/>
  <c r="M408" i="3"/>
  <c r="Q408" i="3"/>
  <c r="S408" i="3"/>
  <c r="W408" i="3"/>
  <c r="M409" i="3"/>
  <c r="Q409" i="3"/>
  <c r="S409" i="3"/>
  <c r="W409" i="3"/>
  <c r="M410" i="3"/>
  <c r="Q410" i="3"/>
  <c r="S410" i="3"/>
  <c r="W410" i="3"/>
  <c r="M411" i="3"/>
  <c r="Q411" i="3"/>
  <c r="S411" i="3"/>
  <c r="W411" i="3"/>
  <c r="M412" i="3"/>
  <c r="Q412" i="3"/>
  <c r="S412" i="3"/>
  <c r="W412" i="3"/>
  <c r="M413" i="3"/>
  <c r="Q413" i="3"/>
  <c r="S413" i="3"/>
  <c r="W413" i="3"/>
  <c r="M414" i="3"/>
  <c r="Q414" i="3"/>
  <c r="S414" i="3"/>
  <c r="W414" i="3"/>
  <c r="M415" i="3"/>
  <c r="Q415" i="3"/>
  <c r="S415" i="3"/>
  <c r="W415" i="3"/>
  <c r="M416" i="3"/>
  <c r="Q416" i="3"/>
  <c r="S416" i="3"/>
  <c r="W416" i="3"/>
  <c r="M417" i="3"/>
  <c r="Q417" i="3"/>
  <c r="S417" i="3"/>
  <c r="W417" i="3"/>
  <c r="M418" i="3"/>
  <c r="Q418" i="3"/>
  <c r="S418" i="3"/>
  <c r="W418" i="3"/>
  <c r="M419" i="3"/>
  <c r="Q419" i="3"/>
  <c r="S419" i="3"/>
  <c r="W419" i="3"/>
  <c r="M420" i="3"/>
  <c r="Q420" i="3"/>
  <c r="S420" i="3"/>
  <c r="W420" i="3"/>
  <c r="M421" i="3"/>
  <c r="Q421" i="3"/>
  <c r="S421" i="3"/>
  <c r="W421" i="3"/>
  <c r="M422" i="3"/>
  <c r="Q422" i="3"/>
  <c r="S422" i="3"/>
  <c r="W422" i="3"/>
  <c r="M423" i="3"/>
  <c r="Q423" i="3"/>
  <c r="S423" i="3"/>
  <c r="W423" i="3"/>
  <c r="M424" i="3"/>
  <c r="Q424" i="3"/>
  <c r="S424" i="3"/>
  <c r="W424" i="3"/>
  <c r="M425" i="3"/>
  <c r="Q425" i="3"/>
  <c r="S425" i="3"/>
  <c r="W425" i="3"/>
  <c r="M426" i="3"/>
  <c r="Q426" i="3"/>
  <c r="S426" i="3"/>
  <c r="W426" i="3"/>
  <c r="M427" i="3"/>
  <c r="Q427" i="3"/>
  <c r="S427" i="3"/>
  <c r="W427" i="3"/>
  <c r="M428" i="3"/>
  <c r="Q428" i="3"/>
  <c r="S428" i="3"/>
  <c r="W428" i="3"/>
  <c r="M429" i="3"/>
  <c r="Q429" i="3"/>
  <c r="S429" i="3"/>
  <c r="W429" i="3"/>
  <c r="M430" i="3"/>
  <c r="Q430" i="3"/>
  <c r="S430" i="3"/>
  <c r="W430" i="3"/>
  <c r="M431" i="3"/>
  <c r="Q431" i="3"/>
  <c r="S431" i="3"/>
  <c r="W431" i="3"/>
  <c r="M432" i="3"/>
  <c r="Q432" i="3"/>
  <c r="S432" i="3"/>
  <c r="W432" i="3"/>
  <c r="M433" i="3"/>
  <c r="Q433" i="3"/>
  <c r="S433" i="3"/>
  <c r="W433" i="3"/>
  <c r="M434" i="3"/>
  <c r="Q434" i="3"/>
  <c r="S434" i="3"/>
  <c r="W434" i="3"/>
  <c r="M435" i="3"/>
  <c r="Q435" i="3"/>
  <c r="S435" i="3"/>
  <c r="W435" i="3"/>
  <c r="M436" i="3"/>
  <c r="Q436" i="3"/>
  <c r="S436" i="3"/>
  <c r="W436" i="3"/>
  <c r="M437" i="3"/>
  <c r="Q437" i="3"/>
  <c r="S437" i="3"/>
  <c r="W437" i="3"/>
  <c r="M438" i="3"/>
  <c r="Q438" i="3"/>
  <c r="S438" i="3"/>
  <c r="W438" i="3"/>
  <c r="M439" i="3"/>
  <c r="Q439" i="3"/>
  <c r="S439" i="3"/>
  <c r="W439" i="3"/>
  <c r="M440" i="3"/>
  <c r="Q440" i="3"/>
  <c r="S440" i="3"/>
  <c r="W440" i="3"/>
  <c r="M441" i="3"/>
  <c r="Q441" i="3"/>
  <c r="S441" i="3"/>
  <c r="W441" i="3"/>
  <c r="M442" i="3"/>
  <c r="Q442" i="3"/>
  <c r="S442" i="3"/>
  <c r="W442" i="3"/>
  <c r="M443" i="3"/>
  <c r="Q443" i="3"/>
  <c r="S443" i="3"/>
  <c r="W443" i="3"/>
  <c r="M444" i="3"/>
  <c r="Q444" i="3"/>
  <c r="S444" i="3"/>
  <c r="W444" i="3"/>
  <c r="M445" i="3"/>
  <c r="Q445" i="3"/>
  <c r="S445" i="3"/>
  <c r="W445" i="3"/>
  <c r="M446" i="3"/>
  <c r="Q446" i="3"/>
  <c r="S446" i="3"/>
  <c r="W446" i="3"/>
  <c r="M447" i="3"/>
  <c r="Q447" i="3"/>
  <c r="S447" i="3"/>
  <c r="W447" i="3"/>
  <c r="M448" i="3"/>
  <c r="Q448" i="3"/>
  <c r="S448" i="3"/>
  <c r="W448" i="3"/>
  <c r="M449" i="3"/>
  <c r="Q449" i="3"/>
  <c r="S449" i="3"/>
  <c r="W449" i="3"/>
  <c r="M450" i="3"/>
  <c r="Q450" i="3"/>
  <c r="S450" i="3"/>
  <c r="W450" i="3"/>
  <c r="M451" i="3"/>
  <c r="Q451" i="3"/>
  <c r="S451" i="3"/>
  <c r="W451" i="3"/>
  <c r="M452" i="3"/>
  <c r="Q452" i="3"/>
  <c r="S452" i="3"/>
  <c r="W452" i="3"/>
  <c r="M453" i="3"/>
  <c r="Q453" i="3"/>
  <c r="S453" i="3"/>
  <c r="W453" i="3"/>
  <c r="M454" i="3"/>
  <c r="Q454" i="3"/>
  <c r="S454" i="3"/>
  <c r="W454" i="3"/>
  <c r="M455" i="3"/>
  <c r="Q455" i="3"/>
  <c r="S455" i="3"/>
  <c r="W455" i="3"/>
  <c r="M456" i="3"/>
  <c r="Q456" i="3"/>
  <c r="S456" i="3"/>
  <c r="W456" i="3"/>
  <c r="M457" i="3"/>
  <c r="Q457" i="3"/>
  <c r="S457" i="3"/>
  <c r="W457" i="3"/>
  <c r="M458" i="3"/>
  <c r="Q458" i="3"/>
  <c r="S458" i="3"/>
  <c r="W458" i="3"/>
  <c r="M459" i="3"/>
  <c r="Q459" i="3"/>
  <c r="S459" i="3"/>
  <c r="W459" i="3"/>
  <c r="M460" i="3"/>
  <c r="Q460" i="3"/>
  <c r="S460" i="3"/>
  <c r="W460" i="3"/>
  <c r="M461" i="3"/>
  <c r="Q461" i="3"/>
  <c r="S461" i="3"/>
  <c r="W461" i="3"/>
  <c r="M462" i="3"/>
  <c r="Q462" i="3"/>
  <c r="S462" i="3"/>
  <c r="W462" i="3"/>
  <c r="M463" i="3"/>
  <c r="Q463" i="3"/>
  <c r="S463" i="3"/>
  <c r="W463" i="3"/>
  <c r="M464" i="3"/>
  <c r="Q464" i="3"/>
  <c r="S464" i="3"/>
  <c r="W464" i="3"/>
  <c r="M465" i="3"/>
  <c r="Q465" i="3"/>
  <c r="S465" i="3"/>
  <c r="W465" i="3"/>
  <c r="M466" i="3"/>
  <c r="Q466" i="3"/>
  <c r="S466" i="3"/>
  <c r="W466" i="3"/>
  <c r="M467" i="3"/>
  <c r="Q467" i="3"/>
  <c r="S467" i="3"/>
  <c r="W467" i="3"/>
  <c r="M468" i="3"/>
  <c r="Q468" i="3"/>
  <c r="S468" i="3"/>
  <c r="W468" i="3"/>
  <c r="M469" i="3"/>
  <c r="Q469" i="3"/>
  <c r="S469" i="3"/>
  <c r="W469" i="3"/>
  <c r="M470" i="3"/>
  <c r="Q470" i="3"/>
  <c r="S470" i="3"/>
  <c r="W470" i="3"/>
  <c r="M471" i="3"/>
  <c r="Q471" i="3"/>
  <c r="S471" i="3"/>
  <c r="W471" i="3"/>
  <c r="M472" i="3"/>
  <c r="Q472" i="3"/>
  <c r="S472" i="3"/>
  <c r="W472" i="3"/>
  <c r="M473" i="3"/>
  <c r="Q473" i="3"/>
  <c r="S473" i="3"/>
  <c r="W473" i="3"/>
  <c r="M474" i="3"/>
  <c r="Q474" i="3"/>
  <c r="S474" i="3"/>
  <c r="W474" i="3"/>
  <c r="M475" i="3"/>
  <c r="Q475" i="3"/>
  <c r="S475" i="3"/>
  <c r="W475" i="3"/>
  <c r="M476" i="3"/>
  <c r="Q476" i="3"/>
  <c r="S476" i="3"/>
  <c r="W476" i="3"/>
  <c r="M477" i="3"/>
  <c r="Q477" i="3"/>
  <c r="S477" i="3"/>
  <c r="W477" i="3"/>
  <c r="M478" i="3"/>
  <c r="Q478" i="3"/>
  <c r="S478" i="3"/>
  <c r="W478" i="3"/>
  <c r="M479" i="3"/>
  <c r="Q479" i="3"/>
  <c r="S479" i="3"/>
  <c r="W479" i="3"/>
  <c r="M480" i="3"/>
  <c r="Q480" i="3"/>
  <c r="S480" i="3"/>
  <c r="W480" i="3"/>
  <c r="M481" i="3"/>
  <c r="Q481" i="3"/>
  <c r="S481" i="3"/>
  <c r="W481" i="3"/>
  <c r="M482" i="3"/>
  <c r="Q482" i="3"/>
  <c r="S482" i="3"/>
  <c r="W482" i="3"/>
  <c r="M483" i="3"/>
  <c r="Q483" i="3"/>
  <c r="S483" i="3"/>
  <c r="W483" i="3"/>
  <c r="M484" i="3"/>
  <c r="Q484" i="3"/>
  <c r="S484" i="3"/>
  <c r="W484" i="3"/>
  <c r="M485" i="3"/>
  <c r="Q485" i="3"/>
  <c r="S485" i="3"/>
  <c r="W485" i="3"/>
  <c r="M486" i="3"/>
  <c r="Q486" i="3"/>
  <c r="S486" i="3"/>
  <c r="W486" i="3"/>
  <c r="M487" i="3"/>
  <c r="Q487" i="3"/>
  <c r="S487" i="3"/>
  <c r="W487" i="3"/>
  <c r="M488" i="3"/>
  <c r="Q488" i="3"/>
  <c r="S488" i="3"/>
  <c r="W488" i="3"/>
  <c r="M489" i="3"/>
  <c r="Q489" i="3"/>
  <c r="S489" i="3"/>
  <c r="W489" i="3"/>
  <c r="M490" i="3"/>
  <c r="Q490" i="3"/>
  <c r="S490" i="3"/>
  <c r="W490" i="3"/>
  <c r="M491" i="3"/>
  <c r="Q491" i="3"/>
  <c r="S491" i="3"/>
  <c r="W491" i="3"/>
  <c r="M492" i="3"/>
  <c r="Q492" i="3"/>
  <c r="S492" i="3"/>
  <c r="W492" i="3"/>
  <c r="M493" i="3"/>
  <c r="Q493" i="3"/>
  <c r="S493" i="3"/>
  <c r="W493" i="3"/>
  <c r="M494" i="3"/>
  <c r="Q494" i="3"/>
  <c r="S494" i="3"/>
  <c r="W494" i="3"/>
  <c r="M495" i="3"/>
  <c r="Q495" i="3"/>
  <c r="S495" i="3"/>
  <c r="W495" i="3"/>
  <c r="M496" i="3"/>
  <c r="Q496" i="3"/>
  <c r="S496" i="3"/>
  <c r="W496" i="3"/>
  <c r="M497" i="3"/>
  <c r="Q497" i="3"/>
  <c r="S497" i="3"/>
  <c r="W497" i="3"/>
  <c r="M498" i="3"/>
  <c r="Q498" i="3"/>
  <c r="S498" i="3"/>
  <c r="W498" i="3"/>
  <c r="M499" i="3"/>
  <c r="Q499" i="3"/>
  <c r="S499" i="3"/>
  <c r="W499" i="3"/>
  <c r="M500" i="3"/>
  <c r="Q500" i="3"/>
  <c r="S500" i="3"/>
  <c r="W500" i="3"/>
  <c r="M501" i="3"/>
  <c r="Q501" i="3"/>
  <c r="S501" i="3"/>
  <c r="W501" i="3"/>
  <c r="M502" i="3"/>
  <c r="Q502" i="3"/>
  <c r="S502" i="3"/>
  <c r="W502" i="3"/>
  <c r="M503" i="3"/>
  <c r="Q503" i="3"/>
  <c r="S503" i="3"/>
  <c r="W503" i="3"/>
  <c r="M504" i="3"/>
  <c r="Q504" i="3"/>
  <c r="S504" i="3"/>
  <c r="W504" i="3"/>
  <c r="M505" i="3"/>
  <c r="Q505" i="3"/>
  <c r="S505" i="3"/>
  <c r="W505" i="3"/>
  <c r="M506" i="3"/>
  <c r="Q506" i="3"/>
  <c r="S506" i="3"/>
  <c r="W506" i="3"/>
  <c r="M507" i="3"/>
  <c r="Q507" i="3"/>
  <c r="S507" i="3"/>
  <c r="W507" i="3"/>
  <c r="M508" i="3"/>
  <c r="Q508" i="3"/>
  <c r="S508" i="3"/>
  <c r="W508" i="3"/>
  <c r="M509" i="3"/>
  <c r="Q509" i="3"/>
  <c r="S509" i="3"/>
  <c r="W509" i="3"/>
  <c r="M510" i="3"/>
  <c r="Q510" i="3"/>
  <c r="S510" i="3"/>
  <c r="W510" i="3"/>
  <c r="M511" i="3"/>
  <c r="Q511" i="3"/>
  <c r="S511" i="3"/>
  <c r="W511" i="3"/>
  <c r="M512" i="3"/>
  <c r="Q512" i="3"/>
  <c r="S512" i="3"/>
  <c r="W512" i="3"/>
  <c r="M513" i="3"/>
  <c r="Q513" i="3"/>
  <c r="S513" i="3"/>
  <c r="W513" i="3"/>
  <c r="M514" i="3"/>
  <c r="Q514" i="3"/>
  <c r="S514" i="3"/>
  <c r="W514" i="3"/>
  <c r="M515" i="3"/>
  <c r="Q515" i="3"/>
  <c r="S515" i="3"/>
  <c r="W515" i="3"/>
  <c r="M516" i="3"/>
  <c r="Q516" i="3"/>
  <c r="S516" i="3"/>
  <c r="W516" i="3"/>
  <c r="M517" i="3"/>
  <c r="Q517" i="3"/>
  <c r="S517" i="3"/>
  <c r="W517" i="3"/>
  <c r="M518" i="3"/>
  <c r="Q518" i="3"/>
  <c r="S518" i="3"/>
  <c r="W518" i="3"/>
  <c r="M519" i="3"/>
  <c r="Q519" i="3"/>
  <c r="S519" i="3"/>
  <c r="W519" i="3"/>
  <c r="M520" i="3"/>
  <c r="Q520" i="3"/>
  <c r="S520" i="3"/>
  <c r="W520" i="3"/>
  <c r="M521" i="3"/>
  <c r="Q521" i="3"/>
  <c r="S521" i="3"/>
  <c r="W521" i="3"/>
  <c r="M522" i="3"/>
  <c r="Q522" i="3"/>
  <c r="S522" i="3"/>
  <c r="W522" i="3"/>
  <c r="M523" i="3"/>
  <c r="Q523" i="3"/>
  <c r="S523" i="3"/>
  <c r="W523" i="3"/>
  <c r="M524" i="3"/>
  <c r="Q524" i="3"/>
  <c r="S524" i="3"/>
  <c r="W524" i="3"/>
  <c r="M525" i="3"/>
  <c r="Q525" i="3"/>
  <c r="S525" i="3"/>
  <c r="W525" i="3"/>
  <c r="M526" i="3"/>
  <c r="Q526" i="3"/>
  <c r="S526" i="3"/>
  <c r="W526" i="3"/>
  <c r="M527" i="3"/>
  <c r="Q527" i="3"/>
  <c r="S527" i="3"/>
  <c r="W527" i="3"/>
  <c r="M528" i="3"/>
  <c r="Q528" i="3"/>
  <c r="S528" i="3"/>
  <c r="W528" i="3"/>
  <c r="M529" i="3"/>
  <c r="Q529" i="3"/>
  <c r="S529" i="3"/>
  <c r="W529" i="3"/>
  <c r="M530" i="3"/>
  <c r="Q530" i="3"/>
  <c r="S530" i="3"/>
  <c r="W530" i="3"/>
  <c r="M531" i="3"/>
  <c r="Q531" i="3"/>
  <c r="S531" i="3"/>
  <c r="W531" i="3"/>
  <c r="M532" i="3"/>
  <c r="Q532" i="3"/>
  <c r="S532" i="3"/>
  <c r="W532" i="3"/>
  <c r="M533" i="3"/>
  <c r="Q533" i="3"/>
  <c r="S533" i="3"/>
  <c r="W533" i="3"/>
  <c r="M534" i="3"/>
  <c r="Q534" i="3"/>
  <c r="S534" i="3"/>
  <c r="W534" i="3"/>
  <c r="M535" i="3"/>
  <c r="Q535" i="3"/>
  <c r="S535" i="3"/>
  <c r="W535" i="3"/>
  <c r="M536" i="3"/>
  <c r="Q536" i="3"/>
  <c r="S536" i="3"/>
  <c r="W536" i="3"/>
  <c r="M537" i="3"/>
  <c r="Q537" i="3"/>
  <c r="S537" i="3"/>
  <c r="W537" i="3"/>
  <c r="M538" i="3"/>
  <c r="Q538" i="3"/>
  <c r="S538" i="3"/>
  <c r="W538" i="3"/>
  <c r="M539" i="3"/>
  <c r="Q539" i="3"/>
  <c r="S539" i="3"/>
  <c r="W539" i="3"/>
  <c r="M540" i="3"/>
  <c r="Q540" i="3"/>
  <c r="S540" i="3"/>
  <c r="W540" i="3"/>
  <c r="M541" i="3"/>
  <c r="Q541" i="3"/>
  <c r="S541" i="3"/>
  <c r="W541" i="3"/>
  <c r="M542" i="3"/>
  <c r="Q542" i="3"/>
  <c r="S542" i="3"/>
  <c r="W542" i="3"/>
  <c r="M543" i="3"/>
  <c r="Q543" i="3"/>
  <c r="S543" i="3"/>
  <c r="W543" i="3"/>
  <c r="M544" i="3"/>
  <c r="Q544" i="3"/>
  <c r="S544" i="3"/>
  <c r="W544" i="3"/>
  <c r="M545" i="3"/>
  <c r="Q545" i="3"/>
  <c r="S545" i="3"/>
  <c r="W545" i="3"/>
  <c r="M546" i="3"/>
  <c r="Q546" i="3"/>
  <c r="S546" i="3"/>
  <c r="W546" i="3"/>
  <c r="M547" i="3"/>
  <c r="Q547" i="3"/>
  <c r="S547" i="3"/>
  <c r="W547" i="3"/>
  <c r="M548" i="3"/>
  <c r="Q548" i="3"/>
  <c r="S548" i="3"/>
  <c r="W548" i="3"/>
  <c r="M549" i="3"/>
  <c r="Q549" i="3"/>
  <c r="S549" i="3"/>
  <c r="W549" i="3"/>
  <c r="M550" i="3"/>
  <c r="Q550" i="3"/>
  <c r="S550" i="3"/>
  <c r="W550" i="3"/>
  <c r="M551" i="3"/>
  <c r="Q551" i="3"/>
  <c r="S551" i="3"/>
  <c r="W551" i="3"/>
  <c r="M552" i="3"/>
  <c r="Q552" i="3"/>
  <c r="S552" i="3"/>
  <c r="W552" i="3"/>
  <c r="M553" i="3"/>
  <c r="Q553" i="3"/>
  <c r="S553" i="3"/>
  <c r="W553" i="3"/>
  <c r="M554" i="3"/>
  <c r="Q554" i="3"/>
  <c r="S554" i="3"/>
  <c r="W554" i="3"/>
  <c r="M555" i="3"/>
  <c r="Q555" i="3"/>
  <c r="S555" i="3"/>
  <c r="W555" i="3"/>
  <c r="M556" i="3"/>
  <c r="Q556" i="3"/>
  <c r="S556" i="3"/>
  <c r="W556" i="3"/>
  <c r="M557" i="3"/>
  <c r="Q557" i="3"/>
  <c r="S557" i="3"/>
  <c r="W557" i="3"/>
  <c r="M558" i="3"/>
  <c r="Q558" i="3"/>
  <c r="S558" i="3"/>
  <c r="W558" i="3"/>
  <c r="M559" i="3"/>
  <c r="Q559" i="3"/>
  <c r="S559" i="3"/>
  <c r="W559" i="3"/>
  <c r="M560" i="3"/>
  <c r="Q560" i="3"/>
  <c r="S560" i="3"/>
  <c r="W560" i="3"/>
  <c r="M561" i="3"/>
  <c r="Q561" i="3"/>
  <c r="S561" i="3"/>
  <c r="W561" i="3"/>
  <c r="M562" i="3"/>
  <c r="Q562" i="3"/>
  <c r="S562" i="3"/>
  <c r="W562" i="3"/>
  <c r="M563" i="3"/>
  <c r="Q563" i="3"/>
  <c r="S563" i="3"/>
  <c r="W563" i="3"/>
  <c r="M564" i="3"/>
  <c r="Q564" i="3"/>
  <c r="S564" i="3"/>
  <c r="W564" i="3"/>
  <c r="M565" i="3"/>
  <c r="Q565" i="3"/>
  <c r="S565" i="3"/>
  <c r="W565" i="3"/>
  <c r="M566" i="3"/>
  <c r="Q566" i="3"/>
  <c r="S566" i="3"/>
  <c r="W566" i="3"/>
  <c r="M567" i="3"/>
  <c r="Q567" i="3"/>
  <c r="S567" i="3"/>
  <c r="W567" i="3"/>
  <c r="M568" i="3"/>
  <c r="Q568" i="3"/>
  <c r="S568" i="3"/>
  <c r="W568" i="3"/>
  <c r="M569" i="3"/>
  <c r="Q569" i="3"/>
  <c r="S569" i="3"/>
  <c r="W569" i="3"/>
  <c r="M570" i="3"/>
  <c r="Q570" i="3"/>
  <c r="S570" i="3"/>
  <c r="W570" i="3"/>
  <c r="M571" i="3"/>
  <c r="Q571" i="3"/>
  <c r="S571" i="3"/>
  <c r="W571" i="3"/>
  <c r="M572" i="3"/>
  <c r="Q572" i="3"/>
  <c r="S572" i="3"/>
  <c r="W572" i="3"/>
  <c r="M573" i="3"/>
  <c r="Q573" i="3"/>
  <c r="S573" i="3"/>
  <c r="W573" i="3"/>
  <c r="M574" i="3"/>
  <c r="Q574" i="3"/>
  <c r="S574" i="3"/>
  <c r="W574" i="3"/>
  <c r="M575" i="3"/>
  <c r="Q575" i="3"/>
  <c r="S575" i="3"/>
  <c r="W575" i="3"/>
  <c r="M576" i="3"/>
  <c r="Q576" i="3"/>
  <c r="S576" i="3"/>
  <c r="W576" i="3"/>
  <c r="M577" i="3"/>
  <c r="Q577" i="3"/>
  <c r="S577" i="3"/>
  <c r="W577" i="3"/>
  <c r="M578" i="3"/>
  <c r="Q578" i="3"/>
  <c r="S578" i="3"/>
  <c r="W578" i="3"/>
  <c r="M579" i="3"/>
  <c r="Q579" i="3"/>
  <c r="S579" i="3"/>
  <c r="W579" i="3"/>
  <c r="M580" i="3"/>
  <c r="Q580" i="3"/>
  <c r="S580" i="3"/>
  <c r="W580" i="3"/>
  <c r="M581" i="3"/>
  <c r="Q581" i="3"/>
  <c r="S581" i="3"/>
  <c r="W581" i="3"/>
  <c r="M582" i="3"/>
  <c r="Q582" i="3"/>
  <c r="S582" i="3"/>
  <c r="W582" i="3"/>
  <c r="M583" i="3"/>
  <c r="Q583" i="3"/>
  <c r="S583" i="3"/>
  <c r="W583" i="3"/>
  <c r="M584" i="3"/>
  <c r="Q584" i="3"/>
  <c r="S584" i="3"/>
  <c r="W584" i="3"/>
  <c r="M585" i="3"/>
  <c r="Q585" i="3"/>
  <c r="S585" i="3"/>
  <c r="W585" i="3"/>
  <c r="M586" i="3"/>
  <c r="Q586" i="3"/>
  <c r="S586" i="3"/>
  <c r="W586" i="3"/>
  <c r="M587" i="3"/>
  <c r="Q587" i="3"/>
  <c r="S587" i="3"/>
  <c r="W587" i="3"/>
  <c r="M588" i="3"/>
  <c r="Q588" i="3"/>
  <c r="S588" i="3"/>
  <c r="W588" i="3"/>
  <c r="M589" i="3"/>
  <c r="Q589" i="3"/>
  <c r="S589" i="3"/>
  <c r="W589" i="3"/>
  <c r="M590" i="3"/>
  <c r="Q590" i="3"/>
  <c r="S590" i="3"/>
  <c r="W590" i="3"/>
  <c r="M591" i="3"/>
  <c r="Q591" i="3"/>
  <c r="S591" i="3"/>
  <c r="W591" i="3"/>
  <c r="M592" i="3"/>
  <c r="Q592" i="3"/>
  <c r="S592" i="3"/>
  <c r="W592" i="3"/>
  <c r="M593" i="3"/>
  <c r="Q593" i="3"/>
  <c r="S593" i="3"/>
  <c r="W593" i="3"/>
  <c r="M594" i="3"/>
  <c r="Q594" i="3"/>
  <c r="S594" i="3"/>
  <c r="W594" i="3"/>
  <c r="M595" i="3"/>
  <c r="Q595" i="3"/>
  <c r="S595" i="3"/>
  <c r="W595" i="3"/>
  <c r="M596" i="3"/>
  <c r="Q596" i="3"/>
  <c r="S596" i="3"/>
  <c r="W596" i="3"/>
  <c r="M597" i="3"/>
  <c r="Q597" i="3"/>
  <c r="S597" i="3"/>
  <c r="W597" i="3"/>
  <c r="M598" i="3"/>
  <c r="Q598" i="3"/>
  <c r="S598" i="3"/>
  <c r="W598" i="3"/>
  <c r="M599" i="3"/>
  <c r="Q599" i="3"/>
  <c r="S599" i="3"/>
  <c r="W599" i="3"/>
  <c r="M600" i="3"/>
  <c r="Q600" i="3"/>
  <c r="S600" i="3"/>
  <c r="W600" i="3"/>
  <c r="M601" i="3"/>
  <c r="Q601" i="3"/>
  <c r="S601" i="3"/>
  <c r="W601" i="3"/>
  <c r="M602" i="3"/>
  <c r="Q602" i="3"/>
  <c r="S602" i="3"/>
  <c r="W602" i="3"/>
  <c r="M603" i="3"/>
  <c r="Q603" i="3"/>
  <c r="S603" i="3"/>
  <c r="W603" i="3"/>
  <c r="M604" i="3"/>
  <c r="Q604" i="3"/>
  <c r="S604" i="3"/>
  <c r="W604" i="3"/>
  <c r="M605" i="3"/>
  <c r="Q605" i="3"/>
  <c r="S605" i="3"/>
  <c r="W605" i="3"/>
  <c r="M606" i="3"/>
  <c r="Q606" i="3"/>
  <c r="S606" i="3"/>
  <c r="W606" i="3"/>
  <c r="M607" i="3"/>
  <c r="Q607" i="3"/>
  <c r="S607" i="3"/>
  <c r="W607" i="3"/>
  <c r="M608" i="3"/>
  <c r="Q608" i="3"/>
  <c r="S608" i="3"/>
  <c r="W608" i="3"/>
  <c r="M609" i="3"/>
  <c r="Q609" i="3"/>
  <c r="S609" i="3"/>
  <c r="W609" i="3"/>
  <c r="M610" i="3"/>
  <c r="Q610" i="3"/>
  <c r="S610" i="3"/>
  <c r="W610" i="3"/>
  <c r="M611" i="3"/>
  <c r="Q611" i="3"/>
  <c r="S611" i="3"/>
  <c r="W611" i="3"/>
  <c r="M612" i="3"/>
  <c r="Q612" i="3"/>
  <c r="S612" i="3"/>
  <c r="W612" i="3"/>
  <c r="M613" i="3"/>
  <c r="Q613" i="3"/>
  <c r="S613" i="3"/>
  <c r="W613" i="3"/>
  <c r="M614" i="3"/>
  <c r="Q614" i="3"/>
  <c r="S614" i="3"/>
  <c r="W614" i="3"/>
  <c r="M615" i="3"/>
  <c r="Q615" i="3"/>
  <c r="S615" i="3"/>
  <c r="W615" i="3"/>
  <c r="M616" i="3"/>
  <c r="Q616" i="3"/>
  <c r="S616" i="3"/>
  <c r="W616" i="3"/>
  <c r="M617" i="3"/>
  <c r="Q617" i="3"/>
  <c r="S617" i="3"/>
  <c r="W617" i="3"/>
  <c r="M618" i="3"/>
  <c r="Q618" i="3"/>
  <c r="S618" i="3"/>
  <c r="W618" i="3"/>
  <c r="M619" i="3"/>
  <c r="Q619" i="3"/>
  <c r="S619" i="3"/>
  <c r="W619" i="3"/>
  <c r="M620" i="3"/>
  <c r="Q620" i="3"/>
  <c r="S620" i="3"/>
  <c r="W620" i="3"/>
  <c r="M621" i="3"/>
  <c r="Q621" i="3"/>
  <c r="S621" i="3"/>
  <c r="W621" i="3"/>
  <c r="M622" i="3"/>
  <c r="Q622" i="3"/>
  <c r="S622" i="3"/>
  <c r="W622" i="3"/>
  <c r="M623" i="3"/>
  <c r="Q623" i="3"/>
  <c r="S623" i="3"/>
  <c r="W623" i="3"/>
  <c r="M624" i="3"/>
  <c r="Q624" i="3"/>
  <c r="S624" i="3"/>
  <c r="W624" i="3"/>
  <c r="M625" i="3"/>
  <c r="Q625" i="3"/>
  <c r="S625" i="3"/>
  <c r="W625" i="3"/>
  <c r="M626" i="3"/>
  <c r="Q626" i="3"/>
  <c r="S626" i="3"/>
  <c r="W626" i="3"/>
  <c r="M627" i="3"/>
  <c r="Q627" i="3"/>
  <c r="S627" i="3"/>
  <c r="W627" i="3"/>
  <c r="M628" i="3"/>
  <c r="Q628" i="3"/>
  <c r="S628" i="3"/>
  <c r="W628" i="3"/>
  <c r="M629" i="3"/>
  <c r="Q629" i="3"/>
  <c r="S629" i="3"/>
  <c r="W629" i="3"/>
  <c r="M630" i="3"/>
  <c r="Q630" i="3"/>
  <c r="S630" i="3"/>
  <c r="W630" i="3"/>
  <c r="M631" i="3"/>
  <c r="Q631" i="3"/>
  <c r="S631" i="3"/>
  <c r="W631" i="3"/>
  <c r="M632" i="3"/>
  <c r="Q632" i="3"/>
  <c r="S632" i="3"/>
  <c r="W632" i="3"/>
  <c r="M633" i="3"/>
  <c r="Q633" i="3"/>
  <c r="S633" i="3"/>
  <c r="W633" i="3"/>
  <c r="M634" i="3"/>
  <c r="Q634" i="3"/>
  <c r="S634" i="3"/>
  <c r="W634" i="3"/>
  <c r="M635" i="3"/>
  <c r="Q635" i="3"/>
  <c r="S635" i="3"/>
  <c r="W635" i="3"/>
  <c r="M636" i="3"/>
  <c r="Q636" i="3"/>
  <c r="S636" i="3"/>
  <c r="W636" i="3"/>
  <c r="M637" i="3"/>
  <c r="Q637" i="3"/>
  <c r="S637" i="3"/>
  <c r="W637" i="3"/>
  <c r="M638" i="3"/>
  <c r="Q638" i="3"/>
  <c r="S638" i="3"/>
  <c r="W638" i="3"/>
  <c r="M639" i="3"/>
  <c r="Q639" i="3"/>
  <c r="S639" i="3"/>
  <c r="W639" i="3"/>
  <c r="M640" i="3"/>
  <c r="Q640" i="3"/>
  <c r="S640" i="3"/>
  <c r="W640" i="3"/>
  <c r="M641" i="3"/>
  <c r="Q641" i="3"/>
  <c r="S641" i="3"/>
  <c r="W641" i="3"/>
  <c r="M642" i="3"/>
  <c r="Q642" i="3"/>
  <c r="S642" i="3"/>
  <c r="W642" i="3"/>
  <c r="M643" i="3"/>
  <c r="Q643" i="3"/>
  <c r="S643" i="3"/>
  <c r="W643" i="3"/>
  <c r="M644" i="3"/>
  <c r="Q644" i="3"/>
  <c r="S644" i="3"/>
  <c r="W644" i="3"/>
  <c r="M645" i="3"/>
  <c r="Q645" i="3"/>
  <c r="S645" i="3"/>
  <c r="W645" i="3"/>
  <c r="M646" i="3"/>
  <c r="Q646" i="3"/>
  <c r="S646" i="3"/>
  <c r="W646" i="3"/>
  <c r="M647" i="3"/>
  <c r="Q647" i="3"/>
  <c r="S647" i="3"/>
  <c r="W647" i="3"/>
  <c r="M648" i="3"/>
  <c r="Q648" i="3"/>
  <c r="S648" i="3"/>
  <c r="W648" i="3"/>
  <c r="M649" i="3"/>
  <c r="Q649" i="3"/>
  <c r="S649" i="3"/>
  <c r="W649" i="3"/>
  <c r="M650" i="3"/>
  <c r="Q650" i="3"/>
  <c r="S650" i="3"/>
  <c r="W650" i="3"/>
  <c r="M651" i="3"/>
  <c r="Q651" i="3"/>
  <c r="S651" i="3"/>
  <c r="W651" i="3"/>
  <c r="M652" i="3"/>
  <c r="Q652" i="3"/>
  <c r="S652" i="3"/>
  <c r="W652" i="3"/>
  <c r="M653" i="3"/>
  <c r="Q653" i="3"/>
  <c r="S653" i="3"/>
  <c r="W653" i="3"/>
  <c r="M654" i="3"/>
  <c r="Q654" i="3"/>
  <c r="S654" i="3"/>
  <c r="W654" i="3"/>
  <c r="M655" i="3"/>
  <c r="Q655" i="3"/>
  <c r="S655" i="3"/>
  <c r="W655" i="3"/>
  <c r="M656" i="3"/>
  <c r="Q656" i="3"/>
  <c r="S656" i="3"/>
  <c r="W656" i="3"/>
  <c r="M657" i="3"/>
  <c r="Q657" i="3"/>
  <c r="S657" i="3"/>
  <c r="W657" i="3"/>
  <c r="M658" i="3"/>
  <c r="Q658" i="3"/>
  <c r="S658" i="3"/>
  <c r="W658" i="3"/>
  <c r="M659" i="3"/>
  <c r="Q659" i="3"/>
  <c r="S659" i="3"/>
  <c r="W659" i="3"/>
  <c r="M660" i="3"/>
  <c r="Q660" i="3"/>
  <c r="S660" i="3"/>
  <c r="W660" i="3"/>
  <c r="M661" i="3"/>
  <c r="Q661" i="3"/>
  <c r="S661" i="3"/>
  <c r="W661" i="3"/>
  <c r="M662" i="3"/>
  <c r="Q662" i="3"/>
  <c r="S662" i="3"/>
  <c r="W662" i="3"/>
  <c r="M663" i="3"/>
  <c r="Q663" i="3"/>
  <c r="S663" i="3"/>
  <c r="W663" i="3"/>
  <c r="M664" i="3"/>
  <c r="Q664" i="3"/>
  <c r="S664" i="3"/>
  <c r="W664" i="3"/>
  <c r="M665" i="3"/>
  <c r="Q665" i="3"/>
  <c r="S665" i="3"/>
  <c r="W665" i="3"/>
  <c r="M666" i="3"/>
  <c r="Q666" i="3"/>
  <c r="S666" i="3"/>
  <c r="W666" i="3"/>
  <c r="M667" i="3"/>
  <c r="Q667" i="3"/>
  <c r="S667" i="3"/>
  <c r="W667" i="3"/>
  <c r="M668" i="3"/>
  <c r="Q668" i="3"/>
  <c r="S668" i="3"/>
  <c r="W668" i="3"/>
  <c r="M669" i="3"/>
  <c r="Q669" i="3"/>
  <c r="S669" i="3"/>
  <c r="W669" i="3"/>
  <c r="M670" i="3"/>
  <c r="Q670" i="3"/>
  <c r="S670" i="3"/>
  <c r="W670" i="3"/>
  <c r="M671" i="3"/>
  <c r="Q671" i="3"/>
  <c r="S671" i="3"/>
  <c r="W671" i="3"/>
  <c r="M672" i="3"/>
  <c r="Q672" i="3"/>
  <c r="S672" i="3"/>
  <c r="W672" i="3"/>
  <c r="M673" i="3"/>
  <c r="Q673" i="3"/>
  <c r="S673" i="3"/>
  <c r="W673" i="3"/>
  <c r="M674" i="3"/>
  <c r="Q674" i="3"/>
  <c r="S674" i="3"/>
  <c r="W674" i="3"/>
  <c r="M675" i="3"/>
  <c r="Q675" i="3"/>
  <c r="S675" i="3"/>
  <c r="W675" i="3"/>
  <c r="M676" i="3"/>
  <c r="Q676" i="3"/>
  <c r="S676" i="3"/>
  <c r="W676" i="3"/>
  <c r="M677" i="3"/>
  <c r="Q677" i="3"/>
  <c r="S677" i="3"/>
  <c r="W677" i="3"/>
  <c r="M678" i="3"/>
  <c r="Q678" i="3"/>
  <c r="S678" i="3"/>
  <c r="W678" i="3"/>
  <c r="M679" i="3"/>
  <c r="Q679" i="3"/>
  <c r="S679" i="3"/>
  <c r="W679" i="3"/>
  <c r="M680" i="3"/>
  <c r="Q680" i="3"/>
  <c r="S680" i="3"/>
  <c r="W680" i="3"/>
  <c r="M681" i="3"/>
  <c r="Q681" i="3"/>
  <c r="S681" i="3"/>
  <c r="W681" i="3"/>
  <c r="M682" i="3"/>
  <c r="Q682" i="3"/>
  <c r="S682" i="3"/>
  <c r="W682" i="3"/>
  <c r="M683" i="3"/>
  <c r="Q683" i="3"/>
  <c r="S683" i="3"/>
  <c r="W683" i="3"/>
  <c r="M684" i="3"/>
  <c r="Q684" i="3"/>
  <c r="S684" i="3"/>
  <c r="W684" i="3"/>
  <c r="M685" i="3"/>
  <c r="Q685" i="3"/>
  <c r="S685" i="3"/>
  <c r="W685" i="3"/>
  <c r="M686" i="3"/>
  <c r="Q686" i="3"/>
  <c r="S686" i="3"/>
  <c r="W686" i="3"/>
  <c r="M687" i="3"/>
  <c r="Q687" i="3"/>
  <c r="S687" i="3"/>
  <c r="W687" i="3"/>
  <c r="M688" i="3"/>
  <c r="Q688" i="3"/>
  <c r="S688" i="3"/>
  <c r="W688" i="3"/>
  <c r="M689" i="3"/>
  <c r="Q689" i="3"/>
  <c r="S689" i="3"/>
  <c r="W689" i="3"/>
  <c r="M690" i="3"/>
  <c r="Q690" i="3"/>
  <c r="S690" i="3"/>
  <c r="W690" i="3"/>
  <c r="M691" i="3"/>
  <c r="Q691" i="3"/>
  <c r="S691" i="3"/>
  <c r="W691" i="3"/>
  <c r="M692" i="3"/>
  <c r="Q692" i="3"/>
  <c r="S692" i="3"/>
  <c r="W692" i="3"/>
  <c r="M693" i="3"/>
  <c r="Q693" i="3"/>
  <c r="S693" i="3"/>
  <c r="W693" i="3"/>
  <c r="M694" i="3"/>
  <c r="Q694" i="3"/>
  <c r="S694" i="3"/>
  <c r="W694" i="3"/>
  <c r="M695" i="3"/>
  <c r="Q695" i="3"/>
  <c r="S695" i="3"/>
  <c r="W695" i="3"/>
  <c r="M696" i="3"/>
  <c r="Q696" i="3"/>
  <c r="S696" i="3"/>
  <c r="W696" i="3"/>
  <c r="M697" i="3"/>
  <c r="Q697" i="3"/>
  <c r="S697" i="3"/>
  <c r="W697" i="3"/>
  <c r="M698" i="3"/>
  <c r="Q698" i="3"/>
  <c r="S698" i="3"/>
  <c r="W698" i="3"/>
  <c r="M699" i="3"/>
  <c r="Q699" i="3"/>
  <c r="S699" i="3"/>
  <c r="W699" i="3"/>
  <c r="M700" i="3"/>
  <c r="Q700" i="3"/>
  <c r="S700" i="3"/>
  <c r="W700" i="3"/>
  <c r="M701" i="3"/>
  <c r="Q701" i="3"/>
  <c r="S701" i="3"/>
  <c r="W701" i="3"/>
  <c r="M702" i="3"/>
  <c r="Q702" i="3"/>
  <c r="S702" i="3"/>
  <c r="W702" i="3"/>
  <c r="M703" i="3"/>
  <c r="Q703" i="3"/>
  <c r="S703" i="3"/>
  <c r="W703" i="3"/>
  <c r="M704" i="3"/>
  <c r="Q704" i="3"/>
  <c r="S704" i="3"/>
  <c r="W704" i="3"/>
  <c r="M705" i="3"/>
  <c r="Q705" i="3"/>
  <c r="S705" i="3"/>
  <c r="W705" i="3"/>
  <c r="M706" i="3"/>
  <c r="Q706" i="3"/>
  <c r="S706" i="3"/>
  <c r="W706" i="3"/>
  <c r="M707" i="3"/>
  <c r="Q707" i="3"/>
  <c r="S707" i="3"/>
  <c r="W707" i="3"/>
  <c r="M708" i="3"/>
  <c r="Q708" i="3"/>
  <c r="S708" i="3"/>
  <c r="W708" i="3"/>
  <c r="M709" i="3"/>
  <c r="Q709" i="3"/>
  <c r="S709" i="3"/>
  <c r="W709" i="3"/>
  <c r="M710" i="3"/>
  <c r="Q710" i="3"/>
  <c r="S710" i="3"/>
  <c r="W710" i="3"/>
  <c r="M711" i="3"/>
  <c r="Q711" i="3"/>
  <c r="S711" i="3"/>
  <c r="W711" i="3"/>
  <c r="M712" i="3"/>
  <c r="Q712" i="3"/>
  <c r="S712" i="3"/>
  <c r="W712" i="3"/>
  <c r="M713" i="3"/>
  <c r="Q713" i="3"/>
  <c r="S713" i="3"/>
  <c r="W713" i="3"/>
  <c r="M714" i="3"/>
  <c r="Q714" i="3"/>
  <c r="S714" i="3"/>
  <c r="W714" i="3"/>
  <c r="M715" i="3"/>
  <c r="Q715" i="3"/>
  <c r="S715" i="3"/>
  <c r="W715" i="3"/>
  <c r="M716" i="3"/>
  <c r="Q716" i="3"/>
  <c r="S716" i="3"/>
  <c r="W716" i="3"/>
  <c r="M717" i="3"/>
  <c r="Q717" i="3"/>
  <c r="S717" i="3"/>
  <c r="W717" i="3"/>
  <c r="M718" i="3"/>
  <c r="Q718" i="3"/>
  <c r="S718" i="3"/>
  <c r="W718" i="3"/>
  <c r="M719" i="3"/>
  <c r="Q719" i="3"/>
  <c r="S719" i="3"/>
  <c r="W719" i="3"/>
  <c r="M720" i="3"/>
  <c r="Q720" i="3"/>
  <c r="S720" i="3"/>
  <c r="W720" i="3"/>
  <c r="M721" i="3"/>
  <c r="Q721" i="3"/>
  <c r="S721" i="3"/>
  <c r="W721" i="3"/>
  <c r="M722" i="3"/>
  <c r="Q722" i="3"/>
  <c r="S722" i="3"/>
  <c r="W722" i="3"/>
  <c r="M723" i="3"/>
  <c r="Q723" i="3"/>
  <c r="S723" i="3"/>
  <c r="W723" i="3"/>
  <c r="M724" i="3"/>
  <c r="Q724" i="3"/>
  <c r="S724" i="3"/>
  <c r="W724" i="3"/>
  <c r="M725" i="3"/>
  <c r="Q725" i="3"/>
  <c r="S725" i="3"/>
  <c r="W725" i="3"/>
  <c r="M726" i="3"/>
  <c r="Q726" i="3"/>
  <c r="S726" i="3"/>
  <c r="W726" i="3"/>
  <c r="M727" i="3"/>
  <c r="Q727" i="3"/>
  <c r="S727" i="3"/>
  <c r="W727" i="3"/>
  <c r="M728" i="3"/>
  <c r="Q728" i="3"/>
  <c r="S728" i="3"/>
  <c r="W728" i="3"/>
  <c r="M729" i="3"/>
  <c r="Q729" i="3"/>
  <c r="S729" i="3"/>
  <c r="W729" i="3"/>
  <c r="M730" i="3"/>
  <c r="Q730" i="3"/>
  <c r="S730" i="3"/>
  <c r="W730" i="3"/>
  <c r="M731" i="3"/>
  <c r="Q731" i="3"/>
  <c r="S731" i="3"/>
  <c r="W731" i="3"/>
  <c r="M732" i="3"/>
  <c r="Q732" i="3"/>
  <c r="S732" i="3"/>
  <c r="W732" i="3"/>
  <c r="M733" i="3"/>
  <c r="Q733" i="3"/>
  <c r="S733" i="3"/>
  <c r="W733" i="3"/>
  <c r="M734" i="3"/>
  <c r="Q734" i="3"/>
  <c r="S734" i="3"/>
  <c r="W734" i="3"/>
  <c r="M735" i="3"/>
  <c r="Q735" i="3"/>
  <c r="S735" i="3"/>
  <c r="W735" i="3"/>
  <c r="M736" i="3"/>
  <c r="Q736" i="3"/>
  <c r="S736" i="3"/>
  <c r="W736" i="3"/>
  <c r="M737" i="3"/>
  <c r="Q737" i="3"/>
  <c r="S737" i="3"/>
  <c r="W737" i="3"/>
  <c r="M738" i="3"/>
  <c r="Q738" i="3"/>
  <c r="S738" i="3"/>
  <c r="W738" i="3"/>
  <c r="M739" i="3"/>
  <c r="Q739" i="3"/>
  <c r="S739" i="3"/>
  <c r="W739" i="3"/>
  <c r="M740" i="3"/>
  <c r="Q740" i="3"/>
  <c r="S740" i="3"/>
  <c r="W740" i="3"/>
  <c r="M741" i="3"/>
  <c r="Q741" i="3"/>
  <c r="S741" i="3"/>
  <c r="W741" i="3"/>
  <c r="M742" i="3"/>
  <c r="Q742" i="3"/>
  <c r="S742" i="3"/>
  <c r="W742" i="3"/>
  <c r="M743" i="3"/>
  <c r="Q743" i="3"/>
  <c r="S743" i="3"/>
  <c r="W743" i="3"/>
  <c r="M744" i="3"/>
  <c r="Q744" i="3"/>
  <c r="S744" i="3"/>
  <c r="W744" i="3"/>
  <c r="M745" i="3"/>
  <c r="Q745" i="3"/>
  <c r="S745" i="3"/>
  <c r="W745" i="3"/>
  <c r="M746" i="3"/>
  <c r="Q746" i="3"/>
  <c r="S746" i="3"/>
  <c r="W746" i="3"/>
  <c r="M747" i="3"/>
  <c r="Q747" i="3"/>
  <c r="S747" i="3"/>
  <c r="W747" i="3"/>
  <c r="M748" i="3"/>
  <c r="Q748" i="3"/>
  <c r="S748" i="3"/>
  <c r="W748" i="3"/>
  <c r="M749" i="3"/>
  <c r="Q749" i="3"/>
  <c r="S749" i="3"/>
  <c r="W749" i="3"/>
  <c r="M750" i="3"/>
  <c r="Q750" i="3"/>
  <c r="S750" i="3"/>
  <c r="W750" i="3"/>
  <c r="M751" i="3"/>
  <c r="Q751" i="3"/>
  <c r="S751" i="3"/>
  <c r="W751" i="3"/>
  <c r="M752" i="3"/>
  <c r="Q752" i="3"/>
  <c r="S752" i="3"/>
  <c r="W752" i="3"/>
  <c r="M753" i="3"/>
  <c r="Q753" i="3"/>
  <c r="S753" i="3"/>
  <c r="W753" i="3"/>
  <c r="M754" i="3"/>
  <c r="Q754" i="3"/>
  <c r="S754" i="3"/>
  <c r="W754" i="3"/>
  <c r="M755" i="3"/>
  <c r="Q755" i="3"/>
  <c r="S755" i="3"/>
  <c r="W755" i="3"/>
  <c r="M756" i="3"/>
  <c r="Q756" i="3"/>
  <c r="S756" i="3"/>
  <c r="W756" i="3"/>
  <c r="M757" i="3"/>
  <c r="Q757" i="3"/>
  <c r="S757" i="3"/>
  <c r="W757" i="3"/>
  <c r="M758" i="3"/>
  <c r="Q758" i="3"/>
  <c r="S758" i="3"/>
  <c r="W758" i="3"/>
  <c r="M759" i="3"/>
  <c r="Q759" i="3"/>
  <c r="S759" i="3"/>
  <c r="W759" i="3"/>
  <c r="M760" i="3"/>
  <c r="Q760" i="3"/>
  <c r="S760" i="3"/>
  <c r="W760" i="3"/>
  <c r="M761" i="3"/>
  <c r="Q761" i="3"/>
  <c r="S761" i="3"/>
  <c r="W761" i="3"/>
  <c r="M762" i="3"/>
  <c r="Q762" i="3"/>
  <c r="S762" i="3"/>
  <c r="W762" i="3"/>
  <c r="M763" i="3"/>
  <c r="Q763" i="3"/>
  <c r="S763" i="3"/>
  <c r="W763" i="3"/>
  <c r="M764" i="3"/>
  <c r="Q764" i="3"/>
  <c r="S764" i="3"/>
  <c r="W764" i="3"/>
  <c r="M765" i="3"/>
  <c r="Q765" i="3"/>
  <c r="S765" i="3"/>
  <c r="W765" i="3"/>
  <c r="M766" i="3"/>
  <c r="Q766" i="3"/>
  <c r="S766" i="3"/>
  <c r="W766" i="3"/>
  <c r="M767" i="3"/>
  <c r="Q767" i="3"/>
  <c r="S767" i="3"/>
  <c r="W767" i="3"/>
  <c r="M768" i="3"/>
  <c r="Q768" i="3"/>
  <c r="S768" i="3"/>
  <c r="W768" i="3"/>
  <c r="M769" i="3"/>
  <c r="Q769" i="3"/>
  <c r="S769" i="3"/>
  <c r="W769" i="3"/>
  <c r="M770" i="3"/>
  <c r="Q770" i="3"/>
  <c r="S770" i="3"/>
  <c r="W770" i="3"/>
  <c r="M771" i="3"/>
  <c r="Q771" i="3"/>
  <c r="S771" i="3"/>
  <c r="W771" i="3"/>
  <c r="M772" i="3"/>
  <c r="Q772" i="3"/>
  <c r="S772" i="3"/>
  <c r="W772" i="3"/>
  <c r="M773" i="3"/>
  <c r="Q773" i="3"/>
  <c r="S773" i="3"/>
  <c r="W773" i="3"/>
  <c r="M774" i="3"/>
  <c r="Q774" i="3"/>
  <c r="S774" i="3"/>
  <c r="W774" i="3"/>
  <c r="M775" i="3"/>
  <c r="Q775" i="3"/>
  <c r="S775" i="3"/>
  <c r="W775" i="3"/>
  <c r="M776" i="3"/>
  <c r="Q776" i="3"/>
  <c r="S776" i="3"/>
  <c r="W776" i="3"/>
  <c r="M777" i="3"/>
  <c r="Q777" i="3"/>
  <c r="S777" i="3"/>
  <c r="W777" i="3"/>
  <c r="M778" i="3"/>
  <c r="Q778" i="3"/>
  <c r="S778" i="3"/>
  <c r="W778" i="3"/>
  <c r="M779" i="3"/>
  <c r="Q779" i="3"/>
  <c r="S779" i="3"/>
  <c r="W779" i="3"/>
  <c r="M780" i="3"/>
  <c r="Q780" i="3"/>
  <c r="S780" i="3"/>
  <c r="W780" i="3"/>
  <c r="M781" i="3"/>
  <c r="Q781" i="3"/>
  <c r="S781" i="3"/>
  <c r="W781" i="3"/>
  <c r="M782" i="3"/>
  <c r="Q782" i="3"/>
  <c r="S782" i="3"/>
  <c r="W782" i="3"/>
  <c r="M783" i="3"/>
  <c r="Q783" i="3"/>
  <c r="S783" i="3"/>
  <c r="W783" i="3"/>
  <c r="M784" i="3"/>
  <c r="Q784" i="3"/>
  <c r="S784" i="3"/>
  <c r="W784" i="3"/>
  <c r="M785" i="3"/>
  <c r="Q785" i="3"/>
  <c r="S785" i="3"/>
  <c r="W785" i="3"/>
  <c r="M786" i="3"/>
  <c r="Q786" i="3"/>
  <c r="S786" i="3"/>
  <c r="W786" i="3"/>
  <c r="M787" i="3"/>
  <c r="Q787" i="3"/>
  <c r="S787" i="3"/>
  <c r="W787" i="3"/>
  <c r="M788" i="3"/>
  <c r="Q788" i="3"/>
  <c r="S788" i="3"/>
  <c r="W788" i="3"/>
  <c r="M789" i="3"/>
  <c r="Q789" i="3"/>
  <c r="S789" i="3"/>
  <c r="W789" i="3"/>
  <c r="M790" i="3"/>
  <c r="Q790" i="3"/>
  <c r="S790" i="3"/>
  <c r="W790" i="3"/>
  <c r="M791" i="3"/>
  <c r="Q791" i="3"/>
  <c r="S791" i="3"/>
  <c r="W791" i="3"/>
  <c r="M792" i="3"/>
  <c r="Q792" i="3"/>
  <c r="S792" i="3"/>
  <c r="W792" i="3"/>
  <c r="M793" i="3"/>
  <c r="Q793" i="3"/>
  <c r="S793" i="3"/>
  <c r="W793" i="3"/>
  <c r="M794" i="3"/>
  <c r="Q794" i="3"/>
  <c r="S794" i="3"/>
  <c r="W794" i="3"/>
  <c r="M795" i="3"/>
  <c r="Q795" i="3"/>
  <c r="S795" i="3"/>
  <c r="W795" i="3"/>
  <c r="M796" i="3"/>
  <c r="Q796" i="3"/>
  <c r="S796" i="3"/>
  <c r="W796" i="3"/>
  <c r="M797" i="3"/>
  <c r="Q797" i="3"/>
  <c r="S797" i="3"/>
  <c r="W797" i="3"/>
  <c r="M798" i="3"/>
  <c r="Q798" i="3"/>
  <c r="S798" i="3"/>
  <c r="W798" i="3"/>
  <c r="M799" i="3"/>
  <c r="Q799" i="3"/>
  <c r="S799" i="3"/>
  <c r="W799" i="3"/>
  <c r="M800" i="3"/>
  <c r="Q800" i="3"/>
  <c r="S800" i="3"/>
  <c r="W800" i="3"/>
  <c r="M801" i="3"/>
  <c r="Q801" i="3"/>
  <c r="S801" i="3"/>
  <c r="W801" i="3"/>
  <c r="M802" i="3"/>
  <c r="Q802" i="3"/>
  <c r="S802" i="3"/>
  <c r="W802" i="3"/>
  <c r="M803" i="3"/>
  <c r="Q803" i="3"/>
  <c r="S803" i="3"/>
  <c r="W803" i="3"/>
  <c r="M804" i="3"/>
  <c r="Q804" i="3"/>
  <c r="S804" i="3"/>
  <c r="W804" i="3"/>
  <c r="M805" i="3"/>
  <c r="Q805" i="3"/>
  <c r="S805" i="3"/>
  <c r="W805" i="3"/>
  <c r="M806" i="3"/>
  <c r="Q806" i="3"/>
  <c r="S806" i="3"/>
  <c r="W806" i="3"/>
  <c r="M807" i="3"/>
  <c r="Q807" i="3"/>
  <c r="S807" i="3"/>
  <c r="W807" i="3"/>
  <c r="M808" i="3"/>
  <c r="Q808" i="3"/>
  <c r="S808" i="3"/>
  <c r="W808" i="3"/>
  <c r="M809" i="3"/>
  <c r="Q809" i="3"/>
  <c r="S809" i="3"/>
  <c r="W809" i="3"/>
  <c r="M810" i="3"/>
  <c r="Q810" i="3"/>
  <c r="S810" i="3"/>
  <c r="W810" i="3"/>
  <c r="M811" i="3"/>
  <c r="Q811" i="3"/>
  <c r="S811" i="3"/>
  <c r="W811" i="3"/>
  <c r="M812" i="3"/>
  <c r="Q812" i="3"/>
  <c r="S812" i="3"/>
  <c r="W812" i="3"/>
  <c r="M813" i="3"/>
  <c r="Q813" i="3"/>
  <c r="S813" i="3"/>
  <c r="W813" i="3"/>
  <c r="M814" i="3"/>
  <c r="Q814" i="3"/>
  <c r="S814" i="3"/>
  <c r="W814" i="3"/>
  <c r="M815" i="3"/>
  <c r="Q815" i="3"/>
  <c r="S815" i="3"/>
  <c r="W815" i="3"/>
  <c r="M816" i="3"/>
  <c r="Q816" i="3"/>
  <c r="S816" i="3"/>
  <c r="W816" i="3"/>
  <c r="M817" i="3"/>
  <c r="Q817" i="3"/>
  <c r="S817" i="3"/>
  <c r="W817" i="3"/>
  <c r="M818" i="3"/>
  <c r="Q818" i="3"/>
  <c r="S818" i="3"/>
  <c r="W818" i="3"/>
  <c r="M819" i="3"/>
  <c r="Q819" i="3"/>
  <c r="S819" i="3"/>
  <c r="W819" i="3"/>
  <c r="M820" i="3"/>
  <c r="Q820" i="3"/>
  <c r="S820" i="3"/>
  <c r="W820" i="3"/>
  <c r="M821" i="3"/>
  <c r="Q821" i="3"/>
  <c r="S821" i="3"/>
  <c r="W821" i="3"/>
  <c r="M822" i="3"/>
  <c r="Q822" i="3"/>
  <c r="S822" i="3"/>
  <c r="W822" i="3"/>
  <c r="M823" i="3"/>
  <c r="Q823" i="3"/>
  <c r="S823" i="3"/>
  <c r="W823" i="3"/>
  <c r="M824" i="3"/>
  <c r="Q824" i="3"/>
  <c r="S824" i="3"/>
  <c r="W824" i="3"/>
  <c r="M825" i="3"/>
  <c r="Q825" i="3"/>
  <c r="S825" i="3"/>
  <c r="W825" i="3"/>
  <c r="M826" i="3"/>
  <c r="Q826" i="3"/>
  <c r="S826" i="3"/>
  <c r="W826" i="3"/>
  <c r="M827" i="3"/>
  <c r="Q827" i="3"/>
  <c r="S827" i="3"/>
  <c r="W827" i="3"/>
  <c r="M828" i="3"/>
  <c r="Q828" i="3"/>
  <c r="S828" i="3"/>
  <c r="W828" i="3"/>
  <c r="M829" i="3"/>
  <c r="Q829" i="3"/>
  <c r="S829" i="3"/>
  <c r="W829" i="3"/>
  <c r="M830" i="3"/>
  <c r="Q830" i="3"/>
  <c r="S830" i="3"/>
  <c r="W830" i="3"/>
  <c r="M831" i="3"/>
  <c r="Q831" i="3"/>
  <c r="S831" i="3"/>
  <c r="W831" i="3"/>
  <c r="M832" i="3"/>
  <c r="Q832" i="3"/>
  <c r="S832" i="3"/>
  <c r="W832" i="3"/>
  <c r="M833" i="3"/>
  <c r="Q833" i="3"/>
  <c r="S833" i="3"/>
  <c r="W833" i="3"/>
  <c r="M834" i="3"/>
  <c r="Q834" i="3"/>
  <c r="S834" i="3"/>
  <c r="W834" i="3"/>
  <c r="M835" i="3"/>
  <c r="Q835" i="3"/>
  <c r="S835" i="3"/>
  <c r="W835" i="3"/>
  <c r="M836" i="3"/>
  <c r="Q836" i="3"/>
  <c r="S836" i="3"/>
  <c r="W836" i="3"/>
  <c r="M837" i="3"/>
  <c r="Q837" i="3"/>
  <c r="S837" i="3"/>
  <c r="W837" i="3"/>
  <c r="M838" i="3"/>
  <c r="Q838" i="3"/>
  <c r="S838" i="3"/>
  <c r="W838" i="3"/>
  <c r="M839" i="3"/>
  <c r="Q839" i="3"/>
  <c r="S839" i="3"/>
  <c r="W839" i="3"/>
  <c r="M840" i="3"/>
  <c r="Q840" i="3"/>
  <c r="S840" i="3"/>
  <c r="W840" i="3"/>
  <c r="M841" i="3"/>
  <c r="Q841" i="3"/>
  <c r="S841" i="3"/>
  <c r="W841" i="3"/>
  <c r="M842" i="3"/>
  <c r="Q842" i="3"/>
  <c r="S842" i="3"/>
  <c r="W842" i="3"/>
  <c r="M843" i="3"/>
  <c r="Q843" i="3"/>
  <c r="S843" i="3"/>
  <c r="W843" i="3"/>
  <c r="M844" i="3"/>
  <c r="Q844" i="3"/>
  <c r="S844" i="3"/>
  <c r="W844" i="3"/>
  <c r="M845" i="3"/>
  <c r="Q845" i="3"/>
  <c r="S845" i="3"/>
  <c r="W845" i="3"/>
  <c r="M846" i="3"/>
  <c r="Q846" i="3"/>
  <c r="S846" i="3"/>
  <c r="W846" i="3"/>
  <c r="M847" i="3"/>
  <c r="Q847" i="3"/>
  <c r="S847" i="3"/>
  <c r="W847" i="3"/>
  <c r="M848" i="3"/>
  <c r="Q848" i="3"/>
  <c r="S848" i="3"/>
  <c r="W848" i="3"/>
  <c r="M849" i="3"/>
  <c r="Q849" i="3"/>
  <c r="S849" i="3"/>
  <c r="W849" i="3"/>
  <c r="M850" i="3"/>
  <c r="Q850" i="3"/>
  <c r="S850" i="3"/>
  <c r="W850" i="3"/>
  <c r="M851" i="3"/>
  <c r="Q851" i="3"/>
  <c r="S851" i="3"/>
  <c r="W851" i="3"/>
  <c r="M852" i="3"/>
  <c r="Q852" i="3"/>
  <c r="S852" i="3"/>
  <c r="W852" i="3"/>
  <c r="M853" i="3"/>
  <c r="Q853" i="3"/>
  <c r="S853" i="3"/>
  <c r="W853" i="3"/>
  <c r="M854" i="3"/>
  <c r="Q854" i="3"/>
  <c r="S854" i="3"/>
  <c r="W854" i="3"/>
  <c r="M855" i="3"/>
  <c r="Q855" i="3"/>
  <c r="S855" i="3"/>
  <c r="W855" i="3"/>
  <c r="M856" i="3"/>
  <c r="Q856" i="3"/>
  <c r="S856" i="3"/>
  <c r="W856" i="3"/>
  <c r="M857" i="3"/>
  <c r="Q857" i="3"/>
  <c r="S857" i="3"/>
  <c r="W857" i="3"/>
  <c r="M858" i="3"/>
  <c r="Q858" i="3"/>
  <c r="S858" i="3"/>
  <c r="W858" i="3"/>
  <c r="M859" i="3"/>
  <c r="Q859" i="3"/>
  <c r="S859" i="3"/>
  <c r="W859" i="3"/>
  <c r="M860" i="3"/>
  <c r="Q860" i="3"/>
  <c r="S860" i="3"/>
  <c r="W860" i="3"/>
  <c r="M861" i="3"/>
  <c r="Q861" i="3"/>
  <c r="S861" i="3"/>
  <c r="W861" i="3"/>
  <c r="M862" i="3"/>
  <c r="Q862" i="3"/>
  <c r="S862" i="3"/>
  <c r="W862" i="3"/>
  <c r="M863" i="3"/>
  <c r="Q863" i="3"/>
  <c r="S863" i="3"/>
  <c r="W863" i="3"/>
  <c r="M864" i="3"/>
  <c r="Q864" i="3"/>
  <c r="S864" i="3"/>
  <c r="W864" i="3"/>
  <c r="M865" i="3"/>
  <c r="Q865" i="3"/>
  <c r="S865" i="3"/>
  <c r="W865" i="3"/>
  <c r="M866" i="3"/>
  <c r="Q866" i="3"/>
  <c r="S866" i="3"/>
  <c r="W866" i="3"/>
  <c r="M867" i="3"/>
  <c r="Q867" i="3"/>
  <c r="S867" i="3"/>
  <c r="W867" i="3"/>
  <c r="M868" i="3"/>
  <c r="Q868" i="3"/>
  <c r="S868" i="3"/>
  <c r="W868" i="3"/>
  <c r="M869" i="3"/>
  <c r="Q869" i="3"/>
  <c r="S869" i="3"/>
  <c r="W869" i="3"/>
  <c r="M870" i="3"/>
  <c r="Q870" i="3"/>
  <c r="S870" i="3"/>
  <c r="W870" i="3"/>
  <c r="M871" i="3"/>
  <c r="Q871" i="3"/>
  <c r="S871" i="3"/>
  <c r="W871" i="3"/>
  <c r="M872" i="3"/>
  <c r="Q872" i="3"/>
  <c r="S872" i="3"/>
  <c r="W872" i="3"/>
  <c r="M873" i="3"/>
  <c r="Q873" i="3"/>
  <c r="S873" i="3"/>
  <c r="W873" i="3"/>
  <c r="M874" i="3"/>
  <c r="Q874" i="3"/>
  <c r="S874" i="3"/>
  <c r="W874" i="3"/>
  <c r="M875" i="3"/>
  <c r="Q875" i="3"/>
  <c r="S875" i="3"/>
  <c r="W875" i="3"/>
  <c r="M876" i="3"/>
  <c r="Q876" i="3"/>
  <c r="S876" i="3"/>
  <c r="W876" i="3"/>
  <c r="M877" i="3"/>
  <c r="Q877" i="3"/>
  <c r="S877" i="3"/>
  <c r="W877" i="3"/>
  <c r="M878" i="3"/>
  <c r="Q878" i="3"/>
  <c r="S878" i="3"/>
  <c r="W878" i="3"/>
  <c r="M879" i="3"/>
  <c r="Q879" i="3"/>
  <c r="S879" i="3"/>
  <c r="W879" i="3"/>
  <c r="M880" i="3"/>
  <c r="Q880" i="3"/>
  <c r="S880" i="3"/>
  <c r="W880" i="3"/>
  <c r="M881" i="3"/>
  <c r="Q881" i="3"/>
  <c r="S881" i="3"/>
  <c r="W881" i="3"/>
  <c r="M882" i="3"/>
  <c r="Q882" i="3"/>
  <c r="S882" i="3"/>
  <c r="W882" i="3"/>
  <c r="M883" i="3"/>
  <c r="Q883" i="3"/>
  <c r="S883" i="3"/>
  <c r="W883" i="3"/>
  <c r="M884" i="3"/>
  <c r="Q884" i="3"/>
  <c r="S884" i="3"/>
  <c r="W884" i="3"/>
  <c r="M885" i="3"/>
  <c r="Q885" i="3"/>
  <c r="S885" i="3"/>
  <c r="W885" i="3"/>
  <c r="M886" i="3"/>
  <c r="Q886" i="3"/>
  <c r="S886" i="3"/>
  <c r="W886" i="3"/>
  <c r="M887" i="3"/>
  <c r="Q887" i="3"/>
  <c r="S887" i="3"/>
  <c r="W887" i="3"/>
  <c r="M888" i="3"/>
  <c r="Q888" i="3"/>
  <c r="S888" i="3"/>
  <c r="W888" i="3"/>
  <c r="M889" i="3"/>
  <c r="Q889" i="3"/>
  <c r="S889" i="3"/>
  <c r="W889" i="3"/>
  <c r="M890" i="3"/>
  <c r="Q890" i="3"/>
  <c r="S890" i="3"/>
  <c r="W890" i="3"/>
  <c r="M891" i="3"/>
  <c r="Q891" i="3"/>
  <c r="S891" i="3"/>
  <c r="W891" i="3"/>
  <c r="M892" i="3"/>
  <c r="Q892" i="3"/>
  <c r="S892" i="3"/>
  <c r="W892" i="3"/>
  <c r="M893" i="3"/>
  <c r="Q893" i="3"/>
  <c r="S893" i="3"/>
  <c r="W893" i="3"/>
  <c r="M894" i="3"/>
  <c r="Q894" i="3"/>
  <c r="S894" i="3"/>
  <c r="W894" i="3"/>
  <c r="M895" i="3"/>
  <c r="Q895" i="3"/>
  <c r="S895" i="3"/>
  <c r="W895" i="3"/>
  <c r="M896" i="3"/>
  <c r="Q896" i="3"/>
  <c r="S896" i="3"/>
  <c r="W896" i="3"/>
  <c r="M897" i="3"/>
  <c r="Q897" i="3"/>
  <c r="S897" i="3"/>
  <c r="W897" i="3"/>
  <c r="M898" i="3"/>
  <c r="Q898" i="3"/>
  <c r="S898" i="3"/>
  <c r="W898" i="3"/>
  <c r="M899" i="3"/>
  <c r="Q899" i="3"/>
  <c r="S899" i="3"/>
  <c r="W899" i="3"/>
  <c r="M900" i="3"/>
  <c r="Q900" i="3"/>
  <c r="S900" i="3"/>
  <c r="W900" i="3"/>
  <c r="M901" i="3"/>
  <c r="Q901" i="3"/>
  <c r="S901" i="3"/>
  <c r="W901" i="3"/>
  <c r="M902" i="3"/>
  <c r="Q902" i="3"/>
  <c r="S902" i="3"/>
  <c r="W902" i="3"/>
  <c r="M903" i="3"/>
  <c r="Q903" i="3"/>
  <c r="S903" i="3"/>
  <c r="W903" i="3"/>
  <c r="M904" i="3"/>
  <c r="Q904" i="3"/>
  <c r="S904" i="3"/>
  <c r="W904" i="3"/>
  <c r="M905" i="3"/>
  <c r="Q905" i="3"/>
  <c r="S905" i="3"/>
  <c r="W905" i="3"/>
  <c r="M906" i="3"/>
  <c r="Q906" i="3"/>
  <c r="S906" i="3"/>
  <c r="W906" i="3"/>
  <c r="M907" i="3"/>
  <c r="Q907" i="3"/>
  <c r="S907" i="3"/>
  <c r="W907" i="3"/>
  <c r="M908" i="3"/>
  <c r="Q908" i="3"/>
  <c r="S908" i="3"/>
  <c r="W908" i="3"/>
  <c r="M909" i="3"/>
  <c r="Q909" i="3"/>
  <c r="S909" i="3"/>
  <c r="W909" i="3"/>
  <c r="M910" i="3"/>
  <c r="Q910" i="3"/>
  <c r="S910" i="3"/>
  <c r="W910" i="3"/>
  <c r="M911" i="3"/>
  <c r="Q911" i="3"/>
  <c r="S911" i="3"/>
  <c r="W911" i="3"/>
  <c r="M912" i="3"/>
  <c r="Q912" i="3"/>
  <c r="S912" i="3"/>
  <c r="W912" i="3"/>
  <c r="M913" i="3"/>
  <c r="Q913" i="3"/>
  <c r="S913" i="3"/>
  <c r="W913" i="3"/>
  <c r="M914" i="3"/>
  <c r="Q914" i="3"/>
  <c r="S914" i="3"/>
  <c r="W914" i="3"/>
  <c r="M915" i="3"/>
  <c r="Q915" i="3"/>
  <c r="S915" i="3"/>
  <c r="W915" i="3"/>
  <c r="M916" i="3"/>
  <c r="Q916" i="3"/>
  <c r="S916" i="3"/>
  <c r="W916" i="3"/>
  <c r="M917" i="3"/>
  <c r="Q917" i="3"/>
  <c r="S917" i="3"/>
  <c r="W917" i="3"/>
  <c r="M918" i="3"/>
  <c r="Q918" i="3"/>
  <c r="S918" i="3"/>
  <c r="W918" i="3"/>
  <c r="M919" i="3"/>
  <c r="Q919" i="3"/>
  <c r="S919" i="3"/>
  <c r="W919" i="3"/>
  <c r="M920" i="3"/>
  <c r="Q920" i="3"/>
  <c r="S920" i="3"/>
  <c r="W920" i="3"/>
  <c r="M921" i="3"/>
  <c r="Q921" i="3"/>
  <c r="S921" i="3"/>
  <c r="W921" i="3"/>
  <c r="M922" i="3"/>
  <c r="Q922" i="3"/>
  <c r="S922" i="3"/>
  <c r="W922" i="3"/>
  <c r="M923" i="3"/>
  <c r="Q923" i="3"/>
  <c r="S923" i="3"/>
  <c r="W923" i="3"/>
  <c r="M924" i="3"/>
  <c r="Q924" i="3"/>
  <c r="S924" i="3"/>
  <c r="W924" i="3"/>
  <c r="M925" i="3"/>
  <c r="Q925" i="3"/>
  <c r="S925" i="3"/>
  <c r="W925" i="3"/>
  <c r="M926" i="3"/>
  <c r="Q926" i="3"/>
  <c r="S926" i="3"/>
  <c r="W926" i="3"/>
  <c r="M927" i="3"/>
  <c r="Q927" i="3"/>
  <c r="S927" i="3"/>
  <c r="W927" i="3"/>
  <c r="M928" i="3"/>
  <c r="Q928" i="3"/>
  <c r="S928" i="3"/>
  <c r="W928" i="3"/>
  <c r="M929" i="3"/>
  <c r="Q929" i="3"/>
  <c r="S929" i="3"/>
  <c r="W929" i="3"/>
  <c r="M930" i="3"/>
  <c r="Q930" i="3"/>
  <c r="S930" i="3"/>
  <c r="W930" i="3"/>
  <c r="M931" i="3"/>
  <c r="Q931" i="3"/>
  <c r="S931" i="3"/>
  <c r="W931" i="3"/>
  <c r="M932" i="3"/>
  <c r="Q932" i="3"/>
  <c r="S932" i="3"/>
  <c r="W932" i="3"/>
  <c r="M933" i="3"/>
  <c r="Q933" i="3"/>
  <c r="S933" i="3"/>
  <c r="W933" i="3"/>
  <c r="M934" i="3"/>
  <c r="Q934" i="3"/>
  <c r="S934" i="3"/>
  <c r="W934" i="3"/>
  <c r="M935" i="3"/>
  <c r="Q935" i="3"/>
  <c r="S935" i="3"/>
  <c r="W935" i="3"/>
  <c r="M936" i="3"/>
  <c r="Q936" i="3"/>
  <c r="S936" i="3"/>
  <c r="W936" i="3"/>
  <c r="M937" i="3"/>
  <c r="Q937" i="3"/>
  <c r="S937" i="3"/>
  <c r="W937" i="3"/>
  <c r="M938" i="3"/>
  <c r="Q938" i="3"/>
  <c r="S938" i="3"/>
  <c r="W938" i="3"/>
  <c r="M939" i="3"/>
  <c r="Q939" i="3"/>
  <c r="S939" i="3"/>
  <c r="W939" i="3"/>
  <c r="M940" i="3"/>
  <c r="Q940" i="3"/>
  <c r="S940" i="3"/>
  <c r="W940" i="3"/>
  <c r="M941" i="3"/>
  <c r="Q941" i="3"/>
  <c r="S941" i="3"/>
  <c r="W941" i="3"/>
  <c r="M942" i="3"/>
  <c r="Q942" i="3"/>
  <c r="S942" i="3"/>
  <c r="W942" i="3"/>
  <c r="M943" i="3"/>
  <c r="Q943" i="3"/>
  <c r="S943" i="3"/>
  <c r="W943" i="3"/>
  <c r="M944" i="3"/>
  <c r="Q944" i="3"/>
  <c r="S944" i="3"/>
  <c r="W944" i="3"/>
  <c r="M945" i="3"/>
  <c r="Q945" i="3"/>
  <c r="S945" i="3"/>
  <c r="W945" i="3"/>
  <c r="M946" i="3"/>
  <c r="Q946" i="3"/>
  <c r="S946" i="3"/>
  <c r="W946" i="3"/>
  <c r="M947" i="3"/>
  <c r="Q947" i="3"/>
  <c r="S947" i="3"/>
  <c r="W947" i="3"/>
  <c r="M948" i="3"/>
  <c r="Q948" i="3"/>
  <c r="S948" i="3"/>
  <c r="W948" i="3"/>
  <c r="M949" i="3"/>
  <c r="Q949" i="3"/>
  <c r="S949" i="3"/>
  <c r="W949" i="3"/>
  <c r="M950" i="3"/>
  <c r="Q950" i="3"/>
  <c r="S950" i="3"/>
  <c r="W950" i="3"/>
  <c r="M951" i="3"/>
  <c r="Q951" i="3"/>
  <c r="S951" i="3"/>
  <c r="W951" i="3"/>
  <c r="M952" i="3"/>
  <c r="Q952" i="3"/>
  <c r="S952" i="3"/>
  <c r="W952" i="3"/>
  <c r="M953" i="3"/>
  <c r="Q953" i="3"/>
  <c r="S953" i="3"/>
  <c r="W953" i="3"/>
  <c r="M954" i="3"/>
  <c r="Q954" i="3"/>
  <c r="S954" i="3"/>
  <c r="W954" i="3"/>
  <c r="M955" i="3"/>
  <c r="Q955" i="3"/>
  <c r="S955" i="3"/>
  <c r="W955" i="3"/>
  <c r="M956" i="3"/>
  <c r="Q956" i="3"/>
  <c r="S956" i="3"/>
  <c r="W956" i="3"/>
  <c r="M957" i="3"/>
  <c r="Q957" i="3"/>
  <c r="S957" i="3"/>
  <c r="W957" i="3"/>
  <c r="M958" i="3"/>
  <c r="Q958" i="3"/>
  <c r="S958" i="3"/>
  <c r="W958" i="3"/>
  <c r="M959" i="3"/>
  <c r="Q959" i="3"/>
  <c r="S959" i="3"/>
  <c r="W959" i="3"/>
  <c r="M960" i="3"/>
  <c r="Q960" i="3"/>
  <c r="S960" i="3"/>
  <c r="W960" i="3"/>
  <c r="M961" i="3"/>
  <c r="Q961" i="3"/>
  <c r="S961" i="3"/>
  <c r="W961" i="3"/>
  <c r="M962" i="3"/>
  <c r="Q962" i="3"/>
  <c r="S962" i="3"/>
  <c r="W962" i="3"/>
  <c r="M963" i="3"/>
  <c r="Q963" i="3"/>
  <c r="S963" i="3"/>
  <c r="W963" i="3"/>
  <c r="M964" i="3"/>
  <c r="Q964" i="3"/>
  <c r="S964" i="3"/>
  <c r="W964" i="3"/>
  <c r="M965" i="3"/>
  <c r="Q965" i="3"/>
  <c r="S965" i="3"/>
  <c r="W965" i="3"/>
  <c r="M966" i="3"/>
  <c r="Q966" i="3"/>
  <c r="S966" i="3"/>
  <c r="W966" i="3"/>
  <c r="M967" i="3"/>
  <c r="Q967" i="3"/>
  <c r="S967" i="3"/>
  <c r="W967" i="3"/>
  <c r="M968" i="3"/>
  <c r="Q968" i="3"/>
  <c r="S968" i="3"/>
  <c r="W968" i="3"/>
  <c r="M969" i="3"/>
  <c r="Q969" i="3"/>
  <c r="S969" i="3"/>
  <c r="W969" i="3"/>
  <c r="M970" i="3"/>
  <c r="Q970" i="3"/>
  <c r="S970" i="3"/>
  <c r="W970" i="3"/>
  <c r="M971" i="3"/>
  <c r="Q971" i="3"/>
  <c r="S971" i="3"/>
  <c r="W971" i="3"/>
  <c r="M972" i="3"/>
  <c r="Q972" i="3"/>
  <c r="S972" i="3"/>
  <c r="W972" i="3"/>
  <c r="M973" i="3"/>
  <c r="Q973" i="3"/>
  <c r="S973" i="3"/>
  <c r="W973" i="3"/>
  <c r="M974" i="3"/>
  <c r="Q974" i="3"/>
  <c r="S974" i="3"/>
  <c r="W974" i="3"/>
  <c r="M975" i="3"/>
  <c r="Q975" i="3"/>
  <c r="S975" i="3"/>
  <c r="W975" i="3"/>
  <c r="M976" i="3"/>
  <c r="Q976" i="3"/>
  <c r="S976" i="3"/>
  <c r="W976" i="3"/>
  <c r="M977" i="3"/>
  <c r="Q977" i="3"/>
  <c r="S977" i="3"/>
  <c r="W977" i="3"/>
  <c r="M978" i="3"/>
  <c r="Q978" i="3"/>
  <c r="S978" i="3"/>
  <c r="W978" i="3"/>
  <c r="M979" i="3"/>
  <c r="Q979" i="3"/>
  <c r="S979" i="3"/>
  <c r="W979" i="3"/>
  <c r="M980" i="3"/>
  <c r="Q980" i="3"/>
  <c r="S980" i="3"/>
  <c r="W980" i="3"/>
  <c r="M981" i="3"/>
  <c r="Q981" i="3"/>
  <c r="S981" i="3"/>
  <c r="W981" i="3"/>
  <c r="M982" i="3"/>
  <c r="Q982" i="3"/>
  <c r="S982" i="3"/>
  <c r="W982" i="3"/>
  <c r="M983" i="3"/>
  <c r="Q983" i="3"/>
  <c r="S983" i="3"/>
  <c r="W983" i="3"/>
  <c r="M984" i="3"/>
  <c r="Q984" i="3"/>
  <c r="S984" i="3"/>
  <c r="W984" i="3"/>
  <c r="M985" i="3"/>
  <c r="Q985" i="3"/>
  <c r="S985" i="3"/>
  <c r="W985" i="3"/>
  <c r="M986" i="3"/>
  <c r="Q986" i="3"/>
  <c r="S986" i="3"/>
  <c r="W986" i="3"/>
  <c r="M987" i="3"/>
  <c r="Q987" i="3"/>
  <c r="S987" i="3"/>
  <c r="W987" i="3"/>
  <c r="M988" i="3"/>
  <c r="Q988" i="3"/>
  <c r="S988" i="3"/>
  <c r="W988" i="3"/>
  <c r="M989" i="3"/>
  <c r="Q989" i="3"/>
  <c r="S989" i="3"/>
  <c r="W989" i="3"/>
  <c r="M990" i="3"/>
  <c r="Q990" i="3"/>
  <c r="S990" i="3"/>
  <c r="W990" i="3"/>
  <c r="M991" i="3"/>
  <c r="Q991" i="3"/>
  <c r="S991" i="3"/>
  <c r="W991" i="3"/>
  <c r="M992" i="3"/>
  <c r="Q992" i="3"/>
  <c r="S992" i="3"/>
  <c r="W992" i="3"/>
  <c r="M993" i="3"/>
  <c r="Q993" i="3"/>
  <c r="S993" i="3"/>
  <c r="W993" i="3"/>
  <c r="M994" i="3"/>
  <c r="Q994" i="3"/>
  <c r="S994" i="3"/>
  <c r="W994" i="3"/>
  <c r="M995" i="3"/>
  <c r="Q995" i="3"/>
  <c r="S995" i="3"/>
  <c r="W995" i="3"/>
  <c r="M996" i="3"/>
  <c r="Q996" i="3"/>
  <c r="S996" i="3"/>
  <c r="W996" i="3"/>
  <c r="M997" i="3"/>
  <c r="Q997" i="3"/>
  <c r="S997" i="3"/>
  <c r="W997" i="3"/>
  <c r="M998" i="3"/>
  <c r="Q998" i="3"/>
  <c r="S998" i="3"/>
  <c r="W998" i="3"/>
  <c r="M999" i="3"/>
  <c r="Q999" i="3"/>
  <c r="S999" i="3"/>
  <c r="W999" i="3"/>
  <c r="M1000" i="3"/>
  <c r="Q1000" i="3"/>
  <c r="S1000" i="3"/>
  <c r="W1000" i="3"/>
  <c r="C3" i="3"/>
  <c r="D3" i="3"/>
  <c r="D2" i="3"/>
  <c r="E3" i="3"/>
  <c r="E2" i="3"/>
  <c r="F3" i="3"/>
  <c r="F2" i="3"/>
  <c r="G3" i="3"/>
  <c r="G2" i="3"/>
  <c r="H3" i="3"/>
  <c r="H2" i="3"/>
  <c r="I3" i="3"/>
  <c r="I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2" i="3"/>
  <c r="K2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2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2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2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2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2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2" i="3"/>
  <c r="C2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A3" i="3"/>
  <c r="B3" i="3"/>
  <c r="A4" i="3"/>
  <c r="B4" i="3"/>
  <c r="D4" i="3"/>
  <c r="E4" i="3"/>
  <c r="F4" i="3"/>
  <c r="G4" i="3"/>
  <c r="H4" i="3"/>
  <c r="I4" i="3"/>
  <c r="A5" i="3"/>
  <c r="B5" i="3"/>
  <c r="D5" i="3"/>
  <c r="E5" i="3"/>
  <c r="F5" i="3"/>
  <c r="G5" i="3"/>
  <c r="H5" i="3"/>
  <c r="I5" i="3"/>
  <c r="A6" i="3"/>
  <c r="B6" i="3"/>
  <c r="D6" i="3"/>
  <c r="E6" i="3"/>
  <c r="F6" i="3"/>
  <c r="G6" i="3"/>
  <c r="H6" i="3"/>
  <c r="I6" i="3"/>
  <c r="A7" i="3"/>
  <c r="B7" i="3"/>
  <c r="D7" i="3"/>
  <c r="E7" i="3"/>
  <c r="F7" i="3"/>
  <c r="G7" i="3"/>
  <c r="H7" i="3"/>
  <c r="I7" i="3"/>
  <c r="A8" i="3"/>
  <c r="B8" i="3"/>
  <c r="D8" i="3"/>
  <c r="E8" i="3"/>
  <c r="F8" i="3"/>
  <c r="G8" i="3"/>
  <c r="H8" i="3"/>
  <c r="I8" i="3"/>
  <c r="A9" i="3"/>
  <c r="B9" i="3"/>
  <c r="D9" i="3"/>
  <c r="E9" i="3"/>
  <c r="F9" i="3"/>
  <c r="G9" i="3"/>
  <c r="H9" i="3"/>
  <c r="I9" i="3"/>
  <c r="A10" i="3"/>
  <c r="B10" i="3"/>
  <c r="D10" i="3"/>
  <c r="E10" i="3"/>
  <c r="F10" i="3"/>
  <c r="G10" i="3"/>
  <c r="H10" i="3"/>
  <c r="I10" i="3"/>
  <c r="A11" i="3"/>
  <c r="B11" i="3"/>
  <c r="D11" i="3"/>
  <c r="E11" i="3"/>
  <c r="F11" i="3"/>
  <c r="G11" i="3"/>
  <c r="H11" i="3"/>
  <c r="I11" i="3"/>
  <c r="A12" i="3"/>
  <c r="B12" i="3"/>
  <c r="D12" i="3"/>
  <c r="E12" i="3"/>
  <c r="F12" i="3"/>
  <c r="G12" i="3"/>
  <c r="H12" i="3"/>
  <c r="I12" i="3"/>
  <c r="A13" i="3"/>
  <c r="B13" i="3"/>
  <c r="D13" i="3"/>
  <c r="E13" i="3"/>
  <c r="F13" i="3"/>
  <c r="G13" i="3"/>
  <c r="H13" i="3"/>
  <c r="I13" i="3"/>
  <c r="A14" i="3"/>
  <c r="B14" i="3"/>
  <c r="D14" i="3"/>
  <c r="E14" i="3"/>
  <c r="F14" i="3"/>
  <c r="G14" i="3"/>
  <c r="H14" i="3"/>
  <c r="I14" i="3"/>
  <c r="A15" i="3"/>
  <c r="B15" i="3"/>
  <c r="D15" i="3"/>
  <c r="E15" i="3"/>
  <c r="F15" i="3"/>
  <c r="G15" i="3"/>
  <c r="H15" i="3"/>
  <c r="I15" i="3"/>
  <c r="A16" i="3"/>
  <c r="B16" i="3"/>
  <c r="D16" i="3"/>
  <c r="E16" i="3"/>
  <c r="F16" i="3"/>
  <c r="G16" i="3"/>
  <c r="H16" i="3"/>
  <c r="I16" i="3"/>
  <c r="A17" i="3"/>
  <c r="B17" i="3"/>
  <c r="D17" i="3"/>
  <c r="E17" i="3"/>
  <c r="F17" i="3"/>
  <c r="G17" i="3"/>
  <c r="H17" i="3"/>
  <c r="I17" i="3"/>
  <c r="A18" i="3"/>
  <c r="B18" i="3"/>
  <c r="D18" i="3"/>
  <c r="E18" i="3"/>
  <c r="F18" i="3"/>
  <c r="G18" i="3"/>
  <c r="H18" i="3"/>
  <c r="I18" i="3"/>
  <c r="A19" i="3"/>
  <c r="B19" i="3"/>
  <c r="D19" i="3"/>
  <c r="E19" i="3"/>
  <c r="F19" i="3"/>
  <c r="G19" i="3"/>
  <c r="H19" i="3"/>
  <c r="I19" i="3"/>
  <c r="A20" i="3"/>
  <c r="B20" i="3"/>
  <c r="D20" i="3"/>
  <c r="E20" i="3"/>
  <c r="F20" i="3"/>
  <c r="G20" i="3"/>
  <c r="H20" i="3"/>
  <c r="I20" i="3"/>
  <c r="A21" i="3"/>
  <c r="B21" i="3"/>
  <c r="D21" i="3"/>
  <c r="E21" i="3"/>
  <c r="F21" i="3"/>
  <c r="G21" i="3"/>
  <c r="H21" i="3"/>
  <c r="I21" i="3"/>
  <c r="A22" i="3"/>
  <c r="B22" i="3"/>
  <c r="D22" i="3"/>
  <c r="E22" i="3"/>
  <c r="F22" i="3"/>
  <c r="G22" i="3"/>
  <c r="H22" i="3"/>
  <c r="I22" i="3"/>
  <c r="A23" i="3"/>
  <c r="B23" i="3"/>
  <c r="D23" i="3"/>
  <c r="E23" i="3"/>
  <c r="F23" i="3"/>
  <c r="G23" i="3"/>
  <c r="H23" i="3"/>
  <c r="I23" i="3"/>
  <c r="A24" i="3"/>
  <c r="B24" i="3"/>
  <c r="D24" i="3"/>
  <c r="E24" i="3"/>
  <c r="F24" i="3"/>
  <c r="G24" i="3"/>
  <c r="H24" i="3"/>
  <c r="I24" i="3"/>
  <c r="A25" i="3"/>
  <c r="B25" i="3"/>
  <c r="D25" i="3"/>
  <c r="E25" i="3"/>
  <c r="F25" i="3"/>
  <c r="G25" i="3"/>
  <c r="H25" i="3"/>
  <c r="I25" i="3"/>
  <c r="A26" i="3"/>
  <c r="B26" i="3"/>
  <c r="D26" i="3"/>
  <c r="E26" i="3"/>
  <c r="F26" i="3"/>
  <c r="G26" i="3"/>
  <c r="H26" i="3"/>
  <c r="I26" i="3"/>
  <c r="A27" i="3"/>
  <c r="B27" i="3"/>
  <c r="D27" i="3"/>
  <c r="E27" i="3"/>
  <c r="F27" i="3"/>
  <c r="G27" i="3"/>
  <c r="H27" i="3"/>
  <c r="I27" i="3"/>
  <c r="A28" i="3"/>
  <c r="B28" i="3"/>
  <c r="D28" i="3"/>
  <c r="E28" i="3"/>
  <c r="F28" i="3"/>
  <c r="G28" i="3"/>
  <c r="H28" i="3"/>
  <c r="I28" i="3"/>
  <c r="A29" i="3"/>
  <c r="B29" i="3"/>
  <c r="D29" i="3"/>
  <c r="E29" i="3"/>
  <c r="F29" i="3"/>
  <c r="G29" i="3"/>
  <c r="H29" i="3"/>
  <c r="I29" i="3"/>
  <c r="A30" i="3"/>
  <c r="B30" i="3"/>
  <c r="D30" i="3"/>
  <c r="E30" i="3"/>
  <c r="F30" i="3"/>
  <c r="G30" i="3"/>
  <c r="H30" i="3"/>
  <c r="I30" i="3"/>
  <c r="A31" i="3"/>
  <c r="B31" i="3"/>
  <c r="D31" i="3"/>
  <c r="E31" i="3"/>
  <c r="F31" i="3"/>
  <c r="G31" i="3"/>
  <c r="H31" i="3"/>
  <c r="I31" i="3"/>
  <c r="A32" i="3"/>
  <c r="B32" i="3"/>
  <c r="D32" i="3"/>
  <c r="E32" i="3"/>
  <c r="F32" i="3"/>
  <c r="G32" i="3"/>
  <c r="H32" i="3"/>
  <c r="I32" i="3"/>
  <c r="A33" i="3"/>
  <c r="B33" i="3"/>
  <c r="D33" i="3"/>
  <c r="E33" i="3"/>
  <c r="F33" i="3"/>
  <c r="G33" i="3"/>
  <c r="H33" i="3"/>
  <c r="I33" i="3"/>
  <c r="A34" i="3"/>
  <c r="B34" i="3"/>
  <c r="D34" i="3"/>
  <c r="E34" i="3"/>
  <c r="F34" i="3"/>
  <c r="G34" i="3"/>
  <c r="H34" i="3"/>
  <c r="I34" i="3"/>
  <c r="A35" i="3"/>
  <c r="B35" i="3"/>
  <c r="D35" i="3"/>
  <c r="E35" i="3"/>
  <c r="F35" i="3"/>
  <c r="G35" i="3"/>
  <c r="H35" i="3"/>
  <c r="I35" i="3"/>
  <c r="A36" i="3"/>
  <c r="B36" i="3"/>
  <c r="D36" i="3"/>
  <c r="E36" i="3"/>
  <c r="F36" i="3"/>
  <c r="G36" i="3"/>
  <c r="H36" i="3"/>
  <c r="I36" i="3"/>
  <c r="A37" i="3"/>
  <c r="B37" i="3"/>
  <c r="D37" i="3"/>
  <c r="E37" i="3"/>
  <c r="F37" i="3"/>
  <c r="G37" i="3"/>
  <c r="H37" i="3"/>
  <c r="I37" i="3"/>
  <c r="A38" i="3"/>
  <c r="B38" i="3"/>
  <c r="D38" i="3"/>
  <c r="E38" i="3"/>
  <c r="F38" i="3"/>
  <c r="G38" i="3"/>
  <c r="H38" i="3"/>
  <c r="I38" i="3"/>
  <c r="A39" i="3"/>
  <c r="B39" i="3"/>
  <c r="D39" i="3"/>
  <c r="E39" i="3"/>
  <c r="F39" i="3"/>
  <c r="G39" i="3"/>
  <c r="H39" i="3"/>
  <c r="I39" i="3"/>
  <c r="A40" i="3"/>
  <c r="B40" i="3"/>
  <c r="D40" i="3"/>
  <c r="E40" i="3"/>
  <c r="F40" i="3"/>
  <c r="G40" i="3"/>
  <c r="H40" i="3"/>
  <c r="I40" i="3"/>
  <c r="A41" i="3"/>
  <c r="B41" i="3"/>
  <c r="D41" i="3"/>
  <c r="E41" i="3"/>
  <c r="F41" i="3"/>
  <c r="G41" i="3"/>
  <c r="H41" i="3"/>
  <c r="I41" i="3"/>
  <c r="A42" i="3"/>
  <c r="B42" i="3"/>
  <c r="D42" i="3"/>
  <c r="E42" i="3"/>
  <c r="F42" i="3"/>
  <c r="G42" i="3"/>
  <c r="H42" i="3"/>
  <c r="I42" i="3"/>
  <c r="A43" i="3"/>
  <c r="B43" i="3"/>
  <c r="D43" i="3"/>
  <c r="E43" i="3"/>
  <c r="F43" i="3"/>
  <c r="G43" i="3"/>
  <c r="H43" i="3"/>
  <c r="I43" i="3"/>
  <c r="A44" i="3"/>
  <c r="B44" i="3"/>
  <c r="D44" i="3"/>
  <c r="E44" i="3"/>
  <c r="F44" i="3"/>
  <c r="G44" i="3"/>
  <c r="H44" i="3"/>
  <c r="I44" i="3"/>
  <c r="A45" i="3"/>
  <c r="B45" i="3"/>
  <c r="D45" i="3"/>
  <c r="E45" i="3"/>
  <c r="F45" i="3"/>
  <c r="G45" i="3"/>
  <c r="H45" i="3"/>
  <c r="I45" i="3"/>
  <c r="A46" i="3"/>
  <c r="B46" i="3"/>
  <c r="D46" i="3"/>
  <c r="E46" i="3"/>
  <c r="F46" i="3"/>
  <c r="G46" i="3"/>
  <c r="H46" i="3"/>
  <c r="I46" i="3"/>
  <c r="A47" i="3"/>
  <c r="B47" i="3"/>
  <c r="D47" i="3"/>
  <c r="E47" i="3"/>
  <c r="F47" i="3"/>
  <c r="G47" i="3"/>
  <c r="H47" i="3"/>
  <c r="I47" i="3"/>
  <c r="A48" i="3"/>
  <c r="B48" i="3"/>
  <c r="D48" i="3"/>
  <c r="E48" i="3"/>
  <c r="F48" i="3"/>
  <c r="G48" i="3"/>
  <c r="H48" i="3"/>
  <c r="I48" i="3"/>
  <c r="A49" i="3"/>
  <c r="B49" i="3"/>
  <c r="D49" i="3"/>
  <c r="E49" i="3"/>
  <c r="F49" i="3"/>
  <c r="G49" i="3"/>
  <c r="H49" i="3"/>
  <c r="I49" i="3"/>
  <c r="A50" i="3"/>
  <c r="B50" i="3"/>
  <c r="D50" i="3"/>
  <c r="E50" i="3"/>
  <c r="F50" i="3"/>
  <c r="G50" i="3"/>
  <c r="H50" i="3"/>
  <c r="I50" i="3"/>
  <c r="A51" i="3"/>
  <c r="B51" i="3"/>
  <c r="D51" i="3"/>
  <c r="E51" i="3"/>
  <c r="F51" i="3"/>
  <c r="G51" i="3"/>
  <c r="H51" i="3"/>
  <c r="I51" i="3"/>
  <c r="A52" i="3"/>
  <c r="B52" i="3"/>
  <c r="D52" i="3"/>
  <c r="E52" i="3"/>
  <c r="F52" i="3"/>
  <c r="G52" i="3"/>
  <c r="H52" i="3"/>
  <c r="I52" i="3"/>
  <c r="A53" i="3"/>
  <c r="B53" i="3"/>
  <c r="D53" i="3"/>
  <c r="E53" i="3"/>
  <c r="F53" i="3"/>
  <c r="G53" i="3"/>
  <c r="H53" i="3"/>
  <c r="I53" i="3"/>
  <c r="A54" i="3"/>
  <c r="B54" i="3"/>
  <c r="D54" i="3"/>
  <c r="E54" i="3"/>
  <c r="F54" i="3"/>
  <c r="G54" i="3"/>
  <c r="H54" i="3"/>
  <c r="I54" i="3"/>
  <c r="A55" i="3"/>
  <c r="B55" i="3"/>
  <c r="D55" i="3"/>
  <c r="E55" i="3"/>
  <c r="F55" i="3"/>
  <c r="G55" i="3"/>
  <c r="H55" i="3"/>
  <c r="I55" i="3"/>
  <c r="A56" i="3"/>
  <c r="B56" i="3"/>
  <c r="D56" i="3"/>
  <c r="E56" i="3"/>
  <c r="F56" i="3"/>
  <c r="G56" i="3"/>
  <c r="H56" i="3"/>
  <c r="I56" i="3"/>
  <c r="A57" i="3"/>
  <c r="B57" i="3"/>
  <c r="D57" i="3"/>
  <c r="E57" i="3"/>
  <c r="F57" i="3"/>
  <c r="G57" i="3"/>
  <c r="H57" i="3"/>
  <c r="I57" i="3"/>
  <c r="A58" i="3"/>
  <c r="B58" i="3"/>
  <c r="D58" i="3"/>
  <c r="E58" i="3"/>
  <c r="F58" i="3"/>
  <c r="G58" i="3"/>
  <c r="H58" i="3"/>
  <c r="I58" i="3"/>
  <c r="A59" i="3"/>
  <c r="B59" i="3"/>
  <c r="D59" i="3"/>
  <c r="E59" i="3"/>
  <c r="F59" i="3"/>
  <c r="G59" i="3"/>
  <c r="H59" i="3"/>
  <c r="I59" i="3"/>
  <c r="A60" i="3"/>
  <c r="B60" i="3"/>
  <c r="D60" i="3"/>
  <c r="E60" i="3"/>
  <c r="F60" i="3"/>
  <c r="G60" i="3"/>
  <c r="H60" i="3"/>
  <c r="I60" i="3"/>
  <c r="A61" i="3"/>
  <c r="B61" i="3"/>
  <c r="D61" i="3"/>
  <c r="E61" i="3"/>
  <c r="F61" i="3"/>
  <c r="G61" i="3"/>
  <c r="H61" i="3"/>
  <c r="I61" i="3"/>
  <c r="A62" i="3"/>
  <c r="B62" i="3"/>
  <c r="D62" i="3"/>
  <c r="E62" i="3"/>
  <c r="F62" i="3"/>
  <c r="G62" i="3"/>
  <c r="H62" i="3"/>
  <c r="I62" i="3"/>
  <c r="A63" i="3"/>
  <c r="B63" i="3"/>
  <c r="D63" i="3"/>
  <c r="E63" i="3"/>
  <c r="F63" i="3"/>
  <c r="G63" i="3"/>
  <c r="H63" i="3"/>
  <c r="I63" i="3"/>
  <c r="A64" i="3"/>
  <c r="B64" i="3"/>
  <c r="D64" i="3"/>
  <c r="E64" i="3"/>
  <c r="F64" i="3"/>
  <c r="G64" i="3"/>
  <c r="H64" i="3"/>
  <c r="I64" i="3"/>
  <c r="A65" i="3"/>
  <c r="B65" i="3"/>
  <c r="D65" i="3"/>
  <c r="E65" i="3"/>
  <c r="F65" i="3"/>
  <c r="G65" i="3"/>
  <c r="H65" i="3"/>
  <c r="I65" i="3"/>
  <c r="A66" i="3"/>
  <c r="B66" i="3"/>
  <c r="D66" i="3"/>
  <c r="E66" i="3"/>
  <c r="F66" i="3"/>
  <c r="G66" i="3"/>
  <c r="H66" i="3"/>
  <c r="I66" i="3"/>
  <c r="A67" i="3"/>
  <c r="B67" i="3"/>
  <c r="D67" i="3"/>
  <c r="E67" i="3"/>
  <c r="F67" i="3"/>
  <c r="G67" i="3"/>
  <c r="H67" i="3"/>
  <c r="I67" i="3"/>
  <c r="A68" i="3"/>
  <c r="B68" i="3"/>
  <c r="D68" i="3"/>
  <c r="E68" i="3"/>
  <c r="F68" i="3"/>
  <c r="G68" i="3"/>
  <c r="H68" i="3"/>
  <c r="I68" i="3"/>
  <c r="A69" i="3"/>
  <c r="B69" i="3"/>
  <c r="D69" i="3"/>
  <c r="E69" i="3"/>
  <c r="F69" i="3"/>
  <c r="G69" i="3"/>
  <c r="H69" i="3"/>
  <c r="I69" i="3"/>
  <c r="A70" i="3"/>
  <c r="B70" i="3"/>
  <c r="D70" i="3"/>
  <c r="E70" i="3"/>
  <c r="F70" i="3"/>
  <c r="G70" i="3"/>
  <c r="H70" i="3"/>
  <c r="I70" i="3"/>
  <c r="A71" i="3"/>
  <c r="B71" i="3"/>
  <c r="D71" i="3"/>
  <c r="E71" i="3"/>
  <c r="F71" i="3"/>
  <c r="G71" i="3"/>
  <c r="H71" i="3"/>
  <c r="I71" i="3"/>
  <c r="A72" i="3"/>
  <c r="B72" i="3"/>
  <c r="D72" i="3"/>
  <c r="E72" i="3"/>
  <c r="F72" i="3"/>
  <c r="G72" i="3"/>
  <c r="H72" i="3"/>
  <c r="I72" i="3"/>
  <c r="A73" i="3"/>
  <c r="B73" i="3"/>
  <c r="D73" i="3"/>
  <c r="E73" i="3"/>
  <c r="F73" i="3"/>
  <c r="G73" i="3"/>
  <c r="H73" i="3"/>
  <c r="I73" i="3"/>
  <c r="A74" i="3"/>
  <c r="B74" i="3"/>
  <c r="D74" i="3"/>
  <c r="E74" i="3"/>
  <c r="F74" i="3"/>
  <c r="G74" i="3"/>
  <c r="H74" i="3"/>
  <c r="I74" i="3"/>
  <c r="A75" i="3"/>
  <c r="B75" i="3"/>
  <c r="D75" i="3"/>
  <c r="E75" i="3"/>
  <c r="F75" i="3"/>
  <c r="G75" i="3"/>
  <c r="H75" i="3"/>
  <c r="I75" i="3"/>
  <c r="A76" i="3"/>
  <c r="B76" i="3"/>
  <c r="D76" i="3"/>
  <c r="E76" i="3"/>
  <c r="F76" i="3"/>
  <c r="G76" i="3"/>
  <c r="H76" i="3"/>
  <c r="I76" i="3"/>
  <c r="A77" i="3"/>
  <c r="B77" i="3"/>
  <c r="D77" i="3"/>
  <c r="E77" i="3"/>
  <c r="F77" i="3"/>
  <c r="G77" i="3"/>
  <c r="H77" i="3"/>
  <c r="I77" i="3"/>
  <c r="A78" i="3"/>
  <c r="B78" i="3"/>
  <c r="D78" i="3"/>
  <c r="E78" i="3"/>
  <c r="F78" i="3"/>
  <c r="G78" i="3"/>
  <c r="H78" i="3"/>
  <c r="I78" i="3"/>
  <c r="A79" i="3"/>
  <c r="B79" i="3"/>
  <c r="D79" i="3"/>
  <c r="E79" i="3"/>
  <c r="F79" i="3"/>
  <c r="G79" i="3"/>
  <c r="H79" i="3"/>
  <c r="I79" i="3"/>
  <c r="A80" i="3"/>
  <c r="B80" i="3"/>
  <c r="D80" i="3"/>
  <c r="E80" i="3"/>
  <c r="F80" i="3"/>
  <c r="G80" i="3"/>
  <c r="H80" i="3"/>
  <c r="I80" i="3"/>
  <c r="A81" i="3"/>
  <c r="B81" i="3"/>
  <c r="D81" i="3"/>
  <c r="E81" i="3"/>
  <c r="F81" i="3"/>
  <c r="G81" i="3"/>
  <c r="H81" i="3"/>
  <c r="I81" i="3"/>
  <c r="A82" i="3"/>
  <c r="B82" i="3"/>
  <c r="D82" i="3"/>
  <c r="E82" i="3"/>
  <c r="F82" i="3"/>
  <c r="G82" i="3"/>
  <c r="H82" i="3"/>
  <c r="I82" i="3"/>
  <c r="A83" i="3"/>
  <c r="B83" i="3"/>
  <c r="D83" i="3"/>
  <c r="E83" i="3"/>
  <c r="F83" i="3"/>
  <c r="G83" i="3"/>
  <c r="H83" i="3"/>
  <c r="I83" i="3"/>
  <c r="A84" i="3"/>
  <c r="B84" i="3"/>
  <c r="D84" i="3"/>
  <c r="E84" i="3"/>
  <c r="F84" i="3"/>
  <c r="G84" i="3"/>
  <c r="H84" i="3"/>
  <c r="I84" i="3"/>
  <c r="A85" i="3"/>
  <c r="B85" i="3"/>
  <c r="D85" i="3"/>
  <c r="E85" i="3"/>
  <c r="F85" i="3"/>
  <c r="G85" i="3"/>
  <c r="H85" i="3"/>
  <c r="I85" i="3"/>
  <c r="A86" i="3"/>
  <c r="B86" i="3"/>
  <c r="D86" i="3"/>
  <c r="E86" i="3"/>
  <c r="F86" i="3"/>
  <c r="G86" i="3"/>
  <c r="H86" i="3"/>
  <c r="I86" i="3"/>
  <c r="A87" i="3"/>
  <c r="B87" i="3"/>
  <c r="D87" i="3"/>
  <c r="E87" i="3"/>
  <c r="F87" i="3"/>
  <c r="G87" i="3"/>
  <c r="H87" i="3"/>
  <c r="I87" i="3"/>
  <c r="A88" i="3"/>
  <c r="B88" i="3"/>
  <c r="D88" i="3"/>
  <c r="E88" i="3"/>
  <c r="F88" i="3"/>
  <c r="G88" i="3"/>
  <c r="H88" i="3"/>
  <c r="I88" i="3"/>
  <c r="A89" i="3"/>
  <c r="B89" i="3"/>
  <c r="D89" i="3"/>
  <c r="E89" i="3"/>
  <c r="F89" i="3"/>
  <c r="G89" i="3"/>
  <c r="H89" i="3"/>
  <c r="I89" i="3"/>
  <c r="A90" i="3"/>
  <c r="B90" i="3"/>
  <c r="D90" i="3"/>
  <c r="E90" i="3"/>
  <c r="F90" i="3"/>
  <c r="G90" i="3"/>
  <c r="H90" i="3"/>
  <c r="I90" i="3"/>
  <c r="A91" i="3"/>
  <c r="B91" i="3"/>
  <c r="D91" i="3"/>
  <c r="E91" i="3"/>
  <c r="F91" i="3"/>
  <c r="G91" i="3"/>
  <c r="H91" i="3"/>
  <c r="I91" i="3"/>
  <c r="A92" i="3"/>
  <c r="B92" i="3"/>
  <c r="D92" i="3"/>
  <c r="E92" i="3"/>
  <c r="F92" i="3"/>
  <c r="G92" i="3"/>
  <c r="H92" i="3"/>
  <c r="I92" i="3"/>
  <c r="A93" i="3"/>
  <c r="B93" i="3"/>
  <c r="D93" i="3"/>
  <c r="E93" i="3"/>
  <c r="F93" i="3"/>
  <c r="G93" i="3"/>
  <c r="H93" i="3"/>
  <c r="I93" i="3"/>
  <c r="A94" i="3"/>
  <c r="B94" i="3"/>
  <c r="D94" i="3"/>
  <c r="E94" i="3"/>
  <c r="F94" i="3"/>
  <c r="G94" i="3"/>
  <c r="H94" i="3"/>
  <c r="I94" i="3"/>
  <c r="A95" i="3"/>
  <c r="B95" i="3"/>
  <c r="D95" i="3"/>
  <c r="E95" i="3"/>
  <c r="F95" i="3"/>
  <c r="G95" i="3"/>
  <c r="H95" i="3"/>
  <c r="I95" i="3"/>
  <c r="A96" i="3"/>
  <c r="B96" i="3"/>
  <c r="D96" i="3"/>
  <c r="E96" i="3"/>
  <c r="F96" i="3"/>
  <c r="G96" i="3"/>
  <c r="H96" i="3"/>
  <c r="I96" i="3"/>
  <c r="A97" i="3"/>
  <c r="B97" i="3"/>
  <c r="D97" i="3"/>
  <c r="E97" i="3"/>
  <c r="F97" i="3"/>
  <c r="G97" i="3"/>
  <c r="H97" i="3"/>
  <c r="I97" i="3"/>
  <c r="A98" i="3"/>
  <c r="B98" i="3"/>
  <c r="D98" i="3"/>
  <c r="E98" i="3"/>
  <c r="F98" i="3"/>
  <c r="G98" i="3"/>
  <c r="H98" i="3"/>
  <c r="I98" i="3"/>
  <c r="A99" i="3"/>
  <c r="B99" i="3"/>
  <c r="D99" i="3"/>
  <c r="E99" i="3"/>
  <c r="F99" i="3"/>
  <c r="G99" i="3"/>
  <c r="H99" i="3"/>
  <c r="I99" i="3"/>
  <c r="A100" i="3"/>
  <c r="B100" i="3"/>
  <c r="D100" i="3"/>
  <c r="E100" i="3"/>
  <c r="F100" i="3"/>
  <c r="G100" i="3"/>
  <c r="H100" i="3"/>
  <c r="I100" i="3"/>
  <c r="A101" i="3"/>
  <c r="B101" i="3"/>
  <c r="D101" i="3"/>
  <c r="E101" i="3"/>
  <c r="F101" i="3"/>
  <c r="G101" i="3"/>
  <c r="H101" i="3"/>
  <c r="I101" i="3"/>
  <c r="A102" i="3"/>
  <c r="B102" i="3"/>
  <c r="D102" i="3"/>
  <c r="E102" i="3"/>
  <c r="F102" i="3"/>
  <c r="G102" i="3"/>
  <c r="H102" i="3"/>
  <c r="I102" i="3"/>
  <c r="A103" i="3"/>
  <c r="B103" i="3"/>
  <c r="D103" i="3"/>
  <c r="E103" i="3"/>
  <c r="F103" i="3"/>
  <c r="G103" i="3"/>
  <c r="H103" i="3"/>
  <c r="I103" i="3"/>
  <c r="A104" i="3"/>
  <c r="B104" i="3"/>
  <c r="D104" i="3"/>
  <c r="E104" i="3"/>
  <c r="F104" i="3"/>
  <c r="G104" i="3"/>
  <c r="H104" i="3"/>
  <c r="I104" i="3"/>
  <c r="A105" i="3"/>
  <c r="B105" i="3"/>
  <c r="D105" i="3"/>
  <c r="E105" i="3"/>
  <c r="F105" i="3"/>
  <c r="G105" i="3"/>
  <c r="H105" i="3"/>
  <c r="I105" i="3"/>
  <c r="A106" i="3"/>
  <c r="B106" i="3"/>
  <c r="D106" i="3"/>
  <c r="E106" i="3"/>
  <c r="F106" i="3"/>
  <c r="G106" i="3"/>
  <c r="H106" i="3"/>
  <c r="I106" i="3"/>
  <c r="A107" i="3"/>
  <c r="B107" i="3"/>
  <c r="D107" i="3"/>
  <c r="E107" i="3"/>
  <c r="F107" i="3"/>
  <c r="G107" i="3"/>
  <c r="H107" i="3"/>
  <c r="I107" i="3"/>
  <c r="A108" i="3"/>
  <c r="B108" i="3"/>
  <c r="D108" i="3"/>
  <c r="E108" i="3"/>
  <c r="F108" i="3"/>
  <c r="G108" i="3"/>
  <c r="H108" i="3"/>
  <c r="I108" i="3"/>
  <c r="A109" i="3"/>
  <c r="B109" i="3"/>
  <c r="D109" i="3"/>
  <c r="E109" i="3"/>
  <c r="F109" i="3"/>
  <c r="G109" i="3"/>
  <c r="H109" i="3"/>
  <c r="I109" i="3"/>
  <c r="A110" i="3"/>
  <c r="B110" i="3"/>
  <c r="D110" i="3"/>
  <c r="E110" i="3"/>
  <c r="F110" i="3"/>
  <c r="G110" i="3"/>
  <c r="H110" i="3"/>
  <c r="I110" i="3"/>
  <c r="A111" i="3"/>
  <c r="B111" i="3"/>
  <c r="D111" i="3"/>
  <c r="E111" i="3"/>
  <c r="F111" i="3"/>
  <c r="G111" i="3"/>
  <c r="H111" i="3"/>
  <c r="I111" i="3"/>
  <c r="A112" i="3"/>
  <c r="B112" i="3"/>
  <c r="D112" i="3"/>
  <c r="E112" i="3"/>
  <c r="F112" i="3"/>
  <c r="G112" i="3"/>
  <c r="H112" i="3"/>
  <c r="I112" i="3"/>
  <c r="A113" i="3"/>
  <c r="B113" i="3"/>
  <c r="D113" i="3"/>
  <c r="E113" i="3"/>
  <c r="F113" i="3"/>
  <c r="G113" i="3"/>
  <c r="H113" i="3"/>
  <c r="I113" i="3"/>
  <c r="A114" i="3"/>
  <c r="B114" i="3"/>
  <c r="D114" i="3"/>
  <c r="E114" i="3"/>
  <c r="F114" i="3"/>
  <c r="G114" i="3"/>
  <c r="H114" i="3"/>
  <c r="I114" i="3"/>
  <c r="A115" i="3"/>
  <c r="B115" i="3"/>
  <c r="D115" i="3"/>
  <c r="E115" i="3"/>
  <c r="F115" i="3"/>
  <c r="G115" i="3"/>
  <c r="H115" i="3"/>
  <c r="I115" i="3"/>
  <c r="A116" i="3"/>
  <c r="B116" i="3"/>
  <c r="D116" i="3"/>
  <c r="E116" i="3"/>
  <c r="F116" i="3"/>
  <c r="G116" i="3"/>
  <c r="H116" i="3"/>
  <c r="I116" i="3"/>
  <c r="A117" i="3"/>
  <c r="B117" i="3"/>
  <c r="D117" i="3"/>
  <c r="E117" i="3"/>
  <c r="F117" i="3"/>
  <c r="G117" i="3"/>
  <c r="H117" i="3"/>
  <c r="I117" i="3"/>
  <c r="A118" i="3"/>
  <c r="B118" i="3"/>
  <c r="D118" i="3"/>
  <c r="E118" i="3"/>
  <c r="F118" i="3"/>
  <c r="G118" i="3"/>
  <c r="H118" i="3"/>
  <c r="I118" i="3"/>
  <c r="A119" i="3"/>
  <c r="B119" i="3"/>
  <c r="D119" i="3"/>
  <c r="E119" i="3"/>
  <c r="F119" i="3"/>
  <c r="G119" i="3"/>
  <c r="H119" i="3"/>
  <c r="I119" i="3"/>
  <c r="A120" i="3"/>
  <c r="B120" i="3"/>
  <c r="D120" i="3"/>
  <c r="E120" i="3"/>
  <c r="F120" i="3"/>
  <c r="G120" i="3"/>
  <c r="H120" i="3"/>
  <c r="I120" i="3"/>
  <c r="A121" i="3"/>
  <c r="B121" i="3"/>
  <c r="D121" i="3"/>
  <c r="E121" i="3"/>
  <c r="F121" i="3"/>
  <c r="G121" i="3"/>
  <c r="H121" i="3"/>
  <c r="I121" i="3"/>
  <c r="A122" i="3"/>
  <c r="B122" i="3"/>
  <c r="D122" i="3"/>
  <c r="E122" i="3"/>
  <c r="F122" i="3"/>
  <c r="G122" i="3"/>
  <c r="H122" i="3"/>
  <c r="I122" i="3"/>
  <c r="A123" i="3"/>
  <c r="B123" i="3"/>
  <c r="D123" i="3"/>
  <c r="E123" i="3"/>
  <c r="F123" i="3"/>
  <c r="G123" i="3"/>
  <c r="H123" i="3"/>
  <c r="I123" i="3"/>
  <c r="A124" i="3"/>
  <c r="B124" i="3"/>
  <c r="D124" i="3"/>
  <c r="E124" i="3"/>
  <c r="F124" i="3"/>
  <c r="G124" i="3"/>
  <c r="H124" i="3"/>
  <c r="I124" i="3"/>
  <c r="A125" i="3"/>
  <c r="B125" i="3"/>
  <c r="D125" i="3"/>
  <c r="E125" i="3"/>
  <c r="F125" i="3"/>
  <c r="G125" i="3"/>
  <c r="H125" i="3"/>
  <c r="I125" i="3"/>
  <c r="A126" i="3"/>
  <c r="B126" i="3"/>
  <c r="D126" i="3"/>
  <c r="E126" i="3"/>
  <c r="F126" i="3"/>
  <c r="G126" i="3"/>
  <c r="H126" i="3"/>
  <c r="I126" i="3"/>
  <c r="A127" i="3"/>
  <c r="B127" i="3"/>
  <c r="D127" i="3"/>
  <c r="E127" i="3"/>
  <c r="F127" i="3"/>
  <c r="G127" i="3"/>
  <c r="H127" i="3"/>
  <c r="I127" i="3"/>
  <c r="A128" i="3"/>
  <c r="B128" i="3"/>
  <c r="D128" i="3"/>
  <c r="E128" i="3"/>
  <c r="F128" i="3"/>
  <c r="G128" i="3"/>
  <c r="H128" i="3"/>
  <c r="I128" i="3"/>
  <c r="A129" i="3"/>
  <c r="B129" i="3"/>
  <c r="D129" i="3"/>
  <c r="E129" i="3"/>
  <c r="F129" i="3"/>
  <c r="G129" i="3"/>
  <c r="H129" i="3"/>
  <c r="I129" i="3"/>
  <c r="A130" i="3"/>
  <c r="B130" i="3"/>
  <c r="D130" i="3"/>
  <c r="E130" i="3"/>
  <c r="F130" i="3"/>
  <c r="G130" i="3"/>
  <c r="H130" i="3"/>
  <c r="I130" i="3"/>
  <c r="A131" i="3"/>
  <c r="B131" i="3"/>
  <c r="D131" i="3"/>
  <c r="E131" i="3"/>
  <c r="F131" i="3"/>
  <c r="G131" i="3"/>
  <c r="H131" i="3"/>
  <c r="I131" i="3"/>
  <c r="A132" i="3"/>
  <c r="B132" i="3"/>
  <c r="D132" i="3"/>
  <c r="E132" i="3"/>
  <c r="F132" i="3"/>
  <c r="G132" i="3"/>
  <c r="H132" i="3"/>
  <c r="I132" i="3"/>
  <c r="A133" i="3"/>
  <c r="B133" i="3"/>
  <c r="D133" i="3"/>
  <c r="E133" i="3"/>
  <c r="F133" i="3"/>
  <c r="G133" i="3"/>
  <c r="H133" i="3"/>
  <c r="I133" i="3"/>
  <c r="A134" i="3"/>
  <c r="B134" i="3"/>
  <c r="D134" i="3"/>
  <c r="E134" i="3"/>
  <c r="F134" i="3"/>
  <c r="G134" i="3"/>
  <c r="H134" i="3"/>
  <c r="I134" i="3"/>
  <c r="A135" i="3"/>
  <c r="B135" i="3"/>
  <c r="D135" i="3"/>
  <c r="E135" i="3"/>
  <c r="F135" i="3"/>
  <c r="G135" i="3"/>
  <c r="H135" i="3"/>
  <c r="I135" i="3"/>
  <c r="A136" i="3"/>
  <c r="B136" i="3"/>
  <c r="D136" i="3"/>
  <c r="E136" i="3"/>
  <c r="F136" i="3"/>
  <c r="G136" i="3"/>
  <c r="H136" i="3"/>
  <c r="I136" i="3"/>
  <c r="A137" i="3"/>
  <c r="B137" i="3"/>
  <c r="D137" i="3"/>
  <c r="E137" i="3"/>
  <c r="F137" i="3"/>
  <c r="G137" i="3"/>
  <c r="H137" i="3"/>
  <c r="I137" i="3"/>
  <c r="A138" i="3"/>
  <c r="B138" i="3"/>
  <c r="D138" i="3"/>
  <c r="E138" i="3"/>
  <c r="F138" i="3"/>
  <c r="G138" i="3"/>
  <c r="H138" i="3"/>
  <c r="I138" i="3"/>
  <c r="A139" i="3"/>
  <c r="B139" i="3"/>
  <c r="D139" i="3"/>
  <c r="E139" i="3"/>
  <c r="F139" i="3"/>
  <c r="G139" i="3"/>
  <c r="H139" i="3"/>
  <c r="I139" i="3"/>
  <c r="A140" i="3"/>
  <c r="B140" i="3"/>
  <c r="D140" i="3"/>
  <c r="E140" i="3"/>
  <c r="F140" i="3"/>
  <c r="G140" i="3"/>
  <c r="H140" i="3"/>
  <c r="I140" i="3"/>
  <c r="A141" i="3"/>
  <c r="B141" i="3"/>
  <c r="D141" i="3"/>
  <c r="E141" i="3"/>
  <c r="F141" i="3"/>
  <c r="G141" i="3"/>
  <c r="H141" i="3"/>
  <c r="I141" i="3"/>
  <c r="A142" i="3"/>
  <c r="B142" i="3"/>
  <c r="D142" i="3"/>
  <c r="E142" i="3"/>
  <c r="F142" i="3"/>
  <c r="G142" i="3"/>
  <c r="H142" i="3"/>
  <c r="I142" i="3"/>
  <c r="A143" i="3"/>
  <c r="B143" i="3"/>
  <c r="D143" i="3"/>
  <c r="E143" i="3"/>
  <c r="F143" i="3"/>
  <c r="G143" i="3"/>
  <c r="H143" i="3"/>
  <c r="I143" i="3"/>
  <c r="A144" i="3"/>
  <c r="B144" i="3"/>
  <c r="D144" i="3"/>
  <c r="E144" i="3"/>
  <c r="F144" i="3"/>
  <c r="G144" i="3"/>
  <c r="H144" i="3"/>
  <c r="I144" i="3"/>
  <c r="A145" i="3"/>
  <c r="B145" i="3"/>
  <c r="D145" i="3"/>
  <c r="E145" i="3"/>
  <c r="F145" i="3"/>
  <c r="G145" i="3"/>
  <c r="H145" i="3"/>
  <c r="I145" i="3"/>
  <c r="A146" i="3"/>
  <c r="B146" i="3"/>
  <c r="D146" i="3"/>
  <c r="E146" i="3"/>
  <c r="F146" i="3"/>
  <c r="G146" i="3"/>
  <c r="H146" i="3"/>
  <c r="I146" i="3"/>
  <c r="A147" i="3"/>
  <c r="B147" i="3"/>
  <c r="D147" i="3"/>
  <c r="E147" i="3"/>
  <c r="F147" i="3"/>
  <c r="G147" i="3"/>
  <c r="H147" i="3"/>
  <c r="I147" i="3"/>
  <c r="A148" i="3"/>
  <c r="B148" i="3"/>
  <c r="D148" i="3"/>
  <c r="E148" i="3"/>
  <c r="F148" i="3"/>
  <c r="G148" i="3"/>
  <c r="H148" i="3"/>
  <c r="I148" i="3"/>
  <c r="A149" i="3"/>
  <c r="B149" i="3"/>
  <c r="D149" i="3"/>
  <c r="E149" i="3"/>
  <c r="F149" i="3"/>
  <c r="G149" i="3"/>
  <c r="H149" i="3"/>
  <c r="I149" i="3"/>
  <c r="A150" i="3"/>
  <c r="B150" i="3"/>
  <c r="D150" i="3"/>
  <c r="E150" i="3"/>
  <c r="F150" i="3"/>
  <c r="G150" i="3"/>
  <c r="H150" i="3"/>
  <c r="I150" i="3"/>
  <c r="A151" i="3"/>
  <c r="B151" i="3"/>
  <c r="D151" i="3"/>
  <c r="E151" i="3"/>
  <c r="F151" i="3"/>
  <c r="G151" i="3"/>
  <c r="H151" i="3"/>
  <c r="I151" i="3"/>
  <c r="A152" i="3"/>
  <c r="B152" i="3"/>
  <c r="D152" i="3"/>
  <c r="E152" i="3"/>
  <c r="F152" i="3"/>
  <c r="G152" i="3"/>
  <c r="H152" i="3"/>
  <c r="I152" i="3"/>
  <c r="A153" i="3"/>
  <c r="B153" i="3"/>
  <c r="D153" i="3"/>
  <c r="E153" i="3"/>
  <c r="F153" i="3"/>
  <c r="G153" i="3"/>
  <c r="H153" i="3"/>
  <c r="I153" i="3"/>
  <c r="A154" i="3"/>
  <c r="B154" i="3"/>
  <c r="D154" i="3"/>
  <c r="E154" i="3"/>
  <c r="F154" i="3"/>
  <c r="G154" i="3"/>
  <c r="H154" i="3"/>
  <c r="I154" i="3"/>
  <c r="A155" i="3"/>
  <c r="B155" i="3"/>
  <c r="D155" i="3"/>
  <c r="E155" i="3"/>
  <c r="F155" i="3"/>
  <c r="G155" i="3"/>
  <c r="H155" i="3"/>
  <c r="I155" i="3"/>
  <c r="A156" i="3"/>
  <c r="B156" i="3"/>
  <c r="D156" i="3"/>
  <c r="E156" i="3"/>
  <c r="F156" i="3"/>
  <c r="G156" i="3"/>
  <c r="H156" i="3"/>
  <c r="I156" i="3"/>
  <c r="A157" i="3"/>
  <c r="B157" i="3"/>
  <c r="D157" i="3"/>
  <c r="E157" i="3"/>
  <c r="F157" i="3"/>
  <c r="G157" i="3"/>
  <c r="H157" i="3"/>
  <c r="I157" i="3"/>
  <c r="A158" i="3"/>
  <c r="B158" i="3"/>
  <c r="D158" i="3"/>
  <c r="E158" i="3"/>
  <c r="F158" i="3"/>
  <c r="G158" i="3"/>
  <c r="H158" i="3"/>
  <c r="I158" i="3"/>
  <c r="A159" i="3"/>
  <c r="B159" i="3"/>
  <c r="D159" i="3"/>
  <c r="E159" i="3"/>
  <c r="F159" i="3"/>
  <c r="G159" i="3"/>
  <c r="H159" i="3"/>
  <c r="I159" i="3"/>
  <c r="A160" i="3"/>
  <c r="B160" i="3"/>
  <c r="D160" i="3"/>
  <c r="E160" i="3"/>
  <c r="F160" i="3"/>
  <c r="G160" i="3"/>
  <c r="H160" i="3"/>
  <c r="I160" i="3"/>
  <c r="A161" i="3"/>
  <c r="B161" i="3"/>
  <c r="D161" i="3"/>
  <c r="E161" i="3"/>
  <c r="F161" i="3"/>
  <c r="G161" i="3"/>
  <c r="H161" i="3"/>
  <c r="I161" i="3"/>
  <c r="A162" i="3"/>
  <c r="B162" i="3"/>
  <c r="D162" i="3"/>
  <c r="E162" i="3"/>
  <c r="F162" i="3"/>
  <c r="G162" i="3"/>
  <c r="H162" i="3"/>
  <c r="I162" i="3"/>
  <c r="A163" i="3"/>
  <c r="B163" i="3"/>
  <c r="D163" i="3"/>
  <c r="E163" i="3"/>
  <c r="F163" i="3"/>
  <c r="G163" i="3"/>
  <c r="H163" i="3"/>
  <c r="I163" i="3"/>
  <c r="A164" i="3"/>
  <c r="B164" i="3"/>
  <c r="D164" i="3"/>
  <c r="E164" i="3"/>
  <c r="F164" i="3"/>
  <c r="G164" i="3"/>
  <c r="H164" i="3"/>
  <c r="I164" i="3"/>
  <c r="A165" i="3"/>
  <c r="B165" i="3"/>
  <c r="D165" i="3"/>
  <c r="E165" i="3"/>
  <c r="F165" i="3"/>
  <c r="G165" i="3"/>
  <c r="H165" i="3"/>
  <c r="I165" i="3"/>
  <c r="A166" i="3"/>
  <c r="B166" i="3"/>
  <c r="D166" i="3"/>
  <c r="E166" i="3"/>
  <c r="F166" i="3"/>
  <c r="G166" i="3"/>
  <c r="H166" i="3"/>
  <c r="I166" i="3"/>
  <c r="A167" i="3"/>
  <c r="B167" i="3"/>
  <c r="D167" i="3"/>
  <c r="E167" i="3"/>
  <c r="F167" i="3"/>
  <c r="G167" i="3"/>
  <c r="H167" i="3"/>
  <c r="I167" i="3"/>
  <c r="A168" i="3"/>
  <c r="B168" i="3"/>
  <c r="D168" i="3"/>
  <c r="E168" i="3"/>
  <c r="F168" i="3"/>
  <c r="G168" i="3"/>
  <c r="H168" i="3"/>
  <c r="I168" i="3"/>
  <c r="A169" i="3"/>
  <c r="B169" i="3"/>
  <c r="D169" i="3"/>
  <c r="E169" i="3"/>
  <c r="F169" i="3"/>
  <c r="G169" i="3"/>
  <c r="H169" i="3"/>
  <c r="I169" i="3"/>
  <c r="A170" i="3"/>
  <c r="B170" i="3"/>
  <c r="D170" i="3"/>
  <c r="E170" i="3"/>
  <c r="F170" i="3"/>
  <c r="G170" i="3"/>
  <c r="H170" i="3"/>
  <c r="I170" i="3"/>
  <c r="A171" i="3"/>
  <c r="B171" i="3"/>
  <c r="D171" i="3"/>
  <c r="E171" i="3"/>
  <c r="F171" i="3"/>
  <c r="G171" i="3"/>
  <c r="H171" i="3"/>
  <c r="I171" i="3"/>
  <c r="A172" i="3"/>
  <c r="B172" i="3"/>
  <c r="D172" i="3"/>
  <c r="E172" i="3"/>
  <c r="F172" i="3"/>
  <c r="G172" i="3"/>
  <c r="H172" i="3"/>
  <c r="I172" i="3"/>
  <c r="A173" i="3"/>
  <c r="B173" i="3"/>
  <c r="D173" i="3"/>
  <c r="E173" i="3"/>
  <c r="F173" i="3"/>
  <c r="G173" i="3"/>
  <c r="H173" i="3"/>
  <c r="I173" i="3"/>
  <c r="A174" i="3"/>
  <c r="B174" i="3"/>
  <c r="D174" i="3"/>
  <c r="E174" i="3"/>
  <c r="F174" i="3"/>
  <c r="G174" i="3"/>
  <c r="H174" i="3"/>
  <c r="I174" i="3"/>
  <c r="A175" i="3"/>
  <c r="B175" i="3"/>
  <c r="D175" i="3"/>
  <c r="E175" i="3"/>
  <c r="F175" i="3"/>
  <c r="G175" i="3"/>
  <c r="H175" i="3"/>
  <c r="I175" i="3"/>
  <c r="A176" i="3"/>
  <c r="B176" i="3"/>
  <c r="D176" i="3"/>
  <c r="E176" i="3"/>
  <c r="F176" i="3"/>
  <c r="G176" i="3"/>
  <c r="H176" i="3"/>
  <c r="I176" i="3"/>
  <c r="A177" i="3"/>
  <c r="B177" i="3"/>
  <c r="D177" i="3"/>
  <c r="E177" i="3"/>
  <c r="F177" i="3"/>
  <c r="G177" i="3"/>
  <c r="H177" i="3"/>
  <c r="I177" i="3"/>
  <c r="A178" i="3"/>
  <c r="B178" i="3"/>
  <c r="D178" i="3"/>
  <c r="E178" i="3"/>
  <c r="F178" i="3"/>
  <c r="G178" i="3"/>
  <c r="H178" i="3"/>
  <c r="I178" i="3"/>
  <c r="A179" i="3"/>
  <c r="B179" i="3"/>
  <c r="D179" i="3"/>
  <c r="E179" i="3"/>
  <c r="F179" i="3"/>
  <c r="G179" i="3"/>
  <c r="H179" i="3"/>
  <c r="I179" i="3"/>
  <c r="A180" i="3"/>
  <c r="B180" i="3"/>
  <c r="D180" i="3"/>
  <c r="E180" i="3"/>
  <c r="F180" i="3"/>
  <c r="G180" i="3"/>
  <c r="H180" i="3"/>
  <c r="I180" i="3"/>
  <c r="A181" i="3"/>
  <c r="B181" i="3"/>
  <c r="D181" i="3"/>
  <c r="E181" i="3"/>
  <c r="F181" i="3"/>
  <c r="G181" i="3"/>
  <c r="H181" i="3"/>
  <c r="I181" i="3"/>
  <c r="A182" i="3"/>
  <c r="B182" i="3"/>
  <c r="D182" i="3"/>
  <c r="E182" i="3"/>
  <c r="F182" i="3"/>
  <c r="G182" i="3"/>
  <c r="H182" i="3"/>
  <c r="I182" i="3"/>
  <c r="A183" i="3"/>
  <c r="B183" i="3"/>
  <c r="D183" i="3"/>
  <c r="E183" i="3"/>
  <c r="F183" i="3"/>
  <c r="G183" i="3"/>
  <c r="H183" i="3"/>
  <c r="I183" i="3"/>
  <c r="A184" i="3"/>
  <c r="B184" i="3"/>
  <c r="D184" i="3"/>
  <c r="E184" i="3"/>
  <c r="F184" i="3"/>
  <c r="G184" i="3"/>
  <c r="H184" i="3"/>
  <c r="I184" i="3"/>
  <c r="A185" i="3"/>
  <c r="B185" i="3"/>
  <c r="D185" i="3"/>
  <c r="E185" i="3"/>
  <c r="F185" i="3"/>
  <c r="G185" i="3"/>
  <c r="H185" i="3"/>
  <c r="I185" i="3"/>
  <c r="A186" i="3"/>
  <c r="B186" i="3"/>
  <c r="D186" i="3"/>
  <c r="E186" i="3"/>
  <c r="F186" i="3"/>
  <c r="G186" i="3"/>
  <c r="H186" i="3"/>
  <c r="I186" i="3"/>
  <c r="A187" i="3"/>
  <c r="B187" i="3"/>
  <c r="D187" i="3"/>
  <c r="E187" i="3"/>
  <c r="F187" i="3"/>
  <c r="G187" i="3"/>
  <c r="H187" i="3"/>
  <c r="I187" i="3"/>
  <c r="A188" i="3"/>
  <c r="B188" i="3"/>
  <c r="D188" i="3"/>
  <c r="E188" i="3"/>
  <c r="F188" i="3"/>
  <c r="G188" i="3"/>
  <c r="H188" i="3"/>
  <c r="I188" i="3"/>
  <c r="A189" i="3"/>
  <c r="B189" i="3"/>
  <c r="D189" i="3"/>
  <c r="E189" i="3"/>
  <c r="F189" i="3"/>
  <c r="G189" i="3"/>
  <c r="H189" i="3"/>
  <c r="I189" i="3"/>
  <c r="A190" i="3"/>
  <c r="B190" i="3"/>
  <c r="D190" i="3"/>
  <c r="E190" i="3"/>
  <c r="F190" i="3"/>
  <c r="G190" i="3"/>
  <c r="H190" i="3"/>
  <c r="I190" i="3"/>
  <c r="A191" i="3"/>
  <c r="B191" i="3"/>
  <c r="D191" i="3"/>
  <c r="E191" i="3"/>
  <c r="F191" i="3"/>
  <c r="G191" i="3"/>
  <c r="H191" i="3"/>
  <c r="I191" i="3"/>
  <c r="A192" i="3"/>
  <c r="B192" i="3"/>
  <c r="D192" i="3"/>
  <c r="E192" i="3"/>
  <c r="F192" i="3"/>
  <c r="G192" i="3"/>
  <c r="H192" i="3"/>
  <c r="I192" i="3"/>
  <c r="A193" i="3"/>
  <c r="B193" i="3"/>
  <c r="D193" i="3"/>
  <c r="E193" i="3"/>
  <c r="F193" i="3"/>
  <c r="G193" i="3"/>
  <c r="H193" i="3"/>
  <c r="I193" i="3"/>
  <c r="A194" i="3"/>
  <c r="B194" i="3"/>
  <c r="D194" i="3"/>
  <c r="E194" i="3"/>
  <c r="F194" i="3"/>
  <c r="G194" i="3"/>
  <c r="H194" i="3"/>
  <c r="I194" i="3"/>
  <c r="A195" i="3"/>
  <c r="B195" i="3"/>
  <c r="D195" i="3"/>
  <c r="E195" i="3"/>
  <c r="F195" i="3"/>
  <c r="G195" i="3"/>
  <c r="H195" i="3"/>
  <c r="I195" i="3"/>
  <c r="A196" i="3"/>
  <c r="B196" i="3"/>
  <c r="D196" i="3"/>
  <c r="E196" i="3"/>
  <c r="F196" i="3"/>
  <c r="G196" i="3"/>
  <c r="H196" i="3"/>
  <c r="I196" i="3"/>
  <c r="A197" i="3"/>
  <c r="B197" i="3"/>
  <c r="D197" i="3"/>
  <c r="E197" i="3"/>
  <c r="F197" i="3"/>
  <c r="G197" i="3"/>
  <c r="H197" i="3"/>
  <c r="I197" i="3"/>
  <c r="A198" i="3"/>
  <c r="B198" i="3"/>
  <c r="D198" i="3"/>
  <c r="E198" i="3"/>
  <c r="F198" i="3"/>
  <c r="G198" i="3"/>
  <c r="H198" i="3"/>
  <c r="I198" i="3"/>
  <c r="A199" i="3"/>
  <c r="B199" i="3"/>
  <c r="D199" i="3"/>
  <c r="E199" i="3"/>
  <c r="F199" i="3"/>
  <c r="G199" i="3"/>
  <c r="H199" i="3"/>
  <c r="I199" i="3"/>
  <c r="A200" i="3"/>
  <c r="B200" i="3"/>
  <c r="D200" i="3"/>
  <c r="E200" i="3"/>
  <c r="F200" i="3"/>
  <c r="G200" i="3"/>
  <c r="H200" i="3"/>
  <c r="I200" i="3"/>
  <c r="A201" i="3"/>
  <c r="B201" i="3"/>
  <c r="D201" i="3"/>
  <c r="E201" i="3"/>
  <c r="F201" i="3"/>
  <c r="G201" i="3"/>
  <c r="H201" i="3"/>
  <c r="I201" i="3"/>
  <c r="A202" i="3"/>
  <c r="B202" i="3"/>
  <c r="D202" i="3"/>
  <c r="E202" i="3"/>
  <c r="F202" i="3"/>
  <c r="G202" i="3"/>
  <c r="H202" i="3"/>
  <c r="I202" i="3"/>
  <c r="A203" i="3"/>
  <c r="B203" i="3"/>
  <c r="D203" i="3"/>
  <c r="E203" i="3"/>
  <c r="F203" i="3"/>
  <c r="G203" i="3"/>
  <c r="H203" i="3"/>
  <c r="I203" i="3"/>
  <c r="A204" i="3"/>
  <c r="B204" i="3"/>
  <c r="D204" i="3"/>
  <c r="E204" i="3"/>
  <c r="F204" i="3"/>
  <c r="G204" i="3"/>
  <c r="H204" i="3"/>
  <c r="I204" i="3"/>
  <c r="A205" i="3"/>
  <c r="B205" i="3"/>
  <c r="D205" i="3"/>
  <c r="E205" i="3"/>
  <c r="F205" i="3"/>
  <c r="G205" i="3"/>
  <c r="H205" i="3"/>
  <c r="I205" i="3"/>
  <c r="A206" i="3"/>
  <c r="B206" i="3"/>
  <c r="D206" i="3"/>
  <c r="E206" i="3"/>
  <c r="F206" i="3"/>
  <c r="G206" i="3"/>
  <c r="H206" i="3"/>
  <c r="I206" i="3"/>
  <c r="A207" i="3"/>
  <c r="B207" i="3"/>
  <c r="D207" i="3"/>
  <c r="E207" i="3"/>
  <c r="F207" i="3"/>
  <c r="G207" i="3"/>
  <c r="H207" i="3"/>
  <c r="I207" i="3"/>
  <c r="A208" i="3"/>
  <c r="B208" i="3"/>
  <c r="D208" i="3"/>
  <c r="E208" i="3"/>
  <c r="F208" i="3"/>
  <c r="G208" i="3"/>
  <c r="H208" i="3"/>
  <c r="I208" i="3"/>
  <c r="A209" i="3"/>
  <c r="B209" i="3"/>
  <c r="D209" i="3"/>
  <c r="E209" i="3"/>
  <c r="F209" i="3"/>
  <c r="G209" i="3"/>
  <c r="H209" i="3"/>
  <c r="I209" i="3"/>
  <c r="A210" i="3"/>
  <c r="B210" i="3"/>
  <c r="D210" i="3"/>
  <c r="E210" i="3"/>
  <c r="F210" i="3"/>
  <c r="G210" i="3"/>
  <c r="H210" i="3"/>
  <c r="I210" i="3"/>
  <c r="A211" i="3"/>
  <c r="B211" i="3"/>
  <c r="D211" i="3"/>
  <c r="E211" i="3"/>
  <c r="F211" i="3"/>
  <c r="G211" i="3"/>
  <c r="H211" i="3"/>
  <c r="I211" i="3"/>
  <c r="A212" i="3"/>
  <c r="B212" i="3"/>
  <c r="D212" i="3"/>
  <c r="E212" i="3"/>
  <c r="F212" i="3"/>
  <c r="G212" i="3"/>
  <c r="H212" i="3"/>
  <c r="I212" i="3"/>
  <c r="A213" i="3"/>
  <c r="B213" i="3"/>
  <c r="D213" i="3"/>
  <c r="E213" i="3"/>
  <c r="F213" i="3"/>
  <c r="G213" i="3"/>
  <c r="H213" i="3"/>
  <c r="I213" i="3"/>
  <c r="A214" i="3"/>
  <c r="B214" i="3"/>
  <c r="D214" i="3"/>
  <c r="E214" i="3"/>
  <c r="F214" i="3"/>
  <c r="G214" i="3"/>
  <c r="H214" i="3"/>
  <c r="I214" i="3"/>
  <c r="A215" i="3"/>
  <c r="B215" i="3"/>
  <c r="D215" i="3"/>
  <c r="E215" i="3"/>
  <c r="F215" i="3"/>
  <c r="G215" i="3"/>
  <c r="H215" i="3"/>
  <c r="I215" i="3"/>
  <c r="A216" i="3"/>
  <c r="B216" i="3"/>
  <c r="D216" i="3"/>
  <c r="E216" i="3"/>
  <c r="F216" i="3"/>
  <c r="G216" i="3"/>
  <c r="H216" i="3"/>
  <c r="I216" i="3"/>
  <c r="A217" i="3"/>
  <c r="B217" i="3"/>
  <c r="D217" i="3"/>
  <c r="E217" i="3"/>
  <c r="F217" i="3"/>
  <c r="G217" i="3"/>
  <c r="H217" i="3"/>
  <c r="I217" i="3"/>
  <c r="A218" i="3"/>
  <c r="B218" i="3"/>
  <c r="D218" i="3"/>
  <c r="E218" i="3"/>
  <c r="F218" i="3"/>
  <c r="G218" i="3"/>
  <c r="H218" i="3"/>
  <c r="I218" i="3"/>
  <c r="A219" i="3"/>
  <c r="B219" i="3"/>
  <c r="D219" i="3"/>
  <c r="E219" i="3"/>
  <c r="F219" i="3"/>
  <c r="G219" i="3"/>
  <c r="H219" i="3"/>
  <c r="I219" i="3"/>
  <c r="A220" i="3"/>
  <c r="B220" i="3"/>
  <c r="D220" i="3"/>
  <c r="E220" i="3"/>
  <c r="F220" i="3"/>
  <c r="G220" i="3"/>
  <c r="H220" i="3"/>
  <c r="I220" i="3"/>
  <c r="A221" i="3"/>
  <c r="B221" i="3"/>
  <c r="D221" i="3"/>
  <c r="E221" i="3"/>
  <c r="F221" i="3"/>
  <c r="G221" i="3"/>
  <c r="H221" i="3"/>
  <c r="I221" i="3"/>
  <c r="A222" i="3"/>
  <c r="B222" i="3"/>
  <c r="D222" i="3"/>
  <c r="E222" i="3"/>
  <c r="F222" i="3"/>
  <c r="G222" i="3"/>
  <c r="H222" i="3"/>
  <c r="I222" i="3"/>
  <c r="A223" i="3"/>
  <c r="B223" i="3"/>
  <c r="D223" i="3"/>
  <c r="E223" i="3"/>
  <c r="F223" i="3"/>
  <c r="G223" i="3"/>
  <c r="H223" i="3"/>
  <c r="I223" i="3"/>
  <c r="A224" i="3"/>
  <c r="B224" i="3"/>
  <c r="D224" i="3"/>
  <c r="E224" i="3"/>
  <c r="F224" i="3"/>
  <c r="G224" i="3"/>
  <c r="H224" i="3"/>
  <c r="I224" i="3"/>
  <c r="A225" i="3"/>
  <c r="B225" i="3"/>
  <c r="D225" i="3"/>
  <c r="E225" i="3"/>
  <c r="F225" i="3"/>
  <c r="G225" i="3"/>
  <c r="H225" i="3"/>
  <c r="I225" i="3"/>
  <c r="A226" i="3"/>
  <c r="B226" i="3"/>
  <c r="D226" i="3"/>
  <c r="E226" i="3"/>
  <c r="F226" i="3"/>
  <c r="G226" i="3"/>
  <c r="H226" i="3"/>
  <c r="I226" i="3"/>
  <c r="A227" i="3"/>
  <c r="B227" i="3"/>
  <c r="D227" i="3"/>
  <c r="E227" i="3"/>
  <c r="F227" i="3"/>
  <c r="G227" i="3"/>
  <c r="H227" i="3"/>
  <c r="I227" i="3"/>
  <c r="A228" i="3"/>
  <c r="B228" i="3"/>
  <c r="D228" i="3"/>
  <c r="E228" i="3"/>
  <c r="F228" i="3"/>
  <c r="G228" i="3"/>
  <c r="H228" i="3"/>
  <c r="I228" i="3"/>
  <c r="A229" i="3"/>
  <c r="B229" i="3"/>
  <c r="D229" i="3"/>
  <c r="E229" i="3"/>
  <c r="F229" i="3"/>
  <c r="G229" i="3"/>
  <c r="H229" i="3"/>
  <c r="I229" i="3"/>
  <c r="A230" i="3"/>
  <c r="B230" i="3"/>
  <c r="D230" i="3"/>
  <c r="E230" i="3"/>
  <c r="F230" i="3"/>
  <c r="G230" i="3"/>
  <c r="H230" i="3"/>
  <c r="I230" i="3"/>
  <c r="A231" i="3"/>
  <c r="B231" i="3"/>
  <c r="D231" i="3"/>
  <c r="E231" i="3"/>
  <c r="F231" i="3"/>
  <c r="G231" i="3"/>
  <c r="H231" i="3"/>
  <c r="I231" i="3"/>
  <c r="A232" i="3"/>
  <c r="B232" i="3"/>
  <c r="D232" i="3"/>
  <c r="E232" i="3"/>
  <c r="F232" i="3"/>
  <c r="G232" i="3"/>
  <c r="H232" i="3"/>
  <c r="I232" i="3"/>
  <c r="A233" i="3"/>
  <c r="B233" i="3"/>
  <c r="D233" i="3"/>
  <c r="E233" i="3"/>
  <c r="F233" i="3"/>
  <c r="G233" i="3"/>
  <c r="H233" i="3"/>
  <c r="I233" i="3"/>
  <c r="A234" i="3"/>
  <c r="B234" i="3"/>
  <c r="D234" i="3"/>
  <c r="E234" i="3"/>
  <c r="F234" i="3"/>
  <c r="G234" i="3"/>
  <c r="H234" i="3"/>
  <c r="I234" i="3"/>
  <c r="A235" i="3"/>
  <c r="B235" i="3"/>
  <c r="D235" i="3"/>
  <c r="E235" i="3"/>
  <c r="F235" i="3"/>
  <c r="G235" i="3"/>
  <c r="H235" i="3"/>
  <c r="I235" i="3"/>
  <c r="A236" i="3"/>
  <c r="B236" i="3"/>
  <c r="D236" i="3"/>
  <c r="E236" i="3"/>
  <c r="F236" i="3"/>
  <c r="G236" i="3"/>
  <c r="H236" i="3"/>
  <c r="I236" i="3"/>
  <c r="A237" i="3"/>
  <c r="B237" i="3"/>
  <c r="D237" i="3"/>
  <c r="E237" i="3"/>
  <c r="F237" i="3"/>
  <c r="G237" i="3"/>
  <c r="H237" i="3"/>
  <c r="I237" i="3"/>
  <c r="A238" i="3"/>
  <c r="B238" i="3"/>
  <c r="D238" i="3"/>
  <c r="E238" i="3"/>
  <c r="F238" i="3"/>
  <c r="G238" i="3"/>
  <c r="H238" i="3"/>
  <c r="I238" i="3"/>
  <c r="A239" i="3"/>
  <c r="B239" i="3"/>
  <c r="D239" i="3"/>
  <c r="E239" i="3"/>
  <c r="F239" i="3"/>
  <c r="G239" i="3"/>
  <c r="H239" i="3"/>
  <c r="I239" i="3"/>
  <c r="A240" i="3"/>
  <c r="B240" i="3"/>
  <c r="D240" i="3"/>
  <c r="E240" i="3"/>
  <c r="F240" i="3"/>
  <c r="G240" i="3"/>
  <c r="H240" i="3"/>
  <c r="I240" i="3"/>
  <c r="A241" i="3"/>
  <c r="B241" i="3"/>
  <c r="D241" i="3"/>
  <c r="E241" i="3"/>
  <c r="F241" i="3"/>
  <c r="G241" i="3"/>
  <c r="H241" i="3"/>
  <c r="I241" i="3"/>
  <c r="A242" i="3"/>
  <c r="B242" i="3"/>
  <c r="D242" i="3"/>
  <c r="E242" i="3"/>
  <c r="F242" i="3"/>
  <c r="G242" i="3"/>
  <c r="H242" i="3"/>
  <c r="I242" i="3"/>
  <c r="A243" i="3"/>
  <c r="B243" i="3"/>
  <c r="D243" i="3"/>
  <c r="E243" i="3"/>
  <c r="F243" i="3"/>
  <c r="G243" i="3"/>
  <c r="H243" i="3"/>
  <c r="I243" i="3"/>
  <c r="A244" i="3"/>
  <c r="B244" i="3"/>
  <c r="D244" i="3"/>
  <c r="E244" i="3"/>
  <c r="F244" i="3"/>
  <c r="G244" i="3"/>
  <c r="H244" i="3"/>
  <c r="I244" i="3"/>
  <c r="A245" i="3"/>
  <c r="B245" i="3"/>
  <c r="D245" i="3"/>
  <c r="E245" i="3"/>
  <c r="F245" i="3"/>
  <c r="G245" i="3"/>
  <c r="H245" i="3"/>
  <c r="I245" i="3"/>
  <c r="A246" i="3"/>
  <c r="B246" i="3"/>
  <c r="D246" i="3"/>
  <c r="E246" i="3"/>
  <c r="F246" i="3"/>
  <c r="G246" i="3"/>
  <c r="H246" i="3"/>
  <c r="I246" i="3"/>
  <c r="A247" i="3"/>
  <c r="B247" i="3"/>
  <c r="D247" i="3"/>
  <c r="E247" i="3"/>
  <c r="F247" i="3"/>
  <c r="G247" i="3"/>
  <c r="H247" i="3"/>
  <c r="I247" i="3"/>
  <c r="A248" i="3"/>
  <c r="B248" i="3"/>
  <c r="D248" i="3"/>
  <c r="E248" i="3"/>
  <c r="F248" i="3"/>
  <c r="G248" i="3"/>
  <c r="H248" i="3"/>
  <c r="I248" i="3"/>
  <c r="A249" i="3"/>
  <c r="B249" i="3"/>
  <c r="D249" i="3"/>
  <c r="E249" i="3"/>
  <c r="F249" i="3"/>
  <c r="G249" i="3"/>
  <c r="H249" i="3"/>
  <c r="I249" i="3"/>
  <c r="A250" i="3"/>
  <c r="B250" i="3"/>
  <c r="D250" i="3"/>
  <c r="E250" i="3"/>
  <c r="F250" i="3"/>
  <c r="G250" i="3"/>
  <c r="H250" i="3"/>
  <c r="I250" i="3"/>
  <c r="A251" i="3"/>
  <c r="B251" i="3"/>
  <c r="D251" i="3"/>
  <c r="E251" i="3"/>
  <c r="F251" i="3"/>
  <c r="G251" i="3"/>
  <c r="H251" i="3"/>
  <c r="I251" i="3"/>
  <c r="A252" i="3"/>
  <c r="B252" i="3"/>
  <c r="D252" i="3"/>
  <c r="E252" i="3"/>
  <c r="F252" i="3"/>
  <c r="G252" i="3"/>
  <c r="H252" i="3"/>
  <c r="I252" i="3"/>
  <c r="A253" i="3"/>
  <c r="B253" i="3"/>
  <c r="D253" i="3"/>
  <c r="E253" i="3"/>
  <c r="F253" i="3"/>
  <c r="G253" i="3"/>
  <c r="H253" i="3"/>
  <c r="I253" i="3"/>
  <c r="A254" i="3"/>
  <c r="B254" i="3"/>
  <c r="D254" i="3"/>
  <c r="E254" i="3"/>
  <c r="F254" i="3"/>
  <c r="G254" i="3"/>
  <c r="H254" i="3"/>
  <c r="I254" i="3"/>
  <c r="A255" i="3"/>
  <c r="B255" i="3"/>
  <c r="D255" i="3"/>
  <c r="E255" i="3"/>
  <c r="F255" i="3"/>
  <c r="G255" i="3"/>
  <c r="H255" i="3"/>
  <c r="I255" i="3"/>
  <c r="A256" i="3"/>
  <c r="B256" i="3"/>
  <c r="D256" i="3"/>
  <c r="E256" i="3"/>
  <c r="F256" i="3"/>
  <c r="G256" i="3"/>
  <c r="H256" i="3"/>
  <c r="I256" i="3"/>
  <c r="A257" i="3"/>
  <c r="B257" i="3"/>
  <c r="D257" i="3"/>
  <c r="E257" i="3"/>
  <c r="F257" i="3"/>
  <c r="G257" i="3"/>
  <c r="H257" i="3"/>
  <c r="I257" i="3"/>
  <c r="A258" i="3"/>
  <c r="B258" i="3"/>
  <c r="D258" i="3"/>
  <c r="E258" i="3"/>
  <c r="F258" i="3"/>
  <c r="G258" i="3"/>
  <c r="H258" i="3"/>
  <c r="I258" i="3"/>
  <c r="A259" i="3"/>
  <c r="B259" i="3"/>
  <c r="D259" i="3"/>
  <c r="E259" i="3"/>
  <c r="F259" i="3"/>
  <c r="G259" i="3"/>
  <c r="H259" i="3"/>
  <c r="I259" i="3"/>
  <c r="A260" i="3"/>
  <c r="B260" i="3"/>
  <c r="D260" i="3"/>
  <c r="E260" i="3"/>
  <c r="F260" i="3"/>
  <c r="G260" i="3"/>
  <c r="H260" i="3"/>
  <c r="I260" i="3"/>
  <c r="A261" i="3"/>
  <c r="B261" i="3"/>
  <c r="D261" i="3"/>
  <c r="E261" i="3"/>
  <c r="F261" i="3"/>
  <c r="G261" i="3"/>
  <c r="H261" i="3"/>
  <c r="I261" i="3"/>
  <c r="A262" i="3"/>
  <c r="B262" i="3"/>
  <c r="D262" i="3"/>
  <c r="E262" i="3"/>
  <c r="F262" i="3"/>
  <c r="G262" i="3"/>
  <c r="H262" i="3"/>
  <c r="I262" i="3"/>
  <c r="A263" i="3"/>
  <c r="B263" i="3"/>
  <c r="D263" i="3"/>
  <c r="E263" i="3"/>
  <c r="F263" i="3"/>
  <c r="G263" i="3"/>
  <c r="H263" i="3"/>
  <c r="I263" i="3"/>
  <c r="A264" i="3"/>
  <c r="B264" i="3"/>
  <c r="D264" i="3"/>
  <c r="E264" i="3"/>
  <c r="F264" i="3"/>
  <c r="G264" i="3"/>
  <c r="H264" i="3"/>
  <c r="I264" i="3"/>
  <c r="A265" i="3"/>
  <c r="B265" i="3"/>
  <c r="D265" i="3"/>
  <c r="E265" i="3"/>
  <c r="F265" i="3"/>
  <c r="G265" i="3"/>
  <c r="H265" i="3"/>
  <c r="I265" i="3"/>
  <c r="A266" i="3"/>
  <c r="B266" i="3"/>
  <c r="D266" i="3"/>
  <c r="E266" i="3"/>
  <c r="F266" i="3"/>
  <c r="G266" i="3"/>
  <c r="H266" i="3"/>
  <c r="I266" i="3"/>
  <c r="A267" i="3"/>
  <c r="B267" i="3"/>
  <c r="D267" i="3"/>
  <c r="E267" i="3"/>
  <c r="F267" i="3"/>
  <c r="G267" i="3"/>
  <c r="H267" i="3"/>
  <c r="I267" i="3"/>
  <c r="A268" i="3"/>
  <c r="B268" i="3"/>
  <c r="D268" i="3"/>
  <c r="E268" i="3"/>
  <c r="F268" i="3"/>
  <c r="G268" i="3"/>
  <c r="H268" i="3"/>
  <c r="I268" i="3"/>
  <c r="A269" i="3"/>
  <c r="B269" i="3"/>
  <c r="D269" i="3"/>
  <c r="E269" i="3"/>
  <c r="F269" i="3"/>
  <c r="G269" i="3"/>
  <c r="H269" i="3"/>
  <c r="I269" i="3"/>
  <c r="A270" i="3"/>
  <c r="B270" i="3"/>
  <c r="D270" i="3"/>
  <c r="E270" i="3"/>
  <c r="F270" i="3"/>
  <c r="G270" i="3"/>
  <c r="H270" i="3"/>
  <c r="I270" i="3"/>
  <c r="A271" i="3"/>
  <c r="B271" i="3"/>
  <c r="D271" i="3"/>
  <c r="E271" i="3"/>
  <c r="F271" i="3"/>
  <c r="G271" i="3"/>
  <c r="H271" i="3"/>
  <c r="I271" i="3"/>
  <c r="A272" i="3"/>
  <c r="B272" i="3"/>
  <c r="D272" i="3"/>
  <c r="E272" i="3"/>
  <c r="F272" i="3"/>
  <c r="G272" i="3"/>
  <c r="H272" i="3"/>
  <c r="I272" i="3"/>
  <c r="A273" i="3"/>
  <c r="B273" i="3"/>
  <c r="D273" i="3"/>
  <c r="E273" i="3"/>
  <c r="F273" i="3"/>
  <c r="G273" i="3"/>
  <c r="H273" i="3"/>
  <c r="I273" i="3"/>
  <c r="A274" i="3"/>
  <c r="B274" i="3"/>
  <c r="D274" i="3"/>
  <c r="E274" i="3"/>
  <c r="F274" i="3"/>
  <c r="G274" i="3"/>
  <c r="H274" i="3"/>
  <c r="I274" i="3"/>
  <c r="A275" i="3"/>
  <c r="B275" i="3"/>
  <c r="D275" i="3"/>
  <c r="E275" i="3"/>
  <c r="F275" i="3"/>
  <c r="G275" i="3"/>
  <c r="H275" i="3"/>
  <c r="I275" i="3"/>
  <c r="A276" i="3"/>
  <c r="B276" i="3"/>
  <c r="D276" i="3"/>
  <c r="E276" i="3"/>
  <c r="F276" i="3"/>
  <c r="G276" i="3"/>
  <c r="H276" i="3"/>
  <c r="I276" i="3"/>
  <c r="A277" i="3"/>
  <c r="B277" i="3"/>
  <c r="D277" i="3"/>
  <c r="E277" i="3"/>
  <c r="F277" i="3"/>
  <c r="G277" i="3"/>
  <c r="H277" i="3"/>
  <c r="I277" i="3"/>
  <c r="A278" i="3"/>
  <c r="B278" i="3"/>
  <c r="D278" i="3"/>
  <c r="E278" i="3"/>
  <c r="F278" i="3"/>
  <c r="G278" i="3"/>
  <c r="H278" i="3"/>
  <c r="I278" i="3"/>
  <c r="A279" i="3"/>
  <c r="B279" i="3"/>
  <c r="D279" i="3"/>
  <c r="E279" i="3"/>
  <c r="F279" i="3"/>
  <c r="G279" i="3"/>
  <c r="H279" i="3"/>
  <c r="I279" i="3"/>
  <c r="A280" i="3"/>
  <c r="B280" i="3"/>
  <c r="D280" i="3"/>
  <c r="E280" i="3"/>
  <c r="F280" i="3"/>
  <c r="G280" i="3"/>
  <c r="H280" i="3"/>
  <c r="I280" i="3"/>
  <c r="A281" i="3"/>
  <c r="B281" i="3"/>
  <c r="D281" i="3"/>
  <c r="E281" i="3"/>
  <c r="F281" i="3"/>
  <c r="G281" i="3"/>
  <c r="H281" i="3"/>
  <c r="I281" i="3"/>
  <c r="A282" i="3"/>
  <c r="B282" i="3"/>
  <c r="D282" i="3"/>
  <c r="E282" i="3"/>
  <c r="F282" i="3"/>
  <c r="G282" i="3"/>
  <c r="H282" i="3"/>
  <c r="I282" i="3"/>
  <c r="A283" i="3"/>
  <c r="B283" i="3"/>
  <c r="D283" i="3"/>
  <c r="E283" i="3"/>
  <c r="F283" i="3"/>
  <c r="G283" i="3"/>
  <c r="H283" i="3"/>
  <c r="I283" i="3"/>
  <c r="A284" i="3"/>
  <c r="B284" i="3"/>
  <c r="D284" i="3"/>
  <c r="E284" i="3"/>
  <c r="F284" i="3"/>
  <c r="G284" i="3"/>
  <c r="H284" i="3"/>
  <c r="I284" i="3"/>
  <c r="A285" i="3"/>
  <c r="B285" i="3"/>
  <c r="D285" i="3"/>
  <c r="E285" i="3"/>
  <c r="F285" i="3"/>
  <c r="G285" i="3"/>
  <c r="H285" i="3"/>
  <c r="I285" i="3"/>
  <c r="A286" i="3"/>
  <c r="B286" i="3"/>
  <c r="D286" i="3"/>
  <c r="E286" i="3"/>
  <c r="F286" i="3"/>
  <c r="G286" i="3"/>
  <c r="H286" i="3"/>
  <c r="I286" i="3"/>
  <c r="A287" i="3"/>
  <c r="B287" i="3"/>
  <c r="D287" i="3"/>
  <c r="E287" i="3"/>
  <c r="F287" i="3"/>
  <c r="G287" i="3"/>
  <c r="H287" i="3"/>
  <c r="I287" i="3"/>
  <c r="A288" i="3"/>
  <c r="B288" i="3"/>
  <c r="D288" i="3"/>
  <c r="E288" i="3"/>
  <c r="F288" i="3"/>
  <c r="G288" i="3"/>
  <c r="H288" i="3"/>
  <c r="I288" i="3"/>
  <c r="A289" i="3"/>
  <c r="B289" i="3"/>
  <c r="D289" i="3"/>
  <c r="E289" i="3"/>
  <c r="F289" i="3"/>
  <c r="G289" i="3"/>
  <c r="H289" i="3"/>
  <c r="I289" i="3"/>
  <c r="A290" i="3"/>
  <c r="B290" i="3"/>
  <c r="D290" i="3"/>
  <c r="E290" i="3"/>
  <c r="F290" i="3"/>
  <c r="G290" i="3"/>
  <c r="H290" i="3"/>
  <c r="I290" i="3"/>
  <c r="A291" i="3"/>
  <c r="B291" i="3"/>
  <c r="D291" i="3"/>
  <c r="E291" i="3"/>
  <c r="F291" i="3"/>
  <c r="G291" i="3"/>
  <c r="H291" i="3"/>
  <c r="I291" i="3"/>
  <c r="A292" i="3"/>
  <c r="B292" i="3"/>
  <c r="D292" i="3"/>
  <c r="E292" i="3"/>
  <c r="F292" i="3"/>
  <c r="G292" i="3"/>
  <c r="H292" i="3"/>
  <c r="I292" i="3"/>
  <c r="A293" i="3"/>
  <c r="B293" i="3"/>
  <c r="D293" i="3"/>
  <c r="E293" i="3"/>
  <c r="F293" i="3"/>
  <c r="G293" i="3"/>
  <c r="H293" i="3"/>
  <c r="I293" i="3"/>
  <c r="A294" i="3"/>
  <c r="B294" i="3"/>
  <c r="D294" i="3"/>
  <c r="E294" i="3"/>
  <c r="F294" i="3"/>
  <c r="G294" i="3"/>
  <c r="H294" i="3"/>
  <c r="I294" i="3"/>
  <c r="A295" i="3"/>
  <c r="B295" i="3"/>
  <c r="D295" i="3"/>
  <c r="E295" i="3"/>
  <c r="F295" i="3"/>
  <c r="G295" i="3"/>
  <c r="H295" i="3"/>
  <c r="I295" i="3"/>
  <c r="A296" i="3"/>
  <c r="B296" i="3"/>
  <c r="D296" i="3"/>
  <c r="E296" i="3"/>
  <c r="F296" i="3"/>
  <c r="G296" i="3"/>
  <c r="H296" i="3"/>
  <c r="I296" i="3"/>
  <c r="A297" i="3"/>
  <c r="B297" i="3"/>
  <c r="D297" i="3"/>
  <c r="E297" i="3"/>
  <c r="F297" i="3"/>
  <c r="G297" i="3"/>
  <c r="H297" i="3"/>
  <c r="I297" i="3"/>
  <c r="A298" i="3"/>
  <c r="B298" i="3"/>
  <c r="D298" i="3"/>
  <c r="E298" i="3"/>
  <c r="F298" i="3"/>
  <c r="G298" i="3"/>
  <c r="H298" i="3"/>
  <c r="I298" i="3"/>
  <c r="A299" i="3"/>
  <c r="B299" i="3"/>
  <c r="D299" i="3"/>
  <c r="E299" i="3"/>
  <c r="F299" i="3"/>
  <c r="G299" i="3"/>
  <c r="H299" i="3"/>
  <c r="I299" i="3"/>
  <c r="A300" i="3"/>
  <c r="B300" i="3"/>
  <c r="D300" i="3"/>
  <c r="E300" i="3"/>
  <c r="F300" i="3"/>
  <c r="G300" i="3"/>
  <c r="H300" i="3"/>
  <c r="I300" i="3"/>
  <c r="A301" i="3"/>
  <c r="B301" i="3"/>
  <c r="D301" i="3"/>
  <c r="E301" i="3"/>
  <c r="F301" i="3"/>
  <c r="G301" i="3"/>
  <c r="H301" i="3"/>
  <c r="I301" i="3"/>
  <c r="A302" i="3"/>
  <c r="B302" i="3"/>
  <c r="D302" i="3"/>
  <c r="E302" i="3"/>
  <c r="F302" i="3"/>
  <c r="G302" i="3"/>
  <c r="H302" i="3"/>
  <c r="I302" i="3"/>
  <c r="A303" i="3"/>
  <c r="B303" i="3"/>
  <c r="D303" i="3"/>
  <c r="E303" i="3"/>
  <c r="F303" i="3"/>
  <c r="G303" i="3"/>
  <c r="H303" i="3"/>
  <c r="I303" i="3"/>
  <c r="A304" i="3"/>
  <c r="B304" i="3"/>
  <c r="D304" i="3"/>
  <c r="E304" i="3"/>
  <c r="F304" i="3"/>
  <c r="G304" i="3"/>
  <c r="H304" i="3"/>
  <c r="I304" i="3"/>
  <c r="A305" i="3"/>
  <c r="B305" i="3"/>
  <c r="D305" i="3"/>
  <c r="E305" i="3"/>
  <c r="F305" i="3"/>
  <c r="G305" i="3"/>
  <c r="H305" i="3"/>
  <c r="I305" i="3"/>
  <c r="A306" i="3"/>
  <c r="B306" i="3"/>
  <c r="D306" i="3"/>
  <c r="E306" i="3"/>
  <c r="F306" i="3"/>
  <c r="G306" i="3"/>
  <c r="H306" i="3"/>
  <c r="I306" i="3"/>
  <c r="A307" i="3"/>
  <c r="B307" i="3"/>
  <c r="D307" i="3"/>
  <c r="E307" i="3"/>
  <c r="F307" i="3"/>
  <c r="G307" i="3"/>
  <c r="H307" i="3"/>
  <c r="I307" i="3"/>
  <c r="A308" i="3"/>
  <c r="B308" i="3"/>
  <c r="D308" i="3"/>
  <c r="E308" i="3"/>
  <c r="F308" i="3"/>
  <c r="G308" i="3"/>
  <c r="H308" i="3"/>
  <c r="I308" i="3"/>
  <c r="A309" i="3"/>
  <c r="B309" i="3"/>
  <c r="D309" i="3"/>
  <c r="E309" i="3"/>
  <c r="F309" i="3"/>
  <c r="G309" i="3"/>
  <c r="H309" i="3"/>
  <c r="I309" i="3"/>
  <c r="A310" i="3"/>
  <c r="B310" i="3"/>
  <c r="D310" i="3"/>
  <c r="E310" i="3"/>
  <c r="F310" i="3"/>
  <c r="G310" i="3"/>
  <c r="H310" i="3"/>
  <c r="I310" i="3"/>
  <c r="A311" i="3"/>
  <c r="B311" i="3"/>
  <c r="D311" i="3"/>
  <c r="E311" i="3"/>
  <c r="F311" i="3"/>
  <c r="G311" i="3"/>
  <c r="H311" i="3"/>
  <c r="I311" i="3"/>
  <c r="A312" i="3"/>
  <c r="B312" i="3"/>
  <c r="D312" i="3"/>
  <c r="E312" i="3"/>
  <c r="F312" i="3"/>
  <c r="G312" i="3"/>
  <c r="H312" i="3"/>
  <c r="I312" i="3"/>
  <c r="A313" i="3"/>
  <c r="B313" i="3"/>
  <c r="D313" i="3"/>
  <c r="E313" i="3"/>
  <c r="F313" i="3"/>
  <c r="G313" i="3"/>
  <c r="H313" i="3"/>
  <c r="I313" i="3"/>
  <c r="A314" i="3"/>
  <c r="B314" i="3"/>
  <c r="D314" i="3"/>
  <c r="E314" i="3"/>
  <c r="F314" i="3"/>
  <c r="G314" i="3"/>
  <c r="H314" i="3"/>
  <c r="I314" i="3"/>
  <c r="A315" i="3"/>
  <c r="B315" i="3"/>
  <c r="D315" i="3"/>
  <c r="E315" i="3"/>
  <c r="F315" i="3"/>
  <c r="G315" i="3"/>
  <c r="H315" i="3"/>
  <c r="I315" i="3"/>
  <c r="A316" i="3"/>
  <c r="B316" i="3"/>
  <c r="D316" i="3"/>
  <c r="E316" i="3"/>
  <c r="F316" i="3"/>
  <c r="G316" i="3"/>
  <c r="H316" i="3"/>
  <c r="I316" i="3"/>
  <c r="A317" i="3"/>
  <c r="B317" i="3"/>
  <c r="D317" i="3"/>
  <c r="E317" i="3"/>
  <c r="F317" i="3"/>
  <c r="G317" i="3"/>
  <c r="H317" i="3"/>
  <c r="I317" i="3"/>
  <c r="A318" i="3"/>
  <c r="B318" i="3"/>
  <c r="D318" i="3"/>
  <c r="E318" i="3"/>
  <c r="F318" i="3"/>
  <c r="G318" i="3"/>
  <c r="H318" i="3"/>
  <c r="I318" i="3"/>
  <c r="A319" i="3"/>
  <c r="B319" i="3"/>
  <c r="D319" i="3"/>
  <c r="E319" i="3"/>
  <c r="F319" i="3"/>
  <c r="G319" i="3"/>
  <c r="H319" i="3"/>
  <c r="I319" i="3"/>
  <c r="A320" i="3"/>
  <c r="B320" i="3"/>
  <c r="D320" i="3"/>
  <c r="E320" i="3"/>
  <c r="F320" i="3"/>
  <c r="G320" i="3"/>
  <c r="H320" i="3"/>
  <c r="I320" i="3"/>
  <c r="A321" i="3"/>
  <c r="B321" i="3"/>
  <c r="D321" i="3"/>
  <c r="E321" i="3"/>
  <c r="F321" i="3"/>
  <c r="G321" i="3"/>
  <c r="H321" i="3"/>
  <c r="I321" i="3"/>
  <c r="A322" i="3"/>
  <c r="B322" i="3"/>
  <c r="D322" i="3"/>
  <c r="E322" i="3"/>
  <c r="F322" i="3"/>
  <c r="G322" i="3"/>
  <c r="H322" i="3"/>
  <c r="I322" i="3"/>
  <c r="A323" i="3"/>
  <c r="B323" i="3"/>
  <c r="D323" i="3"/>
  <c r="E323" i="3"/>
  <c r="F323" i="3"/>
  <c r="G323" i="3"/>
  <c r="H323" i="3"/>
  <c r="I323" i="3"/>
  <c r="A324" i="3"/>
  <c r="B324" i="3"/>
  <c r="D324" i="3"/>
  <c r="E324" i="3"/>
  <c r="F324" i="3"/>
  <c r="G324" i="3"/>
  <c r="H324" i="3"/>
  <c r="I324" i="3"/>
  <c r="A325" i="3"/>
  <c r="B325" i="3"/>
  <c r="D325" i="3"/>
  <c r="E325" i="3"/>
  <c r="F325" i="3"/>
  <c r="G325" i="3"/>
  <c r="H325" i="3"/>
  <c r="I325" i="3"/>
  <c r="A326" i="3"/>
  <c r="B326" i="3"/>
  <c r="D326" i="3"/>
  <c r="E326" i="3"/>
  <c r="F326" i="3"/>
  <c r="G326" i="3"/>
  <c r="H326" i="3"/>
  <c r="I326" i="3"/>
  <c r="A327" i="3"/>
  <c r="B327" i="3"/>
  <c r="D327" i="3"/>
  <c r="E327" i="3"/>
  <c r="F327" i="3"/>
  <c r="G327" i="3"/>
  <c r="H327" i="3"/>
  <c r="I327" i="3"/>
  <c r="A328" i="3"/>
  <c r="B328" i="3"/>
  <c r="D328" i="3"/>
  <c r="E328" i="3"/>
  <c r="F328" i="3"/>
  <c r="G328" i="3"/>
  <c r="H328" i="3"/>
  <c r="I328" i="3"/>
  <c r="A329" i="3"/>
  <c r="B329" i="3"/>
  <c r="D329" i="3"/>
  <c r="E329" i="3"/>
  <c r="F329" i="3"/>
  <c r="G329" i="3"/>
  <c r="H329" i="3"/>
  <c r="I329" i="3"/>
  <c r="A330" i="3"/>
  <c r="B330" i="3"/>
  <c r="D330" i="3"/>
  <c r="E330" i="3"/>
  <c r="F330" i="3"/>
  <c r="G330" i="3"/>
  <c r="H330" i="3"/>
  <c r="I330" i="3"/>
  <c r="A331" i="3"/>
  <c r="B331" i="3"/>
  <c r="D331" i="3"/>
  <c r="E331" i="3"/>
  <c r="F331" i="3"/>
  <c r="G331" i="3"/>
  <c r="H331" i="3"/>
  <c r="I331" i="3"/>
  <c r="A332" i="3"/>
  <c r="B332" i="3"/>
  <c r="D332" i="3"/>
  <c r="E332" i="3"/>
  <c r="F332" i="3"/>
  <c r="G332" i="3"/>
  <c r="H332" i="3"/>
  <c r="I332" i="3"/>
  <c r="A333" i="3"/>
  <c r="B333" i="3"/>
  <c r="D333" i="3"/>
  <c r="E333" i="3"/>
  <c r="F333" i="3"/>
  <c r="G333" i="3"/>
  <c r="H333" i="3"/>
  <c r="I333" i="3"/>
  <c r="A334" i="3"/>
  <c r="B334" i="3"/>
  <c r="D334" i="3"/>
  <c r="E334" i="3"/>
  <c r="F334" i="3"/>
  <c r="G334" i="3"/>
  <c r="H334" i="3"/>
  <c r="I334" i="3"/>
  <c r="A335" i="3"/>
  <c r="B335" i="3"/>
  <c r="D335" i="3"/>
  <c r="E335" i="3"/>
  <c r="F335" i="3"/>
  <c r="G335" i="3"/>
  <c r="H335" i="3"/>
  <c r="I335" i="3"/>
  <c r="A336" i="3"/>
  <c r="B336" i="3"/>
  <c r="D336" i="3"/>
  <c r="E336" i="3"/>
  <c r="F336" i="3"/>
  <c r="G336" i="3"/>
  <c r="H336" i="3"/>
  <c r="I336" i="3"/>
  <c r="A337" i="3"/>
  <c r="B337" i="3"/>
  <c r="D337" i="3"/>
  <c r="E337" i="3"/>
  <c r="F337" i="3"/>
  <c r="G337" i="3"/>
  <c r="H337" i="3"/>
  <c r="I337" i="3"/>
  <c r="A338" i="3"/>
  <c r="B338" i="3"/>
  <c r="D338" i="3"/>
  <c r="E338" i="3"/>
  <c r="F338" i="3"/>
  <c r="G338" i="3"/>
  <c r="H338" i="3"/>
  <c r="I338" i="3"/>
  <c r="A339" i="3"/>
  <c r="B339" i="3"/>
  <c r="D339" i="3"/>
  <c r="E339" i="3"/>
  <c r="F339" i="3"/>
  <c r="G339" i="3"/>
  <c r="H339" i="3"/>
  <c r="I339" i="3"/>
  <c r="A340" i="3"/>
  <c r="B340" i="3"/>
  <c r="D340" i="3"/>
  <c r="E340" i="3"/>
  <c r="F340" i="3"/>
  <c r="G340" i="3"/>
  <c r="H340" i="3"/>
  <c r="I340" i="3"/>
  <c r="A341" i="3"/>
  <c r="B341" i="3"/>
  <c r="D341" i="3"/>
  <c r="E341" i="3"/>
  <c r="F341" i="3"/>
  <c r="G341" i="3"/>
  <c r="H341" i="3"/>
  <c r="I341" i="3"/>
  <c r="A342" i="3"/>
  <c r="B342" i="3"/>
  <c r="D342" i="3"/>
  <c r="E342" i="3"/>
  <c r="F342" i="3"/>
  <c r="G342" i="3"/>
  <c r="H342" i="3"/>
  <c r="I342" i="3"/>
  <c r="A343" i="3"/>
  <c r="B343" i="3"/>
  <c r="D343" i="3"/>
  <c r="E343" i="3"/>
  <c r="F343" i="3"/>
  <c r="G343" i="3"/>
  <c r="H343" i="3"/>
  <c r="I343" i="3"/>
  <c r="A344" i="3"/>
  <c r="B344" i="3"/>
  <c r="D344" i="3"/>
  <c r="E344" i="3"/>
  <c r="F344" i="3"/>
  <c r="G344" i="3"/>
  <c r="H344" i="3"/>
  <c r="I344" i="3"/>
  <c r="A345" i="3"/>
  <c r="B345" i="3"/>
  <c r="D345" i="3"/>
  <c r="E345" i="3"/>
  <c r="F345" i="3"/>
  <c r="G345" i="3"/>
  <c r="H345" i="3"/>
  <c r="I345" i="3"/>
  <c r="A346" i="3"/>
  <c r="B346" i="3"/>
  <c r="D346" i="3"/>
  <c r="E346" i="3"/>
  <c r="F346" i="3"/>
  <c r="G346" i="3"/>
  <c r="H346" i="3"/>
  <c r="I346" i="3"/>
  <c r="A347" i="3"/>
  <c r="B347" i="3"/>
  <c r="D347" i="3"/>
  <c r="E347" i="3"/>
  <c r="F347" i="3"/>
  <c r="G347" i="3"/>
  <c r="H347" i="3"/>
  <c r="I347" i="3"/>
  <c r="A348" i="3"/>
  <c r="B348" i="3"/>
  <c r="D348" i="3"/>
  <c r="E348" i="3"/>
  <c r="F348" i="3"/>
  <c r="G348" i="3"/>
  <c r="H348" i="3"/>
  <c r="I348" i="3"/>
  <c r="A349" i="3"/>
  <c r="B349" i="3"/>
  <c r="D349" i="3"/>
  <c r="E349" i="3"/>
  <c r="F349" i="3"/>
  <c r="G349" i="3"/>
  <c r="H349" i="3"/>
  <c r="I349" i="3"/>
  <c r="A350" i="3"/>
  <c r="B350" i="3"/>
  <c r="D350" i="3"/>
  <c r="E350" i="3"/>
  <c r="F350" i="3"/>
  <c r="G350" i="3"/>
  <c r="H350" i="3"/>
  <c r="I350" i="3"/>
  <c r="A351" i="3"/>
  <c r="B351" i="3"/>
  <c r="D351" i="3"/>
  <c r="E351" i="3"/>
  <c r="F351" i="3"/>
  <c r="G351" i="3"/>
  <c r="H351" i="3"/>
  <c r="I351" i="3"/>
  <c r="A352" i="3"/>
  <c r="B352" i="3"/>
  <c r="D352" i="3"/>
  <c r="E352" i="3"/>
  <c r="F352" i="3"/>
  <c r="G352" i="3"/>
  <c r="H352" i="3"/>
  <c r="I352" i="3"/>
  <c r="A353" i="3"/>
  <c r="B353" i="3"/>
  <c r="D353" i="3"/>
  <c r="E353" i="3"/>
  <c r="F353" i="3"/>
  <c r="G353" i="3"/>
  <c r="H353" i="3"/>
  <c r="I353" i="3"/>
  <c r="A354" i="3"/>
  <c r="B354" i="3"/>
  <c r="D354" i="3"/>
  <c r="E354" i="3"/>
  <c r="F354" i="3"/>
  <c r="G354" i="3"/>
  <c r="H354" i="3"/>
  <c r="I354" i="3"/>
  <c r="A355" i="3"/>
  <c r="B355" i="3"/>
  <c r="D355" i="3"/>
  <c r="E355" i="3"/>
  <c r="F355" i="3"/>
  <c r="G355" i="3"/>
  <c r="H355" i="3"/>
  <c r="I355" i="3"/>
  <c r="A356" i="3"/>
  <c r="B356" i="3"/>
  <c r="D356" i="3"/>
  <c r="E356" i="3"/>
  <c r="F356" i="3"/>
  <c r="G356" i="3"/>
  <c r="H356" i="3"/>
  <c r="I356" i="3"/>
  <c r="A357" i="3"/>
  <c r="B357" i="3"/>
  <c r="D357" i="3"/>
  <c r="E357" i="3"/>
  <c r="F357" i="3"/>
  <c r="G357" i="3"/>
  <c r="H357" i="3"/>
  <c r="I357" i="3"/>
  <c r="A358" i="3"/>
  <c r="B358" i="3"/>
  <c r="D358" i="3"/>
  <c r="E358" i="3"/>
  <c r="F358" i="3"/>
  <c r="G358" i="3"/>
  <c r="H358" i="3"/>
  <c r="I358" i="3"/>
  <c r="A359" i="3"/>
  <c r="B359" i="3"/>
  <c r="D359" i="3"/>
  <c r="E359" i="3"/>
  <c r="F359" i="3"/>
  <c r="G359" i="3"/>
  <c r="H359" i="3"/>
  <c r="I359" i="3"/>
  <c r="A360" i="3"/>
  <c r="B360" i="3"/>
  <c r="D360" i="3"/>
  <c r="E360" i="3"/>
  <c r="F360" i="3"/>
  <c r="G360" i="3"/>
  <c r="H360" i="3"/>
  <c r="I360" i="3"/>
  <c r="A361" i="3"/>
  <c r="B361" i="3"/>
  <c r="D361" i="3"/>
  <c r="E361" i="3"/>
  <c r="F361" i="3"/>
  <c r="G361" i="3"/>
  <c r="H361" i="3"/>
  <c r="I361" i="3"/>
  <c r="A362" i="3"/>
  <c r="B362" i="3"/>
  <c r="D362" i="3"/>
  <c r="E362" i="3"/>
  <c r="F362" i="3"/>
  <c r="G362" i="3"/>
  <c r="H362" i="3"/>
  <c r="I362" i="3"/>
  <c r="A363" i="3"/>
  <c r="B363" i="3"/>
  <c r="D363" i="3"/>
  <c r="E363" i="3"/>
  <c r="F363" i="3"/>
  <c r="G363" i="3"/>
  <c r="H363" i="3"/>
  <c r="I363" i="3"/>
  <c r="A364" i="3"/>
  <c r="B364" i="3"/>
  <c r="D364" i="3"/>
  <c r="E364" i="3"/>
  <c r="F364" i="3"/>
  <c r="G364" i="3"/>
  <c r="H364" i="3"/>
  <c r="I364" i="3"/>
  <c r="A365" i="3"/>
  <c r="B365" i="3"/>
  <c r="D365" i="3"/>
  <c r="E365" i="3"/>
  <c r="F365" i="3"/>
  <c r="G365" i="3"/>
  <c r="H365" i="3"/>
  <c r="I365" i="3"/>
  <c r="A366" i="3"/>
  <c r="B366" i="3"/>
  <c r="D366" i="3"/>
  <c r="E366" i="3"/>
  <c r="F366" i="3"/>
  <c r="G366" i="3"/>
  <c r="H366" i="3"/>
  <c r="I366" i="3"/>
  <c r="A367" i="3"/>
  <c r="B367" i="3"/>
  <c r="D367" i="3"/>
  <c r="E367" i="3"/>
  <c r="F367" i="3"/>
  <c r="G367" i="3"/>
  <c r="H367" i="3"/>
  <c r="I367" i="3"/>
  <c r="A368" i="3"/>
  <c r="B368" i="3"/>
  <c r="D368" i="3"/>
  <c r="E368" i="3"/>
  <c r="F368" i="3"/>
  <c r="G368" i="3"/>
  <c r="H368" i="3"/>
  <c r="I368" i="3"/>
  <c r="A369" i="3"/>
  <c r="B369" i="3"/>
  <c r="D369" i="3"/>
  <c r="E369" i="3"/>
  <c r="F369" i="3"/>
  <c r="G369" i="3"/>
  <c r="H369" i="3"/>
  <c r="I369" i="3"/>
  <c r="A370" i="3"/>
  <c r="B370" i="3"/>
  <c r="D370" i="3"/>
  <c r="E370" i="3"/>
  <c r="F370" i="3"/>
  <c r="G370" i="3"/>
  <c r="H370" i="3"/>
  <c r="I370" i="3"/>
  <c r="A371" i="3"/>
  <c r="B371" i="3"/>
  <c r="D371" i="3"/>
  <c r="E371" i="3"/>
  <c r="F371" i="3"/>
  <c r="G371" i="3"/>
  <c r="H371" i="3"/>
  <c r="I371" i="3"/>
  <c r="A372" i="3"/>
  <c r="B372" i="3"/>
  <c r="D372" i="3"/>
  <c r="E372" i="3"/>
  <c r="F372" i="3"/>
  <c r="G372" i="3"/>
  <c r="H372" i="3"/>
  <c r="I372" i="3"/>
  <c r="A373" i="3"/>
  <c r="B373" i="3"/>
  <c r="D373" i="3"/>
  <c r="E373" i="3"/>
  <c r="F373" i="3"/>
  <c r="G373" i="3"/>
  <c r="H373" i="3"/>
  <c r="I373" i="3"/>
  <c r="A374" i="3"/>
  <c r="B374" i="3"/>
  <c r="D374" i="3"/>
  <c r="E374" i="3"/>
  <c r="F374" i="3"/>
  <c r="G374" i="3"/>
  <c r="H374" i="3"/>
  <c r="I374" i="3"/>
  <c r="A375" i="3"/>
  <c r="B375" i="3"/>
  <c r="D375" i="3"/>
  <c r="E375" i="3"/>
  <c r="F375" i="3"/>
  <c r="G375" i="3"/>
  <c r="H375" i="3"/>
  <c r="I375" i="3"/>
  <c r="A376" i="3"/>
  <c r="B376" i="3"/>
  <c r="D376" i="3"/>
  <c r="E376" i="3"/>
  <c r="F376" i="3"/>
  <c r="G376" i="3"/>
  <c r="H376" i="3"/>
  <c r="I376" i="3"/>
  <c r="A377" i="3"/>
  <c r="B377" i="3"/>
  <c r="D377" i="3"/>
  <c r="E377" i="3"/>
  <c r="F377" i="3"/>
  <c r="G377" i="3"/>
  <c r="H377" i="3"/>
  <c r="I377" i="3"/>
  <c r="A378" i="3"/>
  <c r="B378" i="3"/>
  <c r="D378" i="3"/>
  <c r="E378" i="3"/>
  <c r="F378" i="3"/>
  <c r="G378" i="3"/>
  <c r="H378" i="3"/>
  <c r="I378" i="3"/>
  <c r="A379" i="3"/>
  <c r="B379" i="3"/>
  <c r="D379" i="3"/>
  <c r="E379" i="3"/>
  <c r="F379" i="3"/>
  <c r="G379" i="3"/>
  <c r="H379" i="3"/>
  <c r="I379" i="3"/>
  <c r="A380" i="3"/>
  <c r="B380" i="3"/>
  <c r="D380" i="3"/>
  <c r="E380" i="3"/>
  <c r="F380" i="3"/>
  <c r="G380" i="3"/>
  <c r="H380" i="3"/>
  <c r="I380" i="3"/>
  <c r="A381" i="3"/>
  <c r="B381" i="3"/>
  <c r="D381" i="3"/>
  <c r="E381" i="3"/>
  <c r="F381" i="3"/>
  <c r="G381" i="3"/>
  <c r="H381" i="3"/>
  <c r="I381" i="3"/>
  <c r="A382" i="3"/>
  <c r="B382" i="3"/>
  <c r="D382" i="3"/>
  <c r="E382" i="3"/>
  <c r="F382" i="3"/>
  <c r="G382" i="3"/>
  <c r="H382" i="3"/>
  <c r="I382" i="3"/>
  <c r="A383" i="3"/>
  <c r="B383" i="3"/>
  <c r="D383" i="3"/>
  <c r="E383" i="3"/>
  <c r="F383" i="3"/>
  <c r="G383" i="3"/>
  <c r="H383" i="3"/>
  <c r="I383" i="3"/>
  <c r="A384" i="3"/>
  <c r="B384" i="3"/>
  <c r="D384" i="3"/>
  <c r="E384" i="3"/>
  <c r="F384" i="3"/>
  <c r="G384" i="3"/>
  <c r="H384" i="3"/>
  <c r="I384" i="3"/>
  <c r="A385" i="3"/>
  <c r="B385" i="3"/>
  <c r="D385" i="3"/>
  <c r="E385" i="3"/>
  <c r="F385" i="3"/>
  <c r="G385" i="3"/>
  <c r="H385" i="3"/>
  <c r="I385" i="3"/>
  <c r="A386" i="3"/>
  <c r="B386" i="3"/>
  <c r="D386" i="3"/>
  <c r="E386" i="3"/>
  <c r="F386" i="3"/>
  <c r="G386" i="3"/>
  <c r="H386" i="3"/>
  <c r="I386" i="3"/>
  <c r="A387" i="3"/>
  <c r="B387" i="3"/>
  <c r="D387" i="3"/>
  <c r="E387" i="3"/>
  <c r="F387" i="3"/>
  <c r="G387" i="3"/>
  <c r="H387" i="3"/>
  <c r="I387" i="3"/>
  <c r="A388" i="3"/>
  <c r="B388" i="3"/>
  <c r="D388" i="3"/>
  <c r="E388" i="3"/>
  <c r="F388" i="3"/>
  <c r="G388" i="3"/>
  <c r="H388" i="3"/>
  <c r="I388" i="3"/>
  <c r="A389" i="3"/>
  <c r="B389" i="3"/>
  <c r="D389" i="3"/>
  <c r="E389" i="3"/>
  <c r="F389" i="3"/>
  <c r="G389" i="3"/>
  <c r="H389" i="3"/>
  <c r="I389" i="3"/>
  <c r="A390" i="3"/>
  <c r="B390" i="3"/>
  <c r="D390" i="3"/>
  <c r="E390" i="3"/>
  <c r="F390" i="3"/>
  <c r="G390" i="3"/>
  <c r="H390" i="3"/>
  <c r="I390" i="3"/>
  <c r="A391" i="3"/>
  <c r="B391" i="3"/>
  <c r="D391" i="3"/>
  <c r="E391" i="3"/>
  <c r="F391" i="3"/>
  <c r="G391" i="3"/>
  <c r="H391" i="3"/>
  <c r="I391" i="3"/>
  <c r="A392" i="3"/>
  <c r="B392" i="3"/>
  <c r="D392" i="3"/>
  <c r="E392" i="3"/>
  <c r="F392" i="3"/>
  <c r="G392" i="3"/>
  <c r="H392" i="3"/>
  <c r="I392" i="3"/>
  <c r="A393" i="3"/>
  <c r="B393" i="3"/>
  <c r="D393" i="3"/>
  <c r="E393" i="3"/>
  <c r="F393" i="3"/>
  <c r="G393" i="3"/>
  <c r="H393" i="3"/>
  <c r="I393" i="3"/>
  <c r="A394" i="3"/>
  <c r="B394" i="3"/>
  <c r="D394" i="3"/>
  <c r="E394" i="3"/>
  <c r="F394" i="3"/>
  <c r="G394" i="3"/>
  <c r="H394" i="3"/>
  <c r="I394" i="3"/>
  <c r="A395" i="3"/>
  <c r="B395" i="3"/>
  <c r="D395" i="3"/>
  <c r="E395" i="3"/>
  <c r="F395" i="3"/>
  <c r="G395" i="3"/>
  <c r="H395" i="3"/>
  <c r="I395" i="3"/>
  <c r="A396" i="3"/>
  <c r="B396" i="3"/>
  <c r="D396" i="3"/>
  <c r="E396" i="3"/>
  <c r="F396" i="3"/>
  <c r="G396" i="3"/>
  <c r="H396" i="3"/>
  <c r="I396" i="3"/>
  <c r="A397" i="3"/>
  <c r="B397" i="3"/>
  <c r="D397" i="3"/>
  <c r="E397" i="3"/>
  <c r="F397" i="3"/>
  <c r="G397" i="3"/>
  <c r="H397" i="3"/>
  <c r="I397" i="3"/>
  <c r="A398" i="3"/>
  <c r="B398" i="3"/>
  <c r="D398" i="3"/>
  <c r="E398" i="3"/>
  <c r="F398" i="3"/>
  <c r="G398" i="3"/>
  <c r="H398" i="3"/>
  <c r="I398" i="3"/>
  <c r="A399" i="3"/>
  <c r="B399" i="3"/>
  <c r="D399" i="3"/>
  <c r="E399" i="3"/>
  <c r="F399" i="3"/>
  <c r="G399" i="3"/>
  <c r="H399" i="3"/>
  <c r="I399" i="3"/>
  <c r="A400" i="3"/>
  <c r="B400" i="3"/>
  <c r="D400" i="3"/>
  <c r="E400" i="3"/>
  <c r="F400" i="3"/>
  <c r="G400" i="3"/>
  <c r="H400" i="3"/>
  <c r="I400" i="3"/>
  <c r="A401" i="3"/>
  <c r="B401" i="3"/>
  <c r="D401" i="3"/>
  <c r="E401" i="3"/>
  <c r="F401" i="3"/>
  <c r="G401" i="3"/>
  <c r="H401" i="3"/>
  <c r="I401" i="3"/>
  <c r="A402" i="3"/>
  <c r="B402" i="3"/>
  <c r="D402" i="3"/>
  <c r="E402" i="3"/>
  <c r="F402" i="3"/>
  <c r="G402" i="3"/>
  <c r="H402" i="3"/>
  <c r="I402" i="3"/>
  <c r="A403" i="3"/>
  <c r="B403" i="3"/>
  <c r="D403" i="3"/>
  <c r="E403" i="3"/>
  <c r="F403" i="3"/>
  <c r="G403" i="3"/>
  <c r="H403" i="3"/>
  <c r="I403" i="3"/>
  <c r="A404" i="3"/>
  <c r="B404" i="3"/>
  <c r="D404" i="3"/>
  <c r="E404" i="3"/>
  <c r="F404" i="3"/>
  <c r="G404" i="3"/>
  <c r="H404" i="3"/>
  <c r="I404" i="3"/>
  <c r="A405" i="3"/>
  <c r="B405" i="3"/>
  <c r="D405" i="3"/>
  <c r="E405" i="3"/>
  <c r="F405" i="3"/>
  <c r="G405" i="3"/>
  <c r="H405" i="3"/>
  <c r="I405" i="3"/>
  <c r="A406" i="3"/>
  <c r="B406" i="3"/>
  <c r="D406" i="3"/>
  <c r="E406" i="3"/>
  <c r="F406" i="3"/>
  <c r="G406" i="3"/>
  <c r="H406" i="3"/>
  <c r="I406" i="3"/>
  <c r="A407" i="3"/>
  <c r="B407" i="3"/>
  <c r="D407" i="3"/>
  <c r="E407" i="3"/>
  <c r="F407" i="3"/>
  <c r="G407" i="3"/>
  <c r="H407" i="3"/>
  <c r="I407" i="3"/>
  <c r="A408" i="3"/>
  <c r="B408" i="3"/>
  <c r="D408" i="3"/>
  <c r="E408" i="3"/>
  <c r="F408" i="3"/>
  <c r="G408" i="3"/>
  <c r="H408" i="3"/>
  <c r="I408" i="3"/>
  <c r="A409" i="3"/>
  <c r="B409" i="3"/>
  <c r="D409" i="3"/>
  <c r="E409" i="3"/>
  <c r="F409" i="3"/>
  <c r="G409" i="3"/>
  <c r="H409" i="3"/>
  <c r="I409" i="3"/>
  <c r="A410" i="3"/>
  <c r="B410" i="3"/>
  <c r="D410" i="3"/>
  <c r="E410" i="3"/>
  <c r="F410" i="3"/>
  <c r="G410" i="3"/>
  <c r="H410" i="3"/>
  <c r="I410" i="3"/>
  <c r="A411" i="3"/>
  <c r="B411" i="3"/>
  <c r="D411" i="3"/>
  <c r="E411" i="3"/>
  <c r="F411" i="3"/>
  <c r="G411" i="3"/>
  <c r="H411" i="3"/>
  <c r="I411" i="3"/>
  <c r="A412" i="3"/>
  <c r="B412" i="3"/>
  <c r="D412" i="3"/>
  <c r="E412" i="3"/>
  <c r="F412" i="3"/>
  <c r="G412" i="3"/>
  <c r="H412" i="3"/>
  <c r="I412" i="3"/>
  <c r="A413" i="3"/>
  <c r="B413" i="3"/>
  <c r="D413" i="3"/>
  <c r="E413" i="3"/>
  <c r="F413" i="3"/>
  <c r="G413" i="3"/>
  <c r="H413" i="3"/>
  <c r="I413" i="3"/>
  <c r="A414" i="3"/>
  <c r="B414" i="3"/>
  <c r="D414" i="3"/>
  <c r="E414" i="3"/>
  <c r="F414" i="3"/>
  <c r="G414" i="3"/>
  <c r="H414" i="3"/>
  <c r="I414" i="3"/>
  <c r="A415" i="3"/>
  <c r="B415" i="3"/>
  <c r="D415" i="3"/>
  <c r="E415" i="3"/>
  <c r="F415" i="3"/>
  <c r="G415" i="3"/>
  <c r="H415" i="3"/>
  <c r="I415" i="3"/>
  <c r="A416" i="3"/>
  <c r="B416" i="3"/>
  <c r="D416" i="3"/>
  <c r="E416" i="3"/>
  <c r="F416" i="3"/>
  <c r="G416" i="3"/>
  <c r="H416" i="3"/>
  <c r="I416" i="3"/>
  <c r="A417" i="3"/>
  <c r="B417" i="3"/>
  <c r="D417" i="3"/>
  <c r="E417" i="3"/>
  <c r="F417" i="3"/>
  <c r="G417" i="3"/>
  <c r="H417" i="3"/>
  <c r="I417" i="3"/>
  <c r="A418" i="3"/>
  <c r="B418" i="3"/>
  <c r="D418" i="3"/>
  <c r="E418" i="3"/>
  <c r="F418" i="3"/>
  <c r="G418" i="3"/>
  <c r="H418" i="3"/>
  <c r="I418" i="3"/>
  <c r="A419" i="3"/>
  <c r="B419" i="3"/>
  <c r="D419" i="3"/>
  <c r="E419" i="3"/>
  <c r="F419" i="3"/>
  <c r="G419" i="3"/>
  <c r="H419" i="3"/>
  <c r="I419" i="3"/>
  <c r="A420" i="3"/>
  <c r="B420" i="3"/>
  <c r="D420" i="3"/>
  <c r="E420" i="3"/>
  <c r="F420" i="3"/>
  <c r="G420" i="3"/>
  <c r="H420" i="3"/>
  <c r="I420" i="3"/>
  <c r="A421" i="3"/>
  <c r="B421" i="3"/>
  <c r="D421" i="3"/>
  <c r="E421" i="3"/>
  <c r="F421" i="3"/>
  <c r="G421" i="3"/>
  <c r="H421" i="3"/>
  <c r="I421" i="3"/>
  <c r="A422" i="3"/>
  <c r="B422" i="3"/>
  <c r="D422" i="3"/>
  <c r="E422" i="3"/>
  <c r="F422" i="3"/>
  <c r="G422" i="3"/>
  <c r="H422" i="3"/>
  <c r="I422" i="3"/>
  <c r="A423" i="3"/>
  <c r="B423" i="3"/>
  <c r="D423" i="3"/>
  <c r="E423" i="3"/>
  <c r="F423" i="3"/>
  <c r="G423" i="3"/>
  <c r="H423" i="3"/>
  <c r="I423" i="3"/>
  <c r="A424" i="3"/>
  <c r="B424" i="3"/>
  <c r="D424" i="3"/>
  <c r="E424" i="3"/>
  <c r="F424" i="3"/>
  <c r="G424" i="3"/>
  <c r="H424" i="3"/>
  <c r="I424" i="3"/>
  <c r="A425" i="3"/>
  <c r="B425" i="3"/>
  <c r="D425" i="3"/>
  <c r="E425" i="3"/>
  <c r="F425" i="3"/>
  <c r="G425" i="3"/>
  <c r="H425" i="3"/>
  <c r="I425" i="3"/>
  <c r="A426" i="3"/>
  <c r="B426" i="3"/>
  <c r="D426" i="3"/>
  <c r="E426" i="3"/>
  <c r="F426" i="3"/>
  <c r="G426" i="3"/>
  <c r="H426" i="3"/>
  <c r="I426" i="3"/>
  <c r="A427" i="3"/>
  <c r="B427" i="3"/>
  <c r="D427" i="3"/>
  <c r="E427" i="3"/>
  <c r="F427" i="3"/>
  <c r="G427" i="3"/>
  <c r="H427" i="3"/>
  <c r="I427" i="3"/>
  <c r="A428" i="3"/>
  <c r="B428" i="3"/>
  <c r="D428" i="3"/>
  <c r="E428" i="3"/>
  <c r="F428" i="3"/>
  <c r="G428" i="3"/>
  <c r="H428" i="3"/>
  <c r="I428" i="3"/>
  <c r="A429" i="3"/>
  <c r="B429" i="3"/>
  <c r="D429" i="3"/>
  <c r="E429" i="3"/>
  <c r="F429" i="3"/>
  <c r="G429" i="3"/>
  <c r="H429" i="3"/>
  <c r="I429" i="3"/>
  <c r="A430" i="3"/>
  <c r="B430" i="3"/>
  <c r="D430" i="3"/>
  <c r="E430" i="3"/>
  <c r="F430" i="3"/>
  <c r="G430" i="3"/>
  <c r="H430" i="3"/>
  <c r="I430" i="3"/>
  <c r="A431" i="3"/>
  <c r="B431" i="3"/>
  <c r="D431" i="3"/>
  <c r="E431" i="3"/>
  <c r="F431" i="3"/>
  <c r="G431" i="3"/>
  <c r="H431" i="3"/>
  <c r="I431" i="3"/>
  <c r="A432" i="3"/>
  <c r="B432" i="3"/>
  <c r="D432" i="3"/>
  <c r="E432" i="3"/>
  <c r="F432" i="3"/>
  <c r="G432" i="3"/>
  <c r="H432" i="3"/>
  <c r="I432" i="3"/>
  <c r="A433" i="3"/>
  <c r="B433" i="3"/>
  <c r="D433" i="3"/>
  <c r="E433" i="3"/>
  <c r="F433" i="3"/>
  <c r="G433" i="3"/>
  <c r="H433" i="3"/>
  <c r="I433" i="3"/>
  <c r="A434" i="3"/>
  <c r="B434" i="3"/>
  <c r="D434" i="3"/>
  <c r="E434" i="3"/>
  <c r="F434" i="3"/>
  <c r="G434" i="3"/>
  <c r="H434" i="3"/>
  <c r="I434" i="3"/>
  <c r="A435" i="3"/>
  <c r="B435" i="3"/>
  <c r="D435" i="3"/>
  <c r="E435" i="3"/>
  <c r="F435" i="3"/>
  <c r="G435" i="3"/>
  <c r="H435" i="3"/>
  <c r="I435" i="3"/>
  <c r="A436" i="3"/>
  <c r="B436" i="3"/>
  <c r="D436" i="3"/>
  <c r="E436" i="3"/>
  <c r="F436" i="3"/>
  <c r="G436" i="3"/>
  <c r="H436" i="3"/>
  <c r="I436" i="3"/>
  <c r="A437" i="3"/>
  <c r="B437" i="3"/>
  <c r="D437" i="3"/>
  <c r="E437" i="3"/>
  <c r="F437" i="3"/>
  <c r="G437" i="3"/>
  <c r="H437" i="3"/>
  <c r="I437" i="3"/>
  <c r="A438" i="3"/>
  <c r="B438" i="3"/>
  <c r="D438" i="3"/>
  <c r="E438" i="3"/>
  <c r="F438" i="3"/>
  <c r="G438" i="3"/>
  <c r="H438" i="3"/>
  <c r="I438" i="3"/>
  <c r="A439" i="3"/>
  <c r="B439" i="3"/>
  <c r="D439" i="3"/>
  <c r="E439" i="3"/>
  <c r="F439" i="3"/>
  <c r="G439" i="3"/>
  <c r="H439" i="3"/>
  <c r="I439" i="3"/>
  <c r="A440" i="3"/>
  <c r="B440" i="3"/>
  <c r="D440" i="3"/>
  <c r="E440" i="3"/>
  <c r="F440" i="3"/>
  <c r="G440" i="3"/>
  <c r="H440" i="3"/>
  <c r="I440" i="3"/>
  <c r="A441" i="3"/>
  <c r="B441" i="3"/>
  <c r="D441" i="3"/>
  <c r="E441" i="3"/>
  <c r="F441" i="3"/>
  <c r="G441" i="3"/>
  <c r="H441" i="3"/>
  <c r="I441" i="3"/>
  <c r="A442" i="3"/>
  <c r="B442" i="3"/>
  <c r="D442" i="3"/>
  <c r="E442" i="3"/>
  <c r="F442" i="3"/>
  <c r="G442" i="3"/>
  <c r="H442" i="3"/>
  <c r="I442" i="3"/>
  <c r="A443" i="3"/>
  <c r="B443" i="3"/>
  <c r="D443" i="3"/>
  <c r="E443" i="3"/>
  <c r="F443" i="3"/>
  <c r="G443" i="3"/>
  <c r="H443" i="3"/>
  <c r="I443" i="3"/>
  <c r="A444" i="3"/>
  <c r="B444" i="3"/>
  <c r="D444" i="3"/>
  <c r="E444" i="3"/>
  <c r="F444" i="3"/>
  <c r="G444" i="3"/>
  <c r="H444" i="3"/>
  <c r="I444" i="3"/>
  <c r="A445" i="3"/>
  <c r="B445" i="3"/>
  <c r="D445" i="3"/>
  <c r="E445" i="3"/>
  <c r="F445" i="3"/>
  <c r="G445" i="3"/>
  <c r="H445" i="3"/>
  <c r="I445" i="3"/>
  <c r="A446" i="3"/>
  <c r="B446" i="3"/>
  <c r="D446" i="3"/>
  <c r="E446" i="3"/>
  <c r="F446" i="3"/>
  <c r="G446" i="3"/>
  <c r="H446" i="3"/>
  <c r="I446" i="3"/>
  <c r="A447" i="3"/>
  <c r="B447" i="3"/>
  <c r="D447" i="3"/>
  <c r="E447" i="3"/>
  <c r="F447" i="3"/>
  <c r="G447" i="3"/>
  <c r="H447" i="3"/>
  <c r="I447" i="3"/>
  <c r="A448" i="3"/>
  <c r="B448" i="3"/>
  <c r="D448" i="3"/>
  <c r="E448" i="3"/>
  <c r="F448" i="3"/>
  <c r="G448" i="3"/>
  <c r="H448" i="3"/>
  <c r="I448" i="3"/>
  <c r="A449" i="3"/>
  <c r="B449" i="3"/>
  <c r="D449" i="3"/>
  <c r="E449" i="3"/>
  <c r="F449" i="3"/>
  <c r="G449" i="3"/>
  <c r="H449" i="3"/>
  <c r="I449" i="3"/>
  <c r="A450" i="3"/>
  <c r="B450" i="3"/>
  <c r="D450" i="3"/>
  <c r="E450" i="3"/>
  <c r="F450" i="3"/>
  <c r="G450" i="3"/>
  <c r="H450" i="3"/>
  <c r="I450" i="3"/>
  <c r="A451" i="3"/>
  <c r="B451" i="3"/>
  <c r="D451" i="3"/>
  <c r="E451" i="3"/>
  <c r="F451" i="3"/>
  <c r="G451" i="3"/>
  <c r="H451" i="3"/>
  <c r="I451" i="3"/>
  <c r="A452" i="3"/>
  <c r="B452" i="3"/>
  <c r="D452" i="3"/>
  <c r="E452" i="3"/>
  <c r="F452" i="3"/>
  <c r="G452" i="3"/>
  <c r="H452" i="3"/>
  <c r="I452" i="3"/>
  <c r="A453" i="3"/>
  <c r="B453" i="3"/>
  <c r="D453" i="3"/>
  <c r="E453" i="3"/>
  <c r="F453" i="3"/>
  <c r="G453" i="3"/>
  <c r="H453" i="3"/>
  <c r="I453" i="3"/>
  <c r="A454" i="3"/>
  <c r="B454" i="3"/>
  <c r="D454" i="3"/>
  <c r="E454" i="3"/>
  <c r="F454" i="3"/>
  <c r="G454" i="3"/>
  <c r="H454" i="3"/>
  <c r="I454" i="3"/>
  <c r="A455" i="3"/>
  <c r="B455" i="3"/>
  <c r="D455" i="3"/>
  <c r="E455" i="3"/>
  <c r="F455" i="3"/>
  <c r="G455" i="3"/>
  <c r="H455" i="3"/>
  <c r="I455" i="3"/>
  <c r="A456" i="3"/>
  <c r="B456" i="3"/>
  <c r="D456" i="3"/>
  <c r="E456" i="3"/>
  <c r="F456" i="3"/>
  <c r="G456" i="3"/>
  <c r="H456" i="3"/>
  <c r="I456" i="3"/>
  <c r="A457" i="3"/>
  <c r="B457" i="3"/>
  <c r="D457" i="3"/>
  <c r="E457" i="3"/>
  <c r="F457" i="3"/>
  <c r="G457" i="3"/>
  <c r="H457" i="3"/>
  <c r="I457" i="3"/>
  <c r="A458" i="3"/>
  <c r="B458" i="3"/>
  <c r="D458" i="3"/>
  <c r="E458" i="3"/>
  <c r="F458" i="3"/>
  <c r="G458" i="3"/>
  <c r="H458" i="3"/>
  <c r="I458" i="3"/>
  <c r="A459" i="3"/>
  <c r="B459" i="3"/>
  <c r="D459" i="3"/>
  <c r="E459" i="3"/>
  <c r="F459" i="3"/>
  <c r="G459" i="3"/>
  <c r="H459" i="3"/>
  <c r="I459" i="3"/>
  <c r="A460" i="3"/>
  <c r="B460" i="3"/>
  <c r="D460" i="3"/>
  <c r="E460" i="3"/>
  <c r="F460" i="3"/>
  <c r="G460" i="3"/>
  <c r="H460" i="3"/>
  <c r="I460" i="3"/>
  <c r="A461" i="3"/>
  <c r="B461" i="3"/>
  <c r="D461" i="3"/>
  <c r="E461" i="3"/>
  <c r="F461" i="3"/>
  <c r="G461" i="3"/>
  <c r="H461" i="3"/>
  <c r="I461" i="3"/>
  <c r="A462" i="3"/>
  <c r="B462" i="3"/>
  <c r="D462" i="3"/>
  <c r="E462" i="3"/>
  <c r="F462" i="3"/>
  <c r="G462" i="3"/>
  <c r="H462" i="3"/>
  <c r="I462" i="3"/>
  <c r="A463" i="3"/>
  <c r="B463" i="3"/>
  <c r="D463" i="3"/>
  <c r="E463" i="3"/>
  <c r="F463" i="3"/>
  <c r="G463" i="3"/>
  <c r="H463" i="3"/>
  <c r="I463" i="3"/>
  <c r="A464" i="3"/>
  <c r="B464" i="3"/>
  <c r="D464" i="3"/>
  <c r="E464" i="3"/>
  <c r="F464" i="3"/>
  <c r="G464" i="3"/>
  <c r="H464" i="3"/>
  <c r="I464" i="3"/>
  <c r="A465" i="3"/>
  <c r="B465" i="3"/>
  <c r="D465" i="3"/>
  <c r="E465" i="3"/>
  <c r="F465" i="3"/>
  <c r="G465" i="3"/>
  <c r="H465" i="3"/>
  <c r="I465" i="3"/>
  <c r="A466" i="3"/>
  <c r="B466" i="3"/>
  <c r="D466" i="3"/>
  <c r="E466" i="3"/>
  <c r="F466" i="3"/>
  <c r="G466" i="3"/>
  <c r="H466" i="3"/>
  <c r="I466" i="3"/>
  <c r="A467" i="3"/>
  <c r="B467" i="3"/>
  <c r="D467" i="3"/>
  <c r="E467" i="3"/>
  <c r="F467" i="3"/>
  <c r="G467" i="3"/>
  <c r="H467" i="3"/>
  <c r="I467" i="3"/>
  <c r="A468" i="3"/>
  <c r="B468" i="3"/>
  <c r="D468" i="3"/>
  <c r="E468" i="3"/>
  <c r="F468" i="3"/>
  <c r="G468" i="3"/>
  <c r="H468" i="3"/>
  <c r="I468" i="3"/>
  <c r="A469" i="3"/>
  <c r="B469" i="3"/>
  <c r="D469" i="3"/>
  <c r="E469" i="3"/>
  <c r="F469" i="3"/>
  <c r="G469" i="3"/>
  <c r="H469" i="3"/>
  <c r="I469" i="3"/>
  <c r="A470" i="3"/>
  <c r="B470" i="3"/>
  <c r="D470" i="3"/>
  <c r="E470" i="3"/>
  <c r="F470" i="3"/>
  <c r="G470" i="3"/>
  <c r="H470" i="3"/>
  <c r="I470" i="3"/>
  <c r="A471" i="3"/>
  <c r="B471" i="3"/>
  <c r="D471" i="3"/>
  <c r="E471" i="3"/>
  <c r="F471" i="3"/>
  <c r="G471" i="3"/>
  <c r="H471" i="3"/>
  <c r="I471" i="3"/>
  <c r="A472" i="3"/>
  <c r="B472" i="3"/>
  <c r="D472" i="3"/>
  <c r="E472" i="3"/>
  <c r="F472" i="3"/>
  <c r="G472" i="3"/>
  <c r="H472" i="3"/>
  <c r="I472" i="3"/>
  <c r="A473" i="3"/>
  <c r="B473" i="3"/>
  <c r="D473" i="3"/>
  <c r="E473" i="3"/>
  <c r="F473" i="3"/>
  <c r="G473" i="3"/>
  <c r="H473" i="3"/>
  <c r="I473" i="3"/>
  <c r="A474" i="3"/>
  <c r="B474" i="3"/>
  <c r="D474" i="3"/>
  <c r="E474" i="3"/>
  <c r="F474" i="3"/>
  <c r="G474" i="3"/>
  <c r="H474" i="3"/>
  <c r="I474" i="3"/>
  <c r="A475" i="3"/>
  <c r="B475" i="3"/>
  <c r="D475" i="3"/>
  <c r="E475" i="3"/>
  <c r="F475" i="3"/>
  <c r="G475" i="3"/>
  <c r="H475" i="3"/>
  <c r="I475" i="3"/>
  <c r="A476" i="3"/>
  <c r="B476" i="3"/>
  <c r="D476" i="3"/>
  <c r="E476" i="3"/>
  <c r="F476" i="3"/>
  <c r="G476" i="3"/>
  <c r="H476" i="3"/>
  <c r="I476" i="3"/>
  <c r="A477" i="3"/>
  <c r="B477" i="3"/>
  <c r="D477" i="3"/>
  <c r="E477" i="3"/>
  <c r="F477" i="3"/>
  <c r="G477" i="3"/>
  <c r="H477" i="3"/>
  <c r="I477" i="3"/>
  <c r="A478" i="3"/>
  <c r="B478" i="3"/>
  <c r="D478" i="3"/>
  <c r="E478" i="3"/>
  <c r="F478" i="3"/>
  <c r="G478" i="3"/>
  <c r="H478" i="3"/>
  <c r="I478" i="3"/>
  <c r="A479" i="3"/>
  <c r="B479" i="3"/>
  <c r="D479" i="3"/>
  <c r="E479" i="3"/>
  <c r="F479" i="3"/>
  <c r="G479" i="3"/>
  <c r="H479" i="3"/>
  <c r="I479" i="3"/>
  <c r="A480" i="3"/>
  <c r="B480" i="3"/>
  <c r="D480" i="3"/>
  <c r="E480" i="3"/>
  <c r="F480" i="3"/>
  <c r="G480" i="3"/>
  <c r="H480" i="3"/>
  <c r="I480" i="3"/>
  <c r="A481" i="3"/>
  <c r="B481" i="3"/>
  <c r="D481" i="3"/>
  <c r="E481" i="3"/>
  <c r="F481" i="3"/>
  <c r="G481" i="3"/>
  <c r="H481" i="3"/>
  <c r="I481" i="3"/>
  <c r="A482" i="3"/>
  <c r="B482" i="3"/>
  <c r="D482" i="3"/>
  <c r="E482" i="3"/>
  <c r="F482" i="3"/>
  <c r="G482" i="3"/>
  <c r="H482" i="3"/>
  <c r="I482" i="3"/>
  <c r="A483" i="3"/>
  <c r="B483" i="3"/>
  <c r="D483" i="3"/>
  <c r="E483" i="3"/>
  <c r="F483" i="3"/>
  <c r="G483" i="3"/>
  <c r="H483" i="3"/>
  <c r="I483" i="3"/>
  <c r="A484" i="3"/>
  <c r="B484" i="3"/>
  <c r="D484" i="3"/>
  <c r="E484" i="3"/>
  <c r="F484" i="3"/>
  <c r="G484" i="3"/>
  <c r="H484" i="3"/>
  <c r="I484" i="3"/>
  <c r="A485" i="3"/>
  <c r="B485" i="3"/>
  <c r="D485" i="3"/>
  <c r="E485" i="3"/>
  <c r="F485" i="3"/>
  <c r="G485" i="3"/>
  <c r="H485" i="3"/>
  <c r="I485" i="3"/>
  <c r="A486" i="3"/>
  <c r="B486" i="3"/>
  <c r="D486" i="3"/>
  <c r="E486" i="3"/>
  <c r="F486" i="3"/>
  <c r="G486" i="3"/>
  <c r="H486" i="3"/>
  <c r="I486" i="3"/>
  <c r="A487" i="3"/>
  <c r="B487" i="3"/>
  <c r="D487" i="3"/>
  <c r="E487" i="3"/>
  <c r="F487" i="3"/>
  <c r="G487" i="3"/>
  <c r="H487" i="3"/>
  <c r="I487" i="3"/>
  <c r="A488" i="3"/>
  <c r="B488" i="3"/>
  <c r="D488" i="3"/>
  <c r="E488" i="3"/>
  <c r="F488" i="3"/>
  <c r="G488" i="3"/>
  <c r="H488" i="3"/>
  <c r="I488" i="3"/>
  <c r="A489" i="3"/>
  <c r="B489" i="3"/>
  <c r="D489" i="3"/>
  <c r="E489" i="3"/>
  <c r="F489" i="3"/>
  <c r="G489" i="3"/>
  <c r="H489" i="3"/>
  <c r="I489" i="3"/>
  <c r="A490" i="3"/>
  <c r="B490" i="3"/>
  <c r="D490" i="3"/>
  <c r="E490" i="3"/>
  <c r="F490" i="3"/>
  <c r="G490" i="3"/>
  <c r="H490" i="3"/>
  <c r="I490" i="3"/>
  <c r="A491" i="3"/>
  <c r="B491" i="3"/>
  <c r="D491" i="3"/>
  <c r="E491" i="3"/>
  <c r="F491" i="3"/>
  <c r="G491" i="3"/>
  <c r="H491" i="3"/>
  <c r="I491" i="3"/>
  <c r="A492" i="3"/>
  <c r="B492" i="3"/>
  <c r="D492" i="3"/>
  <c r="E492" i="3"/>
  <c r="F492" i="3"/>
  <c r="G492" i="3"/>
  <c r="H492" i="3"/>
  <c r="I492" i="3"/>
  <c r="A493" i="3"/>
  <c r="B493" i="3"/>
  <c r="D493" i="3"/>
  <c r="E493" i="3"/>
  <c r="F493" i="3"/>
  <c r="G493" i="3"/>
  <c r="H493" i="3"/>
  <c r="I493" i="3"/>
  <c r="A494" i="3"/>
  <c r="B494" i="3"/>
  <c r="D494" i="3"/>
  <c r="E494" i="3"/>
  <c r="F494" i="3"/>
  <c r="G494" i="3"/>
  <c r="H494" i="3"/>
  <c r="I494" i="3"/>
  <c r="A495" i="3"/>
  <c r="B495" i="3"/>
  <c r="D495" i="3"/>
  <c r="E495" i="3"/>
  <c r="F495" i="3"/>
  <c r="G495" i="3"/>
  <c r="H495" i="3"/>
  <c r="I495" i="3"/>
  <c r="A496" i="3"/>
  <c r="B496" i="3"/>
  <c r="D496" i="3"/>
  <c r="E496" i="3"/>
  <c r="F496" i="3"/>
  <c r="G496" i="3"/>
  <c r="H496" i="3"/>
  <c r="I496" i="3"/>
  <c r="A497" i="3"/>
  <c r="B497" i="3"/>
  <c r="D497" i="3"/>
  <c r="E497" i="3"/>
  <c r="F497" i="3"/>
  <c r="G497" i="3"/>
  <c r="H497" i="3"/>
  <c r="I497" i="3"/>
  <c r="A498" i="3"/>
  <c r="B498" i="3"/>
  <c r="D498" i="3"/>
  <c r="E498" i="3"/>
  <c r="F498" i="3"/>
  <c r="G498" i="3"/>
  <c r="H498" i="3"/>
  <c r="I498" i="3"/>
  <c r="A499" i="3"/>
  <c r="B499" i="3"/>
  <c r="D499" i="3"/>
  <c r="E499" i="3"/>
  <c r="F499" i="3"/>
  <c r="G499" i="3"/>
  <c r="H499" i="3"/>
  <c r="I499" i="3"/>
  <c r="A500" i="3"/>
  <c r="B500" i="3"/>
  <c r="D500" i="3"/>
  <c r="E500" i="3"/>
  <c r="F500" i="3"/>
  <c r="G500" i="3"/>
  <c r="H500" i="3"/>
  <c r="I500" i="3"/>
  <c r="A501" i="3"/>
  <c r="B501" i="3"/>
  <c r="D501" i="3"/>
  <c r="E501" i="3"/>
  <c r="F501" i="3"/>
  <c r="G501" i="3"/>
  <c r="H501" i="3"/>
  <c r="I501" i="3"/>
  <c r="A502" i="3"/>
  <c r="B502" i="3"/>
  <c r="D502" i="3"/>
  <c r="E502" i="3"/>
  <c r="F502" i="3"/>
  <c r="G502" i="3"/>
  <c r="H502" i="3"/>
  <c r="I502" i="3"/>
  <c r="A503" i="3"/>
  <c r="B503" i="3"/>
  <c r="D503" i="3"/>
  <c r="E503" i="3"/>
  <c r="F503" i="3"/>
  <c r="G503" i="3"/>
  <c r="H503" i="3"/>
  <c r="I503" i="3"/>
  <c r="A504" i="3"/>
  <c r="B504" i="3"/>
  <c r="D504" i="3"/>
  <c r="E504" i="3"/>
  <c r="F504" i="3"/>
  <c r="G504" i="3"/>
  <c r="H504" i="3"/>
  <c r="I504" i="3"/>
  <c r="A505" i="3"/>
  <c r="B505" i="3"/>
  <c r="D505" i="3"/>
  <c r="E505" i="3"/>
  <c r="F505" i="3"/>
  <c r="G505" i="3"/>
  <c r="H505" i="3"/>
  <c r="I505" i="3"/>
  <c r="A506" i="3"/>
  <c r="B506" i="3"/>
  <c r="D506" i="3"/>
  <c r="E506" i="3"/>
  <c r="F506" i="3"/>
  <c r="G506" i="3"/>
  <c r="H506" i="3"/>
  <c r="I506" i="3"/>
  <c r="A507" i="3"/>
  <c r="B507" i="3"/>
  <c r="D507" i="3"/>
  <c r="E507" i="3"/>
  <c r="F507" i="3"/>
  <c r="G507" i="3"/>
  <c r="H507" i="3"/>
  <c r="I507" i="3"/>
  <c r="A508" i="3"/>
  <c r="B508" i="3"/>
  <c r="D508" i="3"/>
  <c r="E508" i="3"/>
  <c r="F508" i="3"/>
  <c r="G508" i="3"/>
  <c r="H508" i="3"/>
  <c r="I508" i="3"/>
  <c r="A509" i="3"/>
  <c r="B509" i="3"/>
  <c r="D509" i="3"/>
  <c r="E509" i="3"/>
  <c r="F509" i="3"/>
  <c r="G509" i="3"/>
  <c r="H509" i="3"/>
  <c r="I509" i="3"/>
  <c r="A510" i="3"/>
  <c r="B510" i="3"/>
  <c r="D510" i="3"/>
  <c r="E510" i="3"/>
  <c r="F510" i="3"/>
  <c r="G510" i="3"/>
  <c r="H510" i="3"/>
  <c r="I510" i="3"/>
  <c r="A511" i="3"/>
  <c r="B511" i="3"/>
  <c r="D511" i="3"/>
  <c r="E511" i="3"/>
  <c r="F511" i="3"/>
  <c r="G511" i="3"/>
  <c r="H511" i="3"/>
  <c r="I511" i="3"/>
  <c r="A512" i="3"/>
  <c r="B512" i="3"/>
  <c r="D512" i="3"/>
  <c r="E512" i="3"/>
  <c r="F512" i="3"/>
  <c r="G512" i="3"/>
  <c r="H512" i="3"/>
  <c r="I512" i="3"/>
  <c r="A513" i="3"/>
  <c r="B513" i="3"/>
  <c r="D513" i="3"/>
  <c r="E513" i="3"/>
  <c r="F513" i="3"/>
  <c r="G513" i="3"/>
  <c r="H513" i="3"/>
  <c r="I513" i="3"/>
  <c r="A514" i="3"/>
  <c r="B514" i="3"/>
  <c r="D514" i="3"/>
  <c r="E514" i="3"/>
  <c r="F514" i="3"/>
  <c r="G514" i="3"/>
  <c r="H514" i="3"/>
  <c r="I514" i="3"/>
  <c r="A515" i="3"/>
  <c r="B515" i="3"/>
  <c r="D515" i="3"/>
  <c r="E515" i="3"/>
  <c r="F515" i="3"/>
  <c r="G515" i="3"/>
  <c r="H515" i="3"/>
  <c r="I515" i="3"/>
  <c r="A516" i="3"/>
  <c r="B516" i="3"/>
  <c r="D516" i="3"/>
  <c r="E516" i="3"/>
  <c r="F516" i="3"/>
  <c r="G516" i="3"/>
  <c r="H516" i="3"/>
  <c r="I516" i="3"/>
  <c r="A517" i="3"/>
  <c r="B517" i="3"/>
  <c r="D517" i="3"/>
  <c r="E517" i="3"/>
  <c r="F517" i="3"/>
  <c r="G517" i="3"/>
  <c r="H517" i="3"/>
  <c r="I517" i="3"/>
  <c r="A518" i="3"/>
  <c r="B518" i="3"/>
  <c r="D518" i="3"/>
  <c r="E518" i="3"/>
  <c r="F518" i="3"/>
  <c r="G518" i="3"/>
  <c r="H518" i="3"/>
  <c r="I518" i="3"/>
  <c r="A519" i="3"/>
  <c r="B519" i="3"/>
  <c r="D519" i="3"/>
  <c r="E519" i="3"/>
  <c r="F519" i="3"/>
  <c r="G519" i="3"/>
  <c r="H519" i="3"/>
  <c r="I519" i="3"/>
  <c r="A520" i="3"/>
  <c r="B520" i="3"/>
  <c r="D520" i="3"/>
  <c r="E520" i="3"/>
  <c r="F520" i="3"/>
  <c r="G520" i="3"/>
  <c r="H520" i="3"/>
  <c r="I520" i="3"/>
  <c r="A521" i="3"/>
  <c r="B521" i="3"/>
  <c r="D521" i="3"/>
  <c r="E521" i="3"/>
  <c r="F521" i="3"/>
  <c r="G521" i="3"/>
  <c r="H521" i="3"/>
  <c r="I521" i="3"/>
  <c r="A522" i="3"/>
  <c r="B522" i="3"/>
  <c r="D522" i="3"/>
  <c r="E522" i="3"/>
  <c r="F522" i="3"/>
  <c r="G522" i="3"/>
  <c r="H522" i="3"/>
  <c r="I522" i="3"/>
  <c r="A523" i="3"/>
  <c r="B523" i="3"/>
  <c r="D523" i="3"/>
  <c r="E523" i="3"/>
  <c r="F523" i="3"/>
  <c r="G523" i="3"/>
  <c r="H523" i="3"/>
  <c r="I523" i="3"/>
  <c r="A524" i="3"/>
  <c r="B524" i="3"/>
  <c r="D524" i="3"/>
  <c r="E524" i="3"/>
  <c r="F524" i="3"/>
  <c r="G524" i="3"/>
  <c r="H524" i="3"/>
  <c r="I524" i="3"/>
  <c r="A525" i="3"/>
  <c r="B525" i="3"/>
  <c r="D525" i="3"/>
  <c r="E525" i="3"/>
  <c r="F525" i="3"/>
  <c r="G525" i="3"/>
  <c r="H525" i="3"/>
  <c r="I525" i="3"/>
  <c r="A526" i="3"/>
  <c r="B526" i="3"/>
  <c r="D526" i="3"/>
  <c r="E526" i="3"/>
  <c r="F526" i="3"/>
  <c r="G526" i="3"/>
  <c r="H526" i="3"/>
  <c r="I526" i="3"/>
  <c r="A527" i="3"/>
  <c r="B527" i="3"/>
  <c r="D527" i="3"/>
  <c r="E527" i="3"/>
  <c r="F527" i="3"/>
  <c r="G527" i="3"/>
  <c r="H527" i="3"/>
  <c r="I527" i="3"/>
  <c r="A528" i="3"/>
  <c r="B528" i="3"/>
  <c r="D528" i="3"/>
  <c r="E528" i="3"/>
  <c r="F528" i="3"/>
  <c r="G528" i="3"/>
  <c r="H528" i="3"/>
  <c r="I528" i="3"/>
  <c r="A529" i="3"/>
  <c r="B529" i="3"/>
  <c r="D529" i="3"/>
  <c r="E529" i="3"/>
  <c r="F529" i="3"/>
  <c r="G529" i="3"/>
  <c r="H529" i="3"/>
  <c r="I529" i="3"/>
  <c r="A530" i="3"/>
  <c r="B530" i="3"/>
  <c r="D530" i="3"/>
  <c r="E530" i="3"/>
  <c r="F530" i="3"/>
  <c r="G530" i="3"/>
  <c r="H530" i="3"/>
  <c r="I530" i="3"/>
  <c r="A531" i="3"/>
  <c r="B531" i="3"/>
  <c r="D531" i="3"/>
  <c r="E531" i="3"/>
  <c r="F531" i="3"/>
  <c r="G531" i="3"/>
  <c r="H531" i="3"/>
  <c r="I531" i="3"/>
  <c r="A532" i="3"/>
  <c r="B532" i="3"/>
  <c r="D532" i="3"/>
  <c r="E532" i="3"/>
  <c r="F532" i="3"/>
  <c r="G532" i="3"/>
  <c r="H532" i="3"/>
  <c r="I532" i="3"/>
  <c r="A533" i="3"/>
  <c r="B533" i="3"/>
  <c r="D533" i="3"/>
  <c r="E533" i="3"/>
  <c r="F533" i="3"/>
  <c r="G533" i="3"/>
  <c r="H533" i="3"/>
  <c r="I533" i="3"/>
  <c r="A534" i="3"/>
  <c r="B534" i="3"/>
  <c r="D534" i="3"/>
  <c r="E534" i="3"/>
  <c r="F534" i="3"/>
  <c r="G534" i="3"/>
  <c r="H534" i="3"/>
  <c r="I534" i="3"/>
  <c r="A535" i="3"/>
  <c r="B535" i="3"/>
  <c r="D535" i="3"/>
  <c r="E535" i="3"/>
  <c r="F535" i="3"/>
  <c r="G535" i="3"/>
  <c r="H535" i="3"/>
  <c r="I535" i="3"/>
  <c r="A536" i="3"/>
  <c r="B536" i="3"/>
  <c r="D536" i="3"/>
  <c r="E536" i="3"/>
  <c r="F536" i="3"/>
  <c r="G536" i="3"/>
  <c r="H536" i="3"/>
  <c r="I536" i="3"/>
  <c r="A537" i="3"/>
  <c r="B537" i="3"/>
  <c r="D537" i="3"/>
  <c r="E537" i="3"/>
  <c r="F537" i="3"/>
  <c r="G537" i="3"/>
  <c r="H537" i="3"/>
  <c r="I537" i="3"/>
  <c r="A538" i="3"/>
  <c r="B538" i="3"/>
  <c r="D538" i="3"/>
  <c r="E538" i="3"/>
  <c r="F538" i="3"/>
  <c r="G538" i="3"/>
  <c r="H538" i="3"/>
  <c r="I538" i="3"/>
  <c r="A539" i="3"/>
  <c r="B539" i="3"/>
  <c r="D539" i="3"/>
  <c r="E539" i="3"/>
  <c r="F539" i="3"/>
  <c r="G539" i="3"/>
  <c r="H539" i="3"/>
  <c r="I539" i="3"/>
  <c r="A540" i="3"/>
  <c r="B540" i="3"/>
  <c r="D540" i="3"/>
  <c r="E540" i="3"/>
  <c r="F540" i="3"/>
  <c r="G540" i="3"/>
  <c r="H540" i="3"/>
  <c r="I540" i="3"/>
  <c r="A541" i="3"/>
  <c r="B541" i="3"/>
  <c r="D541" i="3"/>
  <c r="E541" i="3"/>
  <c r="F541" i="3"/>
  <c r="G541" i="3"/>
  <c r="H541" i="3"/>
  <c r="I541" i="3"/>
  <c r="A542" i="3"/>
  <c r="B542" i="3"/>
  <c r="D542" i="3"/>
  <c r="E542" i="3"/>
  <c r="F542" i="3"/>
  <c r="G542" i="3"/>
  <c r="H542" i="3"/>
  <c r="I542" i="3"/>
  <c r="A543" i="3"/>
  <c r="B543" i="3"/>
  <c r="D543" i="3"/>
  <c r="E543" i="3"/>
  <c r="F543" i="3"/>
  <c r="G543" i="3"/>
  <c r="H543" i="3"/>
  <c r="I543" i="3"/>
  <c r="A544" i="3"/>
  <c r="B544" i="3"/>
  <c r="D544" i="3"/>
  <c r="E544" i="3"/>
  <c r="F544" i="3"/>
  <c r="G544" i="3"/>
  <c r="H544" i="3"/>
  <c r="I544" i="3"/>
  <c r="A545" i="3"/>
  <c r="B545" i="3"/>
  <c r="D545" i="3"/>
  <c r="E545" i="3"/>
  <c r="F545" i="3"/>
  <c r="G545" i="3"/>
  <c r="H545" i="3"/>
  <c r="I545" i="3"/>
  <c r="A546" i="3"/>
  <c r="B546" i="3"/>
  <c r="D546" i="3"/>
  <c r="E546" i="3"/>
  <c r="F546" i="3"/>
  <c r="G546" i="3"/>
  <c r="H546" i="3"/>
  <c r="I546" i="3"/>
  <c r="A547" i="3"/>
  <c r="B547" i="3"/>
  <c r="D547" i="3"/>
  <c r="E547" i="3"/>
  <c r="F547" i="3"/>
  <c r="G547" i="3"/>
  <c r="H547" i="3"/>
  <c r="I547" i="3"/>
  <c r="A548" i="3"/>
  <c r="B548" i="3"/>
  <c r="D548" i="3"/>
  <c r="E548" i="3"/>
  <c r="F548" i="3"/>
  <c r="G548" i="3"/>
  <c r="H548" i="3"/>
  <c r="I548" i="3"/>
  <c r="A549" i="3"/>
  <c r="B549" i="3"/>
  <c r="D549" i="3"/>
  <c r="E549" i="3"/>
  <c r="F549" i="3"/>
  <c r="G549" i="3"/>
  <c r="H549" i="3"/>
  <c r="I549" i="3"/>
  <c r="A550" i="3"/>
  <c r="B550" i="3"/>
  <c r="D550" i="3"/>
  <c r="E550" i="3"/>
  <c r="F550" i="3"/>
  <c r="G550" i="3"/>
  <c r="H550" i="3"/>
  <c r="I550" i="3"/>
  <c r="A551" i="3"/>
  <c r="B551" i="3"/>
  <c r="D551" i="3"/>
  <c r="E551" i="3"/>
  <c r="F551" i="3"/>
  <c r="G551" i="3"/>
  <c r="H551" i="3"/>
  <c r="I551" i="3"/>
  <c r="A552" i="3"/>
  <c r="B552" i="3"/>
  <c r="D552" i="3"/>
  <c r="E552" i="3"/>
  <c r="F552" i="3"/>
  <c r="G552" i="3"/>
  <c r="H552" i="3"/>
  <c r="I552" i="3"/>
  <c r="A553" i="3"/>
  <c r="B553" i="3"/>
  <c r="D553" i="3"/>
  <c r="E553" i="3"/>
  <c r="F553" i="3"/>
  <c r="G553" i="3"/>
  <c r="H553" i="3"/>
  <c r="I553" i="3"/>
  <c r="A554" i="3"/>
  <c r="B554" i="3"/>
  <c r="D554" i="3"/>
  <c r="E554" i="3"/>
  <c r="F554" i="3"/>
  <c r="G554" i="3"/>
  <c r="H554" i="3"/>
  <c r="I554" i="3"/>
  <c r="A555" i="3"/>
  <c r="B555" i="3"/>
  <c r="D555" i="3"/>
  <c r="E555" i="3"/>
  <c r="F555" i="3"/>
  <c r="G555" i="3"/>
  <c r="H555" i="3"/>
  <c r="I555" i="3"/>
  <c r="A556" i="3"/>
  <c r="B556" i="3"/>
  <c r="D556" i="3"/>
  <c r="E556" i="3"/>
  <c r="F556" i="3"/>
  <c r="G556" i="3"/>
  <c r="H556" i="3"/>
  <c r="I556" i="3"/>
  <c r="A557" i="3"/>
  <c r="B557" i="3"/>
  <c r="D557" i="3"/>
  <c r="E557" i="3"/>
  <c r="F557" i="3"/>
  <c r="G557" i="3"/>
  <c r="H557" i="3"/>
  <c r="I557" i="3"/>
  <c r="A558" i="3"/>
  <c r="B558" i="3"/>
  <c r="D558" i="3"/>
  <c r="E558" i="3"/>
  <c r="F558" i="3"/>
  <c r="G558" i="3"/>
  <c r="H558" i="3"/>
  <c r="I558" i="3"/>
  <c r="A559" i="3"/>
  <c r="B559" i="3"/>
  <c r="D559" i="3"/>
  <c r="E559" i="3"/>
  <c r="F559" i="3"/>
  <c r="G559" i="3"/>
  <c r="H559" i="3"/>
  <c r="I559" i="3"/>
  <c r="A560" i="3"/>
  <c r="B560" i="3"/>
  <c r="D560" i="3"/>
  <c r="E560" i="3"/>
  <c r="F560" i="3"/>
  <c r="G560" i="3"/>
  <c r="H560" i="3"/>
  <c r="I560" i="3"/>
  <c r="A561" i="3"/>
  <c r="B561" i="3"/>
  <c r="D561" i="3"/>
  <c r="E561" i="3"/>
  <c r="F561" i="3"/>
  <c r="G561" i="3"/>
  <c r="H561" i="3"/>
  <c r="I561" i="3"/>
  <c r="A562" i="3"/>
  <c r="B562" i="3"/>
  <c r="D562" i="3"/>
  <c r="E562" i="3"/>
  <c r="F562" i="3"/>
  <c r="G562" i="3"/>
  <c r="H562" i="3"/>
  <c r="I562" i="3"/>
  <c r="A563" i="3"/>
  <c r="B563" i="3"/>
  <c r="D563" i="3"/>
  <c r="E563" i="3"/>
  <c r="F563" i="3"/>
  <c r="G563" i="3"/>
  <c r="H563" i="3"/>
  <c r="I563" i="3"/>
  <c r="A564" i="3"/>
  <c r="B564" i="3"/>
  <c r="D564" i="3"/>
  <c r="E564" i="3"/>
  <c r="F564" i="3"/>
  <c r="G564" i="3"/>
  <c r="H564" i="3"/>
  <c r="I564" i="3"/>
  <c r="A565" i="3"/>
  <c r="B565" i="3"/>
  <c r="D565" i="3"/>
  <c r="E565" i="3"/>
  <c r="F565" i="3"/>
  <c r="G565" i="3"/>
  <c r="H565" i="3"/>
  <c r="I565" i="3"/>
  <c r="A566" i="3"/>
  <c r="B566" i="3"/>
  <c r="D566" i="3"/>
  <c r="E566" i="3"/>
  <c r="F566" i="3"/>
  <c r="G566" i="3"/>
  <c r="H566" i="3"/>
  <c r="I566" i="3"/>
  <c r="A567" i="3"/>
  <c r="B567" i="3"/>
  <c r="D567" i="3"/>
  <c r="E567" i="3"/>
  <c r="F567" i="3"/>
  <c r="G567" i="3"/>
  <c r="H567" i="3"/>
  <c r="I567" i="3"/>
  <c r="A568" i="3"/>
  <c r="B568" i="3"/>
  <c r="D568" i="3"/>
  <c r="E568" i="3"/>
  <c r="F568" i="3"/>
  <c r="G568" i="3"/>
  <c r="H568" i="3"/>
  <c r="I568" i="3"/>
  <c r="A569" i="3"/>
  <c r="B569" i="3"/>
  <c r="D569" i="3"/>
  <c r="E569" i="3"/>
  <c r="F569" i="3"/>
  <c r="G569" i="3"/>
  <c r="H569" i="3"/>
  <c r="I569" i="3"/>
  <c r="A570" i="3"/>
  <c r="B570" i="3"/>
  <c r="D570" i="3"/>
  <c r="E570" i="3"/>
  <c r="F570" i="3"/>
  <c r="G570" i="3"/>
  <c r="H570" i="3"/>
  <c r="I570" i="3"/>
  <c r="A571" i="3"/>
  <c r="B571" i="3"/>
  <c r="D571" i="3"/>
  <c r="E571" i="3"/>
  <c r="F571" i="3"/>
  <c r="G571" i="3"/>
  <c r="H571" i="3"/>
  <c r="I571" i="3"/>
  <c r="A572" i="3"/>
  <c r="B572" i="3"/>
  <c r="D572" i="3"/>
  <c r="E572" i="3"/>
  <c r="F572" i="3"/>
  <c r="G572" i="3"/>
  <c r="H572" i="3"/>
  <c r="I572" i="3"/>
  <c r="A573" i="3"/>
  <c r="B573" i="3"/>
  <c r="D573" i="3"/>
  <c r="E573" i="3"/>
  <c r="F573" i="3"/>
  <c r="G573" i="3"/>
  <c r="H573" i="3"/>
  <c r="I573" i="3"/>
  <c r="A574" i="3"/>
  <c r="B574" i="3"/>
  <c r="D574" i="3"/>
  <c r="E574" i="3"/>
  <c r="F574" i="3"/>
  <c r="G574" i="3"/>
  <c r="H574" i="3"/>
  <c r="I574" i="3"/>
  <c r="A575" i="3"/>
  <c r="B575" i="3"/>
  <c r="D575" i="3"/>
  <c r="E575" i="3"/>
  <c r="F575" i="3"/>
  <c r="G575" i="3"/>
  <c r="H575" i="3"/>
  <c r="I575" i="3"/>
  <c r="A576" i="3"/>
  <c r="B576" i="3"/>
  <c r="D576" i="3"/>
  <c r="E576" i="3"/>
  <c r="F576" i="3"/>
  <c r="G576" i="3"/>
  <c r="H576" i="3"/>
  <c r="I576" i="3"/>
  <c r="A577" i="3"/>
  <c r="B577" i="3"/>
  <c r="D577" i="3"/>
  <c r="E577" i="3"/>
  <c r="F577" i="3"/>
  <c r="G577" i="3"/>
  <c r="H577" i="3"/>
  <c r="I577" i="3"/>
  <c r="A578" i="3"/>
  <c r="B578" i="3"/>
  <c r="D578" i="3"/>
  <c r="E578" i="3"/>
  <c r="F578" i="3"/>
  <c r="G578" i="3"/>
  <c r="H578" i="3"/>
  <c r="I578" i="3"/>
  <c r="A579" i="3"/>
  <c r="B579" i="3"/>
  <c r="D579" i="3"/>
  <c r="E579" i="3"/>
  <c r="F579" i="3"/>
  <c r="G579" i="3"/>
  <c r="H579" i="3"/>
  <c r="I579" i="3"/>
  <c r="A580" i="3"/>
  <c r="B580" i="3"/>
  <c r="D580" i="3"/>
  <c r="E580" i="3"/>
  <c r="F580" i="3"/>
  <c r="G580" i="3"/>
  <c r="H580" i="3"/>
  <c r="I580" i="3"/>
  <c r="A581" i="3"/>
  <c r="B581" i="3"/>
  <c r="D581" i="3"/>
  <c r="E581" i="3"/>
  <c r="F581" i="3"/>
  <c r="G581" i="3"/>
  <c r="H581" i="3"/>
  <c r="I581" i="3"/>
  <c r="A582" i="3"/>
  <c r="B582" i="3"/>
  <c r="D582" i="3"/>
  <c r="E582" i="3"/>
  <c r="F582" i="3"/>
  <c r="G582" i="3"/>
  <c r="H582" i="3"/>
  <c r="I582" i="3"/>
  <c r="A583" i="3"/>
  <c r="B583" i="3"/>
  <c r="D583" i="3"/>
  <c r="E583" i="3"/>
  <c r="F583" i="3"/>
  <c r="G583" i="3"/>
  <c r="H583" i="3"/>
  <c r="I583" i="3"/>
  <c r="A584" i="3"/>
  <c r="B584" i="3"/>
  <c r="D584" i="3"/>
  <c r="E584" i="3"/>
  <c r="F584" i="3"/>
  <c r="G584" i="3"/>
  <c r="H584" i="3"/>
  <c r="I584" i="3"/>
  <c r="A585" i="3"/>
  <c r="B585" i="3"/>
  <c r="D585" i="3"/>
  <c r="E585" i="3"/>
  <c r="F585" i="3"/>
  <c r="G585" i="3"/>
  <c r="H585" i="3"/>
  <c r="I585" i="3"/>
  <c r="A586" i="3"/>
  <c r="B586" i="3"/>
  <c r="D586" i="3"/>
  <c r="E586" i="3"/>
  <c r="F586" i="3"/>
  <c r="G586" i="3"/>
  <c r="H586" i="3"/>
  <c r="I586" i="3"/>
  <c r="A587" i="3"/>
  <c r="B587" i="3"/>
  <c r="D587" i="3"/>
  <c r="E587" i="3"/>
  <c r="F587" i="3"/>
  <c r="G587" i="3"/>
  <c r="H587" i="3"/>
  <c r="I587" i="3"/>
  <c r="A588" i="3"/>
  <c r="B588" i="3"/>
  <c r="D588" i="3"/>
  <c r="E588" i="3"/>
  <c r="F588" i="3"/>
  <c r="G588" i="3"/>
  <c r="H588" i="3"/>
  <c r="I588" i="3"/>
  <c r="A589" i="3"/>
  <c r="B589" i="3"/>
  <c r="D589" i="3"/>
  <c r="E589" i="3"/>
  <c r="F589" i="3"/>
  <c r="G589" i="3"/>
  <c r="H589" i="3"/>
  <c r="I589" i="3"/>
  <c r="A590" i="3"/>
  <c r="B590" i="3"/>
  <c r="D590" i="3"/>
  <c r="E590" i="3"/>
  <c r="F590" i="3"/>
  <c r="G590" i="3"/>
  <c r="H590" i="3"/>
  <c r="I590" i="3"/>
  <c r="A591" i="3"/>
  <c r="B591" i="3"/>
  <c r="D591" i="3"/>
  <c r="E591" i="3"/>
  <c r="F591" i="3"/>
  <c r="G591" i="3"/>
  <c r="H591" i="3"/>
  <c r="I591" i="3"/>
  <c r="A592" i="3"/>
  <c r="B592" i="3"/>
  <c r="D592" i="3"/>
  <c r="E592" i="3"/>
  <c r="F592" i="3"/>
  <c r="G592" i="3"/>
  <c r="H592" i="3"/>
  <c r="I592" i="3"/>
  <c r="A593" i="3"/>
  <c r="B593" i="3"/>
  <c r="D593" i="3"/>
  <c r="E593" i="3"/>
  <c r="F593" i="3"/>
  <c r="G593" i="3"/>
  <c r="H593" i="3"/>
  <c r="I593" i="3"/>
  <c r="A594" i="3"/>
  <c r="B594" i="3"/>
  <c r="D594" i="3"/>
  <c r="E594" i="3"/>
  <c r="F594" i="3"/>
  <c r="G594" i="3"/>
  <c r="H594" i="3"/>
  <c r="I594" i="3"/>
  <c r="A595" i="3"/>
  <c r="B595" i="3"/>
  <c r="D595" i="3"/>
  <c r="E595" i="3"/>
  <c r="F595" i="3"/>
  <c r="G595" i="3"/>
  <c r="H595" i="3"/>
  <c r="I595" i="3"/>
  <c r="A596" i="3"/>
  <c r="B596" i="3"/>
  <c r="D596" i="3"/>
  <c r="E596" i="3"/>
  <c r="F596" i="3"/>
  <c r="G596" i="3"/>
  <c r="H596" i="3"/>
  <c r="I596" i="3"/>
  <c r="A597" i="3"/>
  <c r="B597" i="3"/>
  <c r="D597" i="3"/>
  <c r="E597" i="3"/>
  <c r="F597" i="3"/>
  <c r="G597" i="3"/>
  <c r="H597" i="3"/>
  <c r="I597" i="3"/>
  <c r="A598" i="3"/>
  <c r="B598" i="3"/>
  <c r="D598" i="3"/>
  <c r="E598" i="3"/>
  <c r="F598" i="3"/>
  <c r="G598" i="3"/>
  <c r="H598" i="3"/>
  <c r="I598" i="3"/>
  <c r="A599" i="3"/>
  <c r="B599" i="3"/>
  <c r="D599" i="3"/>
  <c r="E599" i="3"/>
  <c r="F599" i="3"/>
  <c r="G599" i="3"/>
  <c r="H599" i="3"/>
  <c r="I599" i="3"/>
  <c r="A600" i="3"/>
  <c r="B600" i="3"/>
  <c r="D600" i="3"/>
  <c r="E600" i="3"/>
  <c r="F600" i="3"/>
  <c r="G600" i="3"/>
  <c r="H600" i="3"/>
  <c r="I600" i="3"/>
  <c r="A601" i="3"/>
  <c r="B601" i="3"/>
  <c r="D601" i="3"/>
  <c r="E601" i="3"/>
  <c r="F601" i="3"/>
  <c r="G601" i="3"/>
  <c r="H601" i="3"/>
  <c r="I601" i="3"/>
  <c r="A602" i="3"/>
  <c r="B602" i="3"/>
  <c r="D602" i="3"/>
  <c r="E602" i="3"/>
  <c r="F602" i="3"/>
  <c r="G602" i="3"/>
  <c r="H602" i="3"/>
  <c r="I602" i="3"/>
  <c r="A603" i="3"/>
  <c r="B603" i="3"/>
  <c r="D603" i="3"/>
  <c r="E603" i="3"/>
  <c r="F603" i="3"/>
  <c r="G603" i="3"/>
  <c r="H603" i="3"/>
  <c r="I603" i="3"/>
  <c r="A604" i="3"/>
  <c r="B604" i="3"/>
  <c r="D604" i="3"/>
  <c r="E604" i="3"/>
  <c r="F604" i="3"/>
  <c r="G604" i="3"/>
  <c r="H604" i="3"/>
  <c r="I604" i="3"/>
  <c r="A605" i="3"/>
  <c r="B605" i="3"/>
  <c r="D605" i="3"/>
  <c r="E605" i="3"/>
  <c r="F605" i="3"/>
  <c r="G605" i="3"/>
  <c r="H605" i="3"/>
  <c r="I605" i="3"/>
  <c r="A606" i="3"/>
  <c r="B606" i="3"/>
  <c r="D606" i="3"/>
  <c r="E606" i="3"/>
  <c r="F606" i="3"/>
  <c r="G606" i="3"/>
  <c r="H606" i="3"/>
  <c r="I606" i="3"/>
  <c r="A607" i="3"/>
  <c r="B607" i="3"/>
  <c r="D607" i="3"/>
  <c r="E607" i="3"/>
  <c r="F607" i="3"/>
  <c r="G607" i="3"/>
  <c r="H607" i="3"/>
  <c r="I607" i="3"/>
  <c r="A608" i="3"/>
  <c r="B608" i="3"/>
  <c r="D608" i="3"/>
  <c r="E608" i="3"/>
  <c r="F608" i="3"/>
  <c r="G608" i="3"/>
  <c r="H608" i="3"/>
  <c r="I608" i="3"/>
  <c r="A609" i="3"/>
  <c r="B609" i="3"/>
  <c r="D609" i="3"/>
  <c r="E609" i="3"/>
  <c r="F609" i="3"/>
  <c r="G609" i="3"/>
  <c r="H609" i="3"/>
  <c r="I609" i="3"/>
  <c r="A610" i="3"/>
  <c r="B610" i="3"/>
  <c r="D610" i="3"/>
  <c r="E610" i="3"/>
  <c r="F610" i="3"/>
  <c r="G610" i="3"/>
  <c r="H610" i="3"/>
  <c r="I610" i="3"/>
  <c r="A611" i="3"/>
  <c r="B611" i="3"/>
  <c r="D611" i="3"/>
  <c r="E611" i="3"/>
  <c r="F611" i="3"/>
  <c r="G611" i="3"/>
  <c r="H611" i="3"/>
  <c r="I611" i="3"/>
  <c r="A612" i="3"/>
  <c r="B612" i="3"/>
  <c r="D612" i="3"/>
  <c r="E612" i="3"/>
  <c r="F612" i="3"/>
  <c r="G612" i="3"/>
  <c r="H612" i="3"/>
  <c r="I612" i="3"/>
  <c r="A613" i="3"/>
  <c r="B613" i="3"/>
  <c r="D613" i="3"/>
  <c r="E613" i="3"/>
  <c r="F613" i="3"/>
  <c r="G613" i="3"/>
  <c r="H613" i="3"/>
  <c r="I613" i="3"/>
  <c r="A614" i="3"/>
  <c r="B614" i="3"/>
  <c r="D614" i="3"/>
  <c r="E614" i="3"/>
  <c r="F614" i="3"/>
  <c r="G614" i="3"/>
  <c r="H614" i="3"/>
  <c r="I614" i="3"/>
  <c r="A615" i="3"/>
  <c r="B615" i="3"/>
  <c r="D615" i="3"/>
  <c r="E615" i="3"/>
  <c r="F615" i="3"/>
  <c r="G615" i="3"/>
  <c r="H615" i="3"/>
  <c r="I615" i="3"/>
  <c r="A616" i="3"/>
  <c r="B616" i="3"/>
  <c r="D616" i="3"/>
  <c r="E616" i="3"/>
  <c r="F616" i="3"/>
  <c r="G616" i="3"/>
  <c r="H616" i="3"/>
  <c r="I616" i="3"/>
  <c r="A617" i="3"/>
  <c r="B617" i="3"/>
  <c r="D617" i="3"/>
  <c r="E617" i="3"/>
  <c r="F617" i="3"/>
  <c r="G617" i="3"/>
  <c r="H617" i="3"/>
  <c r="I617" i="3"/>
  <c r="A618" i="3"/>
  <c r="B618" i="3"/>
  <c r="D618" i="3"/>
  <c r="E618" i="3"/>
  <c r="F618" i="3"/>
  <c r="G618" i="3"/>
  <c r="H618" i="3"/>
  <c r="I618" i="3"/>
  <c r="A619" i="3"/>
  <c r="B619" i="3"/>
  <c r="D619" i="3"/>
  <c r="E619" i="3"/>
  <c r="F619" i="3"/>
  <c r="G619" i="3"/>
  <c r="H619" i="3"/>
  <c r="I619" i="3"/>
  <c r="A620" i="3"/>
  <c r="B620" i="3"/>
  <c r="D620" i="3"/>
  <c r="E620" i="3"/>
  <c r="F620" i="3"/>
  <c r="G620" i="3"/>
  <c r="H620" i="3"/>
  <c r="I620" i="3"/>
  <c r="A621" i="3"/>
  <c r="B621" i="3"/>
  <c r="D621" i="3"/>
  <c r="E621" i="3"/>
  <c r="F621" i="3"/>
  <c r="G621" i="3"/>
  <c r="H621" i="3"/>
  <c r="I621" i="3"/>
  <c r="A622" i="3"/>
  <c r="B622" i="3"/>
  <c r="D622" i="3"/>
  <c r="E622" i="3"/>
  <c r="F622" i="3"/>
  <c r="G622" i="3"/>
  <c r="H622" i="3"/>
  <c r="I622" i="3"/>
  <c r="A623" i="3"/>
  <c r="B623" i="3"/>
  <c r="D623" i="3"/>
  <c r="E623" i="3"/>
  <c r="F623" i="3"/>
  <c r="G623" i="3"/>
  <c r="H623" i="3"/>
  <c r="I623" i="3"/>
  <c r="A624" i="3"/>
  <c r="B624" i="3"/>
  <c r="D624" i="3"/>
  <c r="E624" i="3"/>
  <c r="F624" i="3"/>
  <c r="G624" i="3"/>
  <c r="H624" i="3"/>
  <c r="I624" i="3"/>
  <c r="A625" i="3"/>
  <c r="B625" i="3"/>
  <c r="D625" i="3"/>
  <c r="E625" i="3"/>
  <c r="F625" i="3"/>
  <c r="G625" i="3"/>
  <c r="H625" i="3"/>
  <c r="I625" i="3"/>
  <c r="A626" i="3"/>
  <c r="B626" i="3"/>
  <c r="D626" i="3"/>
  <c r="E626" i="3"/>
  <c r="F626" i="3"/>
  <c r="G626" i="3"/>
  <c r="H626" i="3"/>
  <c r="I626" i="3"/>
  <c r="A627" i="3"/>
  <c r="B627" i="3"/>
  <c r="D627" i="3"/>
  <c r="E627" i="3"/>
  <c r="F627" i="3"/>
  <c r="G627" i="3"/>
  <c r="H627" i="3"/>
  <c r="I627" i="3"/>
  <c r="A628" i="3"/>
  <c r="B628" i="3"/>
  <c r="D628" i="3"/>
  <c r="E628" i="3"/>
  <c r="F628" i="3"/>
  <c r="G628" i="3"/>
  <c r="H628" i="3"/>
  <c r="I628" i="3"/>
  <c r="A629" i="3"/>
  <c r="B629" i="3"/>
  <c r="D629" i="3"/>
  <c r="E629" i="3"/>
  <c r="F629" i="3"/>
  <c r="G629" i="3"/>
  <c r="H629" i="3"/>
  <c r="I629" i="3"/>
  <c r="A630" i="3"/>
  <c r="B630" i="3"/>
  <c r="D630" i="3"/>
  <c r="E630" i="3"/>
  <c r="F630" i="3"/>
  <c r="G630" i="3"/>
  <c r="H630" i="3"/>
  <c r="I630" i="3"/>
  <c r="A631" i="3"/>
  <c r="B631" i="3"/>
  <c r="D631" i="3"/>
  <c r="E631" i="3"/>
  <c r="F631" i="3"/>
  <c r="G631" i="3"/>
  <c r="H631" i="3"/>
  <c r="I631" i="3"/>
  <c r="A632" i="3"/>
  <c r="B632" i="3"/>
  <c r="D632" i="3"/>
  <c r="E632" i="3"/>
  <c r="F632" i="3"/>
  <c r="G632" i="3"/>
  <c r="H632" i="3"/>
  <c r="I632" i="3"/>
  <c r="A633" i="3"/>
  <c r="B633" i="3"/>
  <c r="D633" i="3"/>
  <c r="E633" i="3"/>
  <c r="F633" i="3"/>
  <c r="G633" i="3"/>
  <c r="H633" i="3"/>
  <c r="I633" i="3"/>
  <c r="A634" i="3"/>
  <c r="B634" i="3"/>
  <c r="D634" i="3"/>
  <c r="E634" i="3"/>
  <c r="F634" i="3"/>
  <c r="G634" i="3"/>
  <c r="H634" i="3"/>
  <c r="I634" i="3"/>
  <c r="A635" i="3"/>
  <c r="B635" i="3"/>
  <c r="D635" i="3"/>
  <c r="E635" i="3"/>
  <c r="F635" i="3"/>
  <c r="G635" i="3"/>
  <c r="H635" i="3"/>
  <c r="I635" i="3"/>
  <c r="A636" i="3"/>
  <c r="B636" i="3"/>
  <c r="D636" i="3"/>
  <c r="E636" i="3"/>
  <c r="F636" i="3"/>
  <c r="G636" i="3"/>
  <c r="H636" i="3"/>
  <c r="I636" i="3"/>
  <c r="A637" i="3"/>
  <c r="B637" i="3"/>
  <c r="D637" i="3"/>
  <c r="E637" i="3"/>
  <c r="F637" i="3"/>
  <c r="G637" i="3"/>
  <c r="H637" i="3"/>
  <c r="I637" i="3"/>
  <c r="A638" i="3"/>
  <c r="B638" i="3"/>
  <c r="D638" i="3"/>
  <c r="E638" i="3"/>
  <c r="F638" i="3"/>
  <c r="G638" i="3"/>
  <c r="H638" i="3"/>
  <c r="I638" i="3"/>
  <c r="A639" i="3"/>
  <c r="B639" i="3"/>
  <c r="D639" i="3"/>
  <c r="E639" i="3"/>
  <c r="F639" i="3"/>
  <c r="G639" i="3"/>
  <c r="H639" i="3"/>
  <c r="I639" i="3"/>
  <c r="A640" i="3"/>
  <c r="B640" i="3"/>
  <c r="D640" i="3"/>
  <c r="E640" i="3"/>
  <c r="F640" i="3"/>
  <c r="G640" i="3"/>
  <c r="H640" i="3"/>
  <c r="I640" i="3"/>
  <c r="A641" i="3"/>
  <c r="B641" i="3"/>
  <c r="D641" i="3"/>
  <c r="E641" i="3"/>
  <c r="F641" i="3"/>
  <c r="G641" i="3"/>
  <c r="H641" i="3"/>
  <c r="I641" i="3"/>
  <c r="A642" i="3"/>
  <c r="B642" i="3"/>
  <c r="D642" i="3"/>
  <c r="E642" i="3"/>
  <c r="F642" i="3"/>
  <c r="G642" i="3"/>
  <c r="H642" i="3"/>
  <c r="I642" i="3"/>
  <c r="A643" i="3"/>
  <c r="B643" i="3"/>
  <c r="D643" i="3"/>
  <c r="E643" i="3"/>
  <c r="F643" i="3"/>
  <c r="G643" i="3"/>
  <c r="H643" i="3"/>
  <c r="I643" i="3"/>
  <c r="A644" i="3"/>
  <c r="B644" i="3"/>
  <c r="D644" i="3"/>
  <c r="E644" i="3"/>
  <c r="F644" i="3"/>
  <c r="G644" i="3"/>
  <c r="H644" i="3"/>
  <c r="I644" i="3"/>
  <c r="A645" i="3"/>
  <c r="B645" i="3"/>
  <c r="D645" i="3"/>
  <c r="E645" i="3"/>
  <c r="F645" i="3"/>
  <c r="G645" i="3"/>
  <c r="H645" i="3"/>
  <c r="I645" i="3"/>
  <c r="A646" i="3"/>
  <c r="B646" i="3"/>
  <c r="D646" i="3"/>
  <c r="E646" i="3"/>
  <c r="F646" i="3"/>
  <c r="G646" i="3"/>
  <c r="H646" i="3"/>
  <c r="I646" i="3"/>
  <c r="A647" i="3"/>
  <c r="B647" i="3"/>
  <c r="D647" i="3"/>
  <c r="E647" i="3"/>
  <c r="F647" i="3"/>
  <c r="G647" i="3"/>
  <c r="H647" i="3"/>
  <c r="I647" i="3"/>
  <c r="A648" i="3"/>
  <c r="B648" i="3"/>
  <c r="D648" i="3"/>
  <c r="E648" i="3"/>
  <c r="F648" i="3"/>
  <c r="G648" i="3"/>
  <c r="H648" i="3"/>
  <c r="I648" i="3"/>
  <c r="A649" i="3"/>
  <c r="B649" i="3"/>
  <c r="D649" i="3"/>
  <c r="E649" i="3"/>
  <c r="F649" i="3"/>
  <c r="G649" i="3"/>
  <c r="H649" i="3"/>
  <c r="I649" i="3"/>
  <c r="A650" i="3"/>
  <c r="B650" i="3"/>
  <c r="D650" i="3"/>
  <c r="E650" i="3"/>
  <c r="F650" i="3"/>
  <c r="G650" i="3"/>
  <c r="H650" i="3"/>
  <c r="I650" i="3"/>
  <c r="A651" i="3"/>
  <c r="B651" i="3"/>
  <c r="D651" i="3"/>
  <c r="E651" i="3"/>
  <c r="F651" i="3"/>
  <c r="G651" i="3"/>
  <c r="H651" i="3"/>
  <c r="I651" i="3"/>
  <c r="A652" i="3"/>
  <c r="B652" i="3"/>
  <c r="D652" i="3"/>
  <c r="E652" i="3"/>
  <c r="F652" i="3"/>
  <c r="G652" i="3"/>
  <c r="H652" i="3"/>
  <c r="I652" i="3"/>
  <c r="A653" i="3"/>
  <c r="B653" i="3"/>
  <c r="D653" i="3"/>
  <c r="E653" i="3"/>
  <c r="F653" i="3"/>
  <c r="G653" i="3"/>
  <c r="H653" i="3"/>
  <c r="I653" i="3"/>
  <c r="A654" i="3"/>
  <c r="B654" i="3"/>
  <c r="D654" i="3"/>
  <c r="E654" i="3"/>
  <c r="F654" i="3"/>
  <c r="G654" i="3"/>
  <c r="H654" i="3"/>
  <c r="I654" i="3"/>
  <c r="A655" i="3"/>
  <c r="B655" i="3"/>
  <c r="D655" i="3"/>
  <c r="E655" i="3"/>
  <c r="F655" i="3"/>
  <c r="G655" i="3"/>
  <c r="H655" i="3"/>
  <c r="I655" i="3"/>
  <c r="A656" i="3"/>
  <c r="B656" i="3"/>
  <c r="D656" i="3"/>
  <c r="E656" i="3"/>
  <c r="F656" i="3"/>
  <c r="G656" i="3"/>
  <c r="H656" i="3"/>
  <c r="I656" i="3"/>
  <c r="A657" i="3"/>
  <c r="B657" i="3"/>
  <c r="D657" i="3"/>
  <c r="E657" i="3"/>
  <c r="F657" i="3"/>
  <c r="G657" i="3"/>
  <c r="H657" i="3"/>
  <c r="I657" i="3"/>
  <c r="A658" i="3"/>
  <c r="B658" i="3"/>
  <c r="D658" i="3"/>
  <c r="E658" i="3"/>
  <c r="F658" i="3"/>
  <c r="G658" i="3"/>
  <c r="H658" i="3"/>
  <c r="I658" i="3"/>
  <c r="A659" i="3"/>
  <c r="B659" i="3"/>
  <c r="D659" i="3"/>
  <c r="E659" i="3"/>
  <c r="F659" i="3"/>
  <c r="G659" i="3"/>
  <c r="H659" i="3"/>
  <c r="I659" i="3"/>
  <c r="A660" i="3"/>
  <c r="B660" i="3"/>
  <c r="D660" i="3"/>
  <c r="E660" i="3"/>
  <c r="F660" i="3"/>
  <c r="G660" i="3"/>
  <c r="H660" i="3"/>
  <c r="I660" i="3"/>
  <c r="A661" i="3"/>
  <c r="B661" i="3"/>
  <c r="D661" i="3"/>
  <c r="E661" i="3"/>
  <c r="F661" i="3"/>
  <c r="G661" i="3"/>
  <c r="H661" i="3"/>
  <c r="I661" i="3"/>
  <c r="A662" i="3"/>
  <c r="B662" i="3"/>
  <c r="D662" i="3"/>
  <c r="E662" i="3"/>
  <c r="F662" i="3"/>
  <c r="G662" i="3"/>
  <c r="H662" i="3"/>
  <c r="I662" i="3"/>
  <c r="A663" i="3"/>
  <c r="B663" i="3"/>
  <c r="D663" i="3"/>
  <c r="E663" i="3"/>
  <c r="F663" i="3"/>
  <c r="G663" i="3"/>
  <c r="H663" i="3"/>
  <c r="I663" i="3"/>
  <c r="A664" i="3"/>
  <c r="B664" i="3"/>
  <c r="D664" i="3"/>
  <c r="E664" i="3"/>
  <c r="F664" i="3"/>
  <c r="G664" i="3"/>
  <c r="H664" i="3"/>
  <c r="I664" i="3"/>
  <c r="A665" i="3"/>
  <c r="B665" i="3"/>
  <c r="D665" i="3"/>
  <c r="E665" i="3"/>
  <c r="F665" i="3"/>
  <c r="G665" i="3"/>
  <c r="H665" i="3"/>
  <c r="I665" i="3"/>
  <c r="A666" i="3"/>
  <c r="B666" i="3"/>
  <c r="D666" i="3"/>
  <c r="E666" i="3"/>
  <c r="F666" i="3"/>
  <c r="G666" i="3"/>
  <c r="H666" i="3"/>
  <c r="I666" i="3"/>
  <c r="A667" i="3"/>
  <c r="B667" i="3"/>
  <c r="D667" i="3"/>
  <c r="E667" i="3"/>
  <c r="F667" i="3"/>
  <c r="G667" i="3"/>
  <c r="H667" i="3"/>
  <c r="I667" i="3"/>
  <c r="A668" i="3"/>
  <c r="B668" i="3"/>
  <c r="D668" i="3"/>
  <c r="E668" i="3"/>
  <c r="F668" i="3"/>
  <c r="G668" i="3"/>
  <c r="H668" i="3"/>
  <c r="I668" i="3"/>
  <c r="A669" i="3"/>
  <c r="B669" i="3"/>
  <c r="D669" i="3"/>
  <c r="E669" i="3"/>
  <c r="F669" i="3"/>
  <c r="G669" i="3"/>
  <c r="H669" i="3"/>
  <c r="I669" i="3"/>
  <c r="A670" i="3"/>
  <c r="B670" i="3"/>
  <c r="D670" i="3"/>
  <c r="E670" i="3"/>
  <c r="F670" i="3"/>
  <c r="G670" i="3"/>
  <c r="H670" i="3"/>
  <c r="I670" i="3"/>
  <c r="A671" i="3"/>
  <c r="B671" i="3"/>
  <c r="D671" i="3"/>
  <c r="E671" i="3"/>
  <c r="F671" i="3"/>
  <c r="G671" i="3"/>
  <c r="H671" i="3"/>
  <c r="I671" i="3"/>
  <c r="A672" i="3"/>
  <c r="B672" i="3"/>
  <c r="D672" i="3"/>
  <c r="E672" i="3"/>
  <c r="F672" i="3"/>
  <c r="G672" i="3"/>
  <c r="H672" i="3"/>
  <c r="I672" i="3"/>
  <c r="A673" i="3"/>
  <c r="B673" i="3"/>
  <c r="D673" i="3"/>
  <c r="E673" i="3"/>
  <c r="F673" i="3"/>
  <c r="G673" i="3"/>
  <c r="H673" i="3"/>
  <c r="I673" i="3"/>
  <c r="A674" i="3"/>
  <c r="B674" i="3"/>
  <c r="D674" i="3"/>
  <c r="E674" i="3"/>
  <c r="F674" i="3"/>
  <c r="G674" i="3"/>
  <c r="H674" i="3"/>
  <c r="I674" i="3"/>
  <c r="A675" i="3"/>
  <c r="B675" i="3"/>
  <c r="D675" i="3"/>
  <c r="E675" i="3"/>
  <c r="F675" i="3"/>
  <c r="G675" i="3"/>
  <c r="H675" i="3"/>
  <c r="I675" i="3"/>
  <c r="A676" i="3"/>
  <c r="B676" i="3"/>
  <c r="D676" i="3"/>
  <c r="E676" i="3"/>
  <c r="F676" i="3"/>
  <c r="G676" i="3"/>
  <c r="H676" i="3"/>
  <c r="I676" i="3"/>
  <c r="A677" i="3"/>
  <c r="B677" i="3"/>
  <c r="D677" i="3"/>
  <c r="E677" i="3"/>
  <c r="F677" i="3"/>
  <c r="G677" i="3"/>
  <c r="H677" i="3"/>
  <c r="I677" i="3"/>
  <c r="A678" i="3"/>
  <c r="B678" i="3"/>
  <c r="D678" i="3"/>
  <c r="E678" i="3"/>
  <c r="F678" i="3"/>
  <c r="G678" i="3"/>
  <c r="H678" i="3"/>
  <c r="I678" i="3"/>
  <c r="A679" i="3"/>
  <c r="B679" i="3"/>
  <c r="D679" i="3"/>
  <c r="E679" i="3"/>
  <c r="F679" i="3"/>
  <c r="G679" i="3"/>
  <c r="H679" i="3"/>
  <c r="I679" i="3"/>
  <c r="A680" i="3"/>
  <c r="B680" i="3"/>
  <c r="D680" i="3"/>
  <c r="E680" i="3"/>
  <c r="F680" i="3"/>
  <c r="G680" i="3"/>
  <c r="H680" i="3"/>
  <c r="I680" i="3"/>
  <c r="A681" i="3"/>
  <c r="B681" i="3"/>
  <c r="D681" i="3"/>
  <c r="E681" i="3"/>
  <c r="F681" i="3"/>
  <c r="G681" i="3"/>
  <c r="H681" i="3"/>
  <c r="I681" i="3"/>
  <c r="A682" i="3"/>
  <c r="B682" i="3"/>
  <c r="D682" i="3"/>
  <c r="E682" i="3"/>
  <c r="F682" i="3"/>
  <c r="G682" i="3"/>
  <c r="H682" i="3"/>
  <c r="I682" i="3"/>
  <c r="A683" i="3"/>
  <c r="B683" i="3"/>
  <c r="D683" i="3"/>
  <c r="E683" i="3"/>
  <c r="F683" i="3"/>
  <c r="G683" i="3"/>
  <c r="H683" i="3"/>
  <c r="I683" i="3"/>
  <c r="A684" i="3"/>
  <c r="B684" i="3"/>
  <c r="D684" i="3"/>
  <c r="E684" i="3"/>
  <c r="F684" i="3"/>
  <c r="G684" i="3"/>
  <c r="H684" i="3"/>
  <c r="I684" i="3"/>
  <c r="A685" i="3"/>
  <c r="B685" i="3"/>
  <c r="D685" i="3"/>
  <c r="E685" i="3"/>
  <c r="F685" i="3"/>
  <c r="G685" i="3"/>
  <c r="H685" i="3"/>
  <c r="I685" i="3"/>
  <c r="A686" i="3"/>
  <c r="B686" i="3"/>
  <c r="D686" i="3"/>
  <c r="E686" i="3"/>
  <c r="F686" i="3"/>
  <c r="G686" i="3"/>
  <c r="H686" i="3"/>
  <c r="I686" i="3"/>
  <c r="A687" i="3"/>
  <c r="B687" i="3"/>
  <c r="D687" i="3"/>
  <c r="E687" i="3"/>
  <c r="F687" i="3"/>
  <c r="G687" i="3"/>
  <c r="H687" i="3"/>
  <c r="I687" i="3"/>
  <c r="A688" i="3"/>
  <c r="B688" i="3"/>
  <c r="D688" i="3"/>
  <c r="E688" i="3"/>
  <c r="F688" i="3"/>
  <c r="G688" i="3"/>
  <c r="H688" i="3"/>
  <c r="I688" i="3"/>
  <c r="A689" i="3"/>
  <c r="B689" i="3"/>
  <c r="D689" i="3"/>
  <c r="E689" i="3"/>
  <c r="F689" i="3"/>
  <c r="G689" i="3"/>
  <c r="H689" i="3"/>
  <c r="I689" i="3"/>
  <c r="A690" i="3"/>
  <c r="B690" i="3"/>
  <c r="D690" i="3"/>
  <c r="E690" i="3"/>
  <c r="F690" i="3"/>
  <c r="G690" i="3"/>
  <c r="H690" i="3"/>
  <c r="I690" i="3"/>
  <c r="A691" i="3"/>
  <c r="B691" i="3"/>
  <c r="D691" i="3"/>
  <c r="E691" i="3"/>
  <c r="F691" i="3"/>
  <c r="G691" i="3"/>
  <c r="H691" i="3"/>
  <c r="I691" i="3"/>
  <c r="A692" i="3"/>
  <c r="B692" i="3"/>
  <c r="D692" i="3"/>
  <c r="E692" i="3"/>
  <c r="F692" i="3"/>
  <c r="G692" i="3"/>
  <c r="H692" i="3"/>
  <c r="I692" i="3"/>
  <c r="A693" i="3"/>
  <c r="B693" i="3"/>
  <c r="D693" i="3"/>
  <c r="E693" i="3"/>
  <c r="F693" i="3"/>
  <c r="G693" i="3"/>
  <c r="H693" i="3"/>
  <c r="I693" i="3"/>
  <c r="A694" i="3"/>
  <c r="B694" i="3"/>
  <c r="D694" i="3"/>
  <c r="E694" i="3"/>
  <c r="F694" i="3"/>
  <c r="G694" i="3"/>
  <c r="H694" i="3"/>
  <c r="I694" i="3"/>
  <c r="A695" i="3"/>
  <c r="B695" i="3"/>
  <c r="D695" i="3"/>
  <c r="E695" i="3"/>
  <c r="F695" i="3"/>
  <c r="G695" i="3"/>
  <c r="H695" i="3"/>
  <c r="I695" i="3"/>
  <c r="A696" i="3"/>
  <c r="B696" i="3"/>
  <c r="D696" i="3"/>
  <c r="E696" i="3"/>
  <c r="F696" i="3"/>
  <c r="G696" i="3"/>
  <c r="H696" i="3"/>
  <c r="I696" i="3"/>
  <c r="A697" i="3"/>
  <c r="B697" i="3"/>
  <c r="D697" i="3"/>
  <c r="E697" i="3"/>
  <c r="F697" i="3"/>
  <c r="G697" i="3"/>
  <c r="H697" i="3"/>
  <c r="I697" i="3"/>
  <c r="A698" i="3"/>
  <c r="B698" i="3"/>
  <c r="D698" i="3"/>
  <c r="E698" i="3"/>
  <c r="F698" i="3"/>
  <c r="G698" i="3"/>
  <c r="H698" i="3"/>
  <c r="I698" i="3"/>
  <c r="A699" i="3"/>
  <c r="B699" i="3"/>
  <c r="D699" i="3"/>
  <c r="E699" i="3"/>
  <c r="F699" i="3"/>
  <c r="G699" i="3"/>
  <c r="H699" i="3"/>
  <c r="I699" i="3"/>
  <c r="A700" i="3"/>
  <c r="B700" i="3"/>
  <c r="D700" i="3"/>
  <c r="E700" i="3"/>
  <c r="F700" i="3"/>
  <c r="G700" i="3"/>
  <c r="H700" i="3"/>
  <c r="I700" i="3"/>
  <c r="A701" i="3"/>
  <c r="B701" i="3"/>
  <c r="D701" i="3"/>
  <c r="E701" i="3"/>
  <c r="F701" i="3"/>
  <c r="G701" i="3"/>
  <c r="H701" i="3"/>
  <c r="I701" i="3"/>
  <c r="A702" i="3"/>
  <c r="B702" i="3"/>
  <c r="D702" i="3"/>
  <c r="E702" i="3"/>
  <c r="F702" i="3"/>
  <c r="G702" i="3"/>
  <c r="H702" i="3"/>
  <c r="I702" i="3"/>
  <c r="A703" i="3"/>
  <c r="B703" i="3"/>
  <c r="D703" i="3"/>
  <c r="E703" i="3"/>
  <c r="F703" i="3"/>
  <c r="G703" i="3"/>
  <c r="H703" i="3"/>
  <c r="I703" i="3"/>
  <c r="A704" i="3"/>
  <c r="B704" i="3"/>
  <c r="D704" i="3"/>
  <c r="E704" i="3"/>
  <c r="F704" i="3"/>
  <c r="G704" i="3"/>
  <c r="H704" i="3"/>
  <c r="I704" i="3"/>
  <c r="A705" i="3"/>
  <c r="B705" i="3"/>
  <c r="D705" i="3"/>
  <c r="E705" i="3"/>
  <c r="F705" i="3"/>
  <c r="G705" i="3"/>
  <c r="H705" i="3"/>
  <c r="I705" i="3"/>
  <c r="A706" i="3"/>
  <c r="B706" i="3"/>
  <c r="D706" i="3"/>
  <c r="E706" i="3"/>
  <c r="F706" i="3"/>
  <c r="G706" i="3"/>
  <c r="H706" i="3"/>
  <c r="I706" i="3"/>
  <c r="A707" i="3"/>
  <c r="B707" i="3"/>
  <c r="D707" i="3"/>
  <c r="E707" i="3"/>
  <c r="F707" i="3"/>
  <c r="G707" i="3"/>
  <c r="H707" i="3"/>
  <c r="I707" i="3"/>
  <c r="A708" i="3"/>
  <c r="B708" i="3"/>
  <c r="D708" i="3"/>
  <c r="E708" i="3"/>
  <c r="F708" i="3"/>
  <c r="G708" i="3"/>
  <c r="H708" i="3"/>
  <c r="I708" i="3"/>
  <c r="A709" i="3"/>
  <c r="B709" i="3"/>
  <c r="D709" i="3"/>
  <c r="E709" i="3"/>
  <c r="F709" i="3"/>
  <c r="G709" i="3"/>
  <c r="H709" i="3"/>
  <c r="I709" i="3"/>
  <c r="A710" i="3"/>
  <c r="B710" i="3"/>
  <c r="D710" i="3"/>
  <c r="E710" i="3"/>
  <c r="F710" i="3"/>
  <c r="G710" i="3"/>
  <c r="H710" i="3"/>
  <c r="I710" i="3"/>
  <c r="A711" i="3"/>
  <c r="B711" i="3"/>
  <c r="D711" i="3"/>
  <c r="E711" i="3"/>
  <c r="F711" i="3"/>
  <c r="G711" i="3"/>
  <c r="H711" i="3"/>
  <c r="I711" i="3"/>
  <c r="A712" i="3"/>
  <c r="B712" i="3"/>
  <c r="D712" i="3"/>
  <c r="E712" i="3"/>
  <c r="F712" i="3"/>
  <c r="G712" i="3"/>
  <c r="H712" i="3"/>
  <c r="I712" i="3"/>
  <c r="A713" i="3"/>
  <c r="B713" i="3"/>
  <c r="D713" i="3"/>
  <c r="E713" i="3"/>
  <c r="F713" i="3"/>
  <c r="G713" i="3"/>
  <c r="H713" i="3"/>
  <c r="I713" i="3"/>
  <c r="A714" i="3"/>
  <c r="B714" i="3"/>
  <c r="D714" i="3"/>
  <c r="E714" i="3"/>
  <c r="F714" i="3"/>
  <c r="G714" i="3"/>
  <c r="H714" i="3"/>
  <c r="I714" i="3"/>
  <c r="A715" i="3"/>
  <c r="B715" i="3"/>
  <c r="D715" i="3"/>
  <c r="E715" i="3"/>
  <c r="F715" i="3"/>
  <c r="G715" i="3"/>
  <c r="H715" i="3"/>
  <c r="I715" i="3"/>
  <c r="A716" i="3"/>
  <c r="B716" i="3"/>
  <c r="D716" i="3"/>
  <c r="E716" i="3"/>
  <c r="F716" i="3"/>
  <c r="G716" i="3"/>
  <c r="H716" i="3"/>
  <c r="I716" i="3"/>
  <c r="A717" i="3"/>
  <c r="B717" i="3"/>
  <c r="D717" i="3"/>
  <c r="E717" i="3"/>
  <c r="F717" i="3"/>
  <c r="G717" i="3"/>
  <c r="H717" i="3"/>
  <c r="I717" i="3"/>
  <c r="A718" i="3"/>
  <c r="B718" i="3"/>
  <c r="D718" i="3"/>
  <c r="E718" i="3"/>
  <c r="F718" i="3"/>
  <c r="G718" i="3"/>
  <c r="H718" i="3"/>
  <c r="I718" i="3"/>
  <c r="A719" i="3"/>
  <c r="B719" i="3"/>
  <c r="D719" i="3"/>
  <c r="E719" i="3"/>
  <c r="F719" i="3"/>
  <c r="G719" i="3"/>
  <c r="H719" i="3"/>
  <c r="I719" i="3"/>
  <c r="A720" i="3"/>
  <c r="B720" i="3"/>
  <c r="D720" i="3"/>
  <c r="E720" i="3"/>
  <c r="F720" i="3"/>
  <c r="G720" i="3"/>
  <c r="H720" i="3"/>
  <c r="I720" i="3"/>
  <c r="A721" i="3"/>
  <c r="B721" i="3"/>
  <c r="D721" i="3"/>
  <c r="E721" i="3"/>
  <c r="F721" i="3"/>
  <c r="G721" i="3"/>
  <c r="H721" i="3"/>
  <c r="I721" i="3"/>
  <c r="A722" i="3"/>
  <c r="B722" i="3"/>
  <c r="D722" i="3"/>
  <c r="E722" i="3"/>
  <c r="F722" i="3"/>
  <c r="G722" i="3"/>
  <c r="H722" i="3"/>
  <c r="I722" i="3"/>
  <c r="A723" i="3"/>
  <c r="B723" i="3"/>
  <c r="D723" i="3"/>
  <c r="E723" i="3"/>
  <c r="F723" i="3"/>
  <c r="G723" i="3"/>
  <c r="H723" i="3"/>
  <c r="I723" i="3"/>
  <c r="A724" i="3"/>
  <c r="B724" i="3"/>
  <c r="D724" i="3"/>
  <c r="E724" i="3"/>
  <c r="F724" i="3"/>
  <c r="G724" i="3"/>
  <c r="H724" i="3"/>
  <c r="I724" i="3"/>
  <c r="A725" i="3"/>
  <c r="B725" i="3"/>
  <c r="D725" i="3"/>
  <c r="E725" i="3"/>
  <c r="F725" i="3"/>
  <c r="G725" i="3"/>
  <c r="H725" i="3"/>
  <c r="I725" i="3"/>
  <c r="A726" i="3"/>
  <c r="B726" i="3"/>
  <c r="D726" i="3"/>
  <c r="E726" i="3"/>
  <c r="F726" i="3"/>
  <c r="G726" i="3"/>
  <c r="H726" i="3"/>
  <c r="I726" i="3"/>
  <c r="A727" i="3"/>
  <c r="B727" i="3"/>
  <c r="D727" i="3"/>
  <c r="E727" i="3"/>
  <c r="F727" i="3"/>
  <c r="G727" i="3"/>
  <c r="H727" i="3"/>
  <c r="I727" i="3"/>
  <c r="A728" i="3"/>
  <c r="B728" i="3"/>
  <c r="D728" i="3"/>
  <c r="E728" i="3"/>
  <c r="F728" i="3"/>
  <c r="G728" i="3"/>
  <c r="H728" i="3"/>
  <c r="I728" i="3"/>
  <c r="A729" i="3"/>
  <c r="B729" i="3"/>
  <c r="D729" i="3"/>
  <c r="E729" i="3"/>
  <c r="F729" i="3"/>
  <c r="G729" i="3"/>
  <c r="H729" i="3"/>
  <c r="I729" i="3"/>
  <c r="A730" i="3"/>
  <c r="B730" i="3"/>
  <c r="D730" i="3"/>
  <c r="E730" i="3"/>
  <c r="F730" i="3"/>
  <c r="G730" i="3"/>
  <c r="H730" i="3"/>
  <c r="I730" i="3"/>
  <c r="A731" i="3"/>
  <c r="B731" i="3"/>
  <c r="D731" i="3"/>
  <c r="E731" i="3"/>
  <c r="F731" i="3"/>
  <c r="G731" i="3"/>
  <c r="H731" i="3"/>
  <c r="I731" i="3"/>
  <c r="A732" i="3"/>
  <c r="B732" i="3"/>
  <c r="D732" i="3"/>
  <c r="E732" i="3"/>
  <c r="F732" i="3"/>
  <c r="G732" i="3"/>
  <c r="H732" i="3"/>
  <c r="I732" i="3"/>
  <c r="A733" i="3"/>
  <c r="B733" i="3"/>
  <c r="D733" i="3"/>
  <c r="E733" i="3"/>
  <c r="F733" i="3"/>
  <c r="G733" i="3"/>
  <c r="H733" i="3"/>
  <c r="I733" i="3"/>
  <c r="A734" i="3"/>
  <c r="B734" i="3"/>
  <c r="D734" i="3"/>
  <c r="E734" i="3"/>
  <c r="F734" i="3"/>
  <c r="G734" i="3"/>
  <c r="H734" i="3"/>
  <c r="I734" i="3"/>
  <c r="A735" i="3"/>
  <c r="B735" i="3"/>
  <c r="D735" i="3"/>
  <c r="E735" i="3"/>
  <c r="F735" i="3"/>
  <c r="G735" i="3"/>
  <c r="H735" i="3"/>
  <c r="I735" i="3"/>
  <c r="A736" i="3"/>
  <c r="B736" i="3"/>
  <c r="D736" i="3"/>
  <c r="E736" i="3"/>
  <c r="F736" i="3"/>
  <c r="G736" i="3"/>
  <c r="H736" i="3"/>
  <c r="I736" i="3"/>
  <c r="A737" i="3"/>
  <c r="B737" i="3"/>
  <c r="D737" i="3"/>
  <c r="E737" i="3"/>
  <c r="F737" i="3"/>
  <c r="G737" i="3"/>
  <c r="H737" i="3"/>
  <c r="I737" i="3"/>
  <c r="A738" i="3"/>
  <c r="B738" i="3"/>
  <c r="D738" i="3"/>
  <c r="E738" i="3"/>
  <c r="F738" i="3"/>
  <c r="G738" i="3"/>
  <c r="H738" i="3"/>
  <c r="I738" i="3"/>
  <c r="A739" i="3"/>
  <c r="B739" i="3"/>
  <c r="D739" i="3"/>
  <c r="E739" i="3"/>
  <c r="F739" i="3"/>
  <c r="G739" i="3"/>
  <c r="H739" i="3"/>
  <c r="I739" i="3"/>
  <c r="A740" i="3"/>
  <c r="B740" i="3"/>
  <c r="D740" i="3"/>
  <c r="E740" i="3"/>
  <c r="F740" i="3"/>
  <c r="G740" i="3"/>
  <c r="H740" i="3"/>
  <c r="I740" i="3"/>
  <c r="A741" i="3"/>
  <c r="B741" i="3"/>
  <c r="D741" i="3"/>
  <c r="E741" i="3"/>
  <c r="F741" i="3"/>
  <c r="G741" i="3"/>
  <c r="H741" i="3"/>
  <c r="I741" i="3"/>
  <c r="A742" i="3"/>
  <c r="B742" i="3"/>
  <c r="D742" i="3"/>
  <c r="E742" i="3"/>
  <c r="F742" i="3"/>
  <c r="G742" i="3"/>
  <c r="H742" i="3"/>
  <c r="I742" i="3"/>
  <c r="A743" i="3"/>
  <c r="B743" i="3"/>
  <c r="D743" i="3"/>
  <c r="E743" i="3"/>
  <c r="F743" i="3"/>
  <c r="G743" i="3"/>
  <c r="H743" i="3"/>
  <c r="I743" i="3"/>
  <c r="A744" i="3"/>
  <c r="B744" i="3"/>
  <c r="D744" i="3"/>
  <c r="E744" i="3"/>
  <c r="F744" i="3"/>
  <c r="G744" i="3"/>
  <c r="H744" i="3"/>
  <c r="I744" i="3"/>
  <c r="A745" i="3"/>
  <c r="B745" i="3"/>
  <c r="D745" i="3"/>
  <c r="E745" i="3"/>
  <c r="F745" i="3"/>
  <c r="G745" i="3"/>
  <c r="H745" i="3"/>
  <c r="I745" i="3"/>
  <c r="A746" i="3"/>
  <c r="B746" i="3"/>
  <c r="D746" i="3"/>
  <c r="E746" i="3"/>
  <c r="F746" i="3"/>
  <c r="G746" i="3"/>
  <c r="H746" i="3"/>
  <c r="I746" i="3"/>
  <c r="A747" i="3"/>
  <c r="B747" i="3"/>
  <c r="D747" i="3"/>
  <c r="E747" i="3"/>
  <c r="F747" i="3"/>
  <c r="G747" i="3"/>
  <c r="H747" i="3"/>
  <c r="I747" i="3"/>
  <c r="A748" i="3"/>
  <c r="B748" i="3"/>
  <c r="D748" i="3"/>
  <c r="E748" i="3"/>
  <c r="F748" i="3"/>
  <c r="G748" i="3"/>
  <c r="H748" i="3"/>
  <c r="I748" i="3"/>
  <c r="A749" i="3"/>
  <c r="B749" i="3"/>
  <c r="D749" i="3"/>
  <c r="E749" i="3"/>
  <c r="F749" i="3"/>
  <c r="G749" i="3"/>
  <c r="H749" i="3"/>
  <c r="I749" i="3"/>
  <c r="A750" i="3"/>
  <c r="B750" i="3"/>
  <c r="D750" i="3"/>
  <c r="E750" i="3"/>
  <c r="F750" i="3"/>
  <c r="G750" i="3"/>
  <c r="H750" i="3"/>
  <c r="I750" i="3"/>
  <c r="A751" i="3"/>
  <c r="B751" i="3"/>
  <c r="D751" i="3"/>
  <c r="E751" i="3"/>
  <c r="F751" i="3"/>
  <c r="G751" i="3"/>
  <c r="H751" i="3"/>
  <c r="I751" i="3"/>
  <c r="A752" i="3"/>
  <c r="B752" i="3"/>
  <c r="D752" i="3"/>
  <c r="E752" i="3"/>
  <c r="F752" i="3"/>
  <c r="G752" i="3"/>
  <c r="H752" i="3"/>
  <c r="I752" i="3"/>
  <c r="A753" i="3"/>
  <c r="B753" i="3"/>
  <c r="D753" i="3"/>
  <c r="E753" i="3"/>
  <c r="F753" i="3"/>
  <c r="G753" i="3"/>
  <c r="H753" i="3"/>
  <c r="I753" i="3"/>
  <c r="A754" i="3"/>
  <c r="B754" i="3"/>
  <c r="D754" i="3"/>
  <c r="E754" i="3"/>
  <c r="F754" i="3"/>
  <c r="G754" i="3"/>
  <c r="H754" i="3"/>
  <c r="I754" i="3"/>
  <c r="A755" i="3"/>
  <c r="B755" i="3"/>
  <c r="D755" i="3"/>
  <c r="E755" i="3"/>
  <c r="F755" i="3"/>
  <c r="G755" i="3"/>
  <c r="H755" i="3"/>
  <c r="I755" i="3"/>
  <c r="A756" i="3"/>
  <c r="B756" i="3"/>
  <c r="D756" i="3"/>
  <c r="E756" i="3"/>
  <c r="F756" i="3"/>
  <c r="G756" i="3"/>
  <c r="H756" i="3"/>
  <c r="I756" i="3"/>
  <c r="A757" i="3"/>
  <c r="B757" i="3"/>
  <c r="D757" i="3"/>
  <c r="E757" i="3"/>
  <c r="F757" i="3"/>
  <c r="G757" i="3"/>
  <c r="H757" i="3"/>
  <c r="I757" i="3"/>
  <c r="A758" i="3"/>
  <c r="B758" i="3"/>
  <c r="D758" i="3"/>
  <c r="E758" i="3"/>
  <c r="F758" i="3"/>
  <c r="G758" i="3"/>
  <c r="H758" i="3"/>
  <c r="I758" i="3"/>
  <c r="A759" i="3"/>
  <c r="B759" i="3"/>
  <c r="D759" i="3"/>
  <c r="E759" i="3"/>
  <c r="F759" i="3"/>
  <c r="G759" i="3"/>
  <c r="H759" i="3"/>
  <c r="I759" i="3"/>
  <c r="A760" i="3"/>
  <c r="B760" i="3"/>
  <c r="D760" i="3"/>
  <c r="E760" i="3"/>
  <c r="F760" i="3"/>
  <c r="G760" i="3"/>
  <c r="H760" i="3"/>
  <c r="I760" i="3"/>
  <c r="A761" i="3"/>
  <c r="B761" i="3"/>
  <c r="D761" i="3"/>
  <c r="E761" i="3"/>
  <c r="F761" i="3"/>
  <c r="G761" i="3"/>
  <c r="H761" i="3"/>
  <c r="I761" i="3"/>
  <c r="A762" i="3"/>
  <c r="B762" i="3"/>
  <c r="D762" i="3"/>
  <c r="E762" i="3"/>
  <c r="F762" i="3"/>
  <c r="G762" i="3"/>
  <c r="H762" i="3"/>
  <c r="I762" i="3"/>
  <c r="A763" i="3"/>
  <c r="B763" i="3"/>
  <c r="D763" i="3"/>
  <c r="E763" i="3"/>
  <c r="F763" i="3"/>
  <c r="G763" i="3"/>
  <c r="H763" i="3"/>
  <c r="I763" i="3"/>
  <c r="A764" i="3"/>
  <c r="B764" i="3"/>
  <c r="D764" i="3"/>
  <c r="E764" i="3"/>
  <c r="F764" i="3"/>
  <c r="G764" i="3"/>
  <c r="H764" i="3"/>
  <c r="I764" i="3"/>
  <c r="A765" i="3"/>
  <c r="B765" i="3"/>
  <c r="D765" i="3"/>
  <c r="E765" i="3"/>
  <c r="F765" i="3"/>
  <c r="G765" i="3"/>
  <c r="H765" i="3"/>
  <c r="I765" i="3"/>
  <c r="A766" i="3"/>
  <c r="B766" i="3"/>
  <c r="D766" i="3"/>
  <c r="E766" i="3"/>
  <c r="F766" i="3"/>
  <c r="G766" i="3"/>
  <c r="H766" i="3"/>
  <c r="I766" i="3"/>
  <c r="A767" i="3"/>
  <c r="B767" i="3"/>
  <c r="D767" i="3"/>
  <c r="E767" i="3"/>
  <c r="F767" i="3"/>
  <c r="G767" i="3"/>
  <c r="H767" i="3"/>
  <c r="I767" i="3"/>
  <c r="A768" i="3"/>
  <c r="B768" i="3"/>
  <c r="D768" i="3"/>
  <c r="E768" i="3"/>
  <c r="F768" i="3"/>
  <c r="G768" i="3"/>
  <c r="H768" i="3"/>
  <c r="I768" i="3"/>
  <c r="A769" i="3"/>
  <c r="B769" i="3"/>
  <c r="D769" i="3"/>
  <c r="E769" i="3"/>
  <c r="F769" i="3"/>
  <c r="G769" i="3"/>
  <c r="H769" i="3"/>
  <c r="I769" i="3"/>
  <c r="A770" i="3"/>
  <c r="B770" i="3"/>
  <c r="D770" i="3"/>
  <c r="E770" i="3"/>
  <c r="F770" i="3"/>
  <c r="G770" i="3"/>
  <c r="H770" i="3"/>
  <c r="I770" i="3"/>
  <c r="A771" i="3"/>
  <c r="B771" i="3"/>
  <c r="D771" i="3"/>
  <c r="E771" i="3"/>
  <c r="F771" i="3"/>
  <c r="G771" i="3"/>
  <c r="H771" i="3"/>
  <c r="I771" i="3"/>
  <c r="A772" i="3"/>
  <c r="B772" i="3"/>
  <c r="D772" i="3"/>
  <c r="E772" i="3"/>
  <c r="F772" i="3"/>
  <c r="G772" i="3"/>
  <c r="H772" i="3"/>
  <c r="I772" i="3"/>
  <c r="A773" i="3"/>
  <c r="B773" i="3"/>
  <c r="D773" i="3"/>
  <c r="E773" i="3"/>
  <c r="F773" i="3"/>
  <c r="G773" i="3"/>
  <c r="H773" i="3"/>
  <c r="I773" i="3"/>
  <c r="A774" i="3"/>
  <c r="B774" i="3"/>
  <c r="D774" i="3"/>
  <c r="E774" i="3"/>
  <c r="F774" i="3"/>
  <c r="G774" i="3"/>
  <c r="H774" i="3"/>
  <c r="I774" i="3"/>
  <c r="A775" i="3"/>
  <c r="B775" i="3"/>
  <c r="D775" i="3"/>
  <c r="E775" i="3"/>
  <c r="F775" i="3"/>
  <c r="G775" i="3"/>
  <c r="H775" i="3"/>
  <c r="I775" i="3"/>
  <c r="A776" i="3"/>
  <c r="B776" i="3"/>
  <c r="D776" i="3"/>
  <c r="E776" i="3"/>
  <c r="F776" i="3"/>
  <c r="G776" i="3"/>
  <c r="H776" i="3"/>
  <c r="I776" i="3"/>
  <c r="A777" i="3"/>
  <c r="B777" i="3"/>
  <c r="D777" i="3"/>
  <c r="E777" i="3"/>
  <c r="F777" i="3"/>
  <c r="G777" i="3"/>
  <c r="H777" i="3"/>
  <c r="I777" i="3"/>
  <c r="A778" i="3"/>
  <c r="B778" i="3"/>
  <c r="D778" i="3"/>
  <c r="E778" i="3"/>
  <c r="F778" i="3"/>
  <c r="G778" i="3"/>
  <c r="H778" i="3"/>
  <c r="I778" i="3"/>
  <c r="A779" i="3"/>
  <c r="B779" i="3"/>
  <c r="D779" i="3"/>
  <c r="E779" i="3"/>
  <c r="F779" i="3"/>
  <c r="G779" i="3"/>
  <c r="H779" i="3"/>
  <c r="I779" i="3"/>
  <c r="A780" i="3"/>
  <c r="B780" i="3"/>
  <c r="D780" i="3"/>
  <c r="E780" i="3"/>
  <c r="F780" i="3"/>
  <c r="G780" i="3"/>
  <c r="H780" i="3"/>
  <c r="I780" i="3"/>
  <c r="A781" i="3"/>
  <c r="B781" i="3"/>
  <c r="D781" i="3"/>
  <c r="E781" i="3"/>
  <c r="F781" i="3"/>
  <c r="G781" i="3"/>
  <c r="H781" i="3"/>
  <c r="I781" i="3"/>
  <c r="A782" i="3"/>
  <c r="B782" i="3"/>
  <c r="D782" i="3"/>
  <c r="E782" i="3"/>
  <c r="F782" i="3"/>
  <c r="G782" i="3"/>
  <c r="H782" i="3"/>
  <c r="I782" i="3"/>
  <c r="A783" i="3"/>
  <c r="B783" i="3"/>
  <c r="D783" i="3"/>
  <c r="E783" i="3"/>
  <c r="F783" i="3"/>
  <c r="G783" i="3"/>
  <c r="H783" i="3"/>
  <c r="I783" i="3"/>
  <c r="A784" i="3"/>
  <c r="B784" i="3"/>
  <c r="D784" i="3"/>
  <c r="E784" i="3"/>
  <c r="F784" i="3"/>
  <c r="G784" i="3"/>
  <c r="H784" i="3"/>
  <c r="I784" i="3"/>
  <c r="A785" i="3"/>
  <c r="B785" i="3"/>
  <c r="D785" i="3"/>
  <c r="E785" i="3"/>
  <c r="F785" i="3"/>
  <c r="G785" i="3"/>
  <c r="H785" i="3"/>
  <c r="I785" i="3"/>
  <c r="A786" i="3"/>
  <c r="B786" i="3"/>
  <c r="D786" i="3"/>
  <c r="E786" i="3"/>
  <c r="F786" i="3"/>
  <c r="G786" i="3"/>
  <c r="H786" i="3"/>
  <c r="I786" i="3"/>
  <c r="A787" i="3"/>
  <c r="B787" i="3"/>
  <c r="D787" i="3"/>
  <c r="E787" i="3"/>
  <c r="F787" i="3"/>
  <c r="G787" i="3"/>
  <c r="H787" i="3"/>
  <c r="I787" i="3"/>
  <c r="A788" i="3"/>
  <c r="B788" i="3"/>
  <c r="D788" i="3"/>
  <c r="E788" i="3"/>
  <c r="F788" i="3"/>
  <c r="G788" i="3"/>
  <c r="H788" i="3"/>
  <c r="I788" i="3"/>
  <c r="A789" i="3"/>
  <c r="B789" i="3"/>
  <c r="D789" i="3"/>
  <c r="E789" i="3"/>
  <c r="F789" i="3"/>
  <c r="G789" i="3"/>
  <c r="H789" i="3"/>
  <c r="I789" i="3"/>
  <c r="A790" i="3"/>
  <c r="B790" i="3"/>
  <c r="D790" i="3"/>
  <c r="E790" i="3"/>
  <c r="F790" i="3"/>
  <c r="G790" i="3"/>
  <c r="H790" i="3"/>
  <c r="I790" i="3"/>
  <c r="A791" i="3"/>
  <c r="B791" i="3"/>
  <c r="D791" i="3"/>
  <c r="E791" i="3"/>
  <c r="F791" i="3"/>
  <c r="G791" i="3"/>
  <c r="H791" i="3"/>
  <c r="I791" i="3"/>
  <c r="A792" i="3"/>
  <c r="B792" i="3"/>
  <c r="D792" i="3"/>
  <c r="E792" i="3"/>
  <c r="F792" i="3"/>
  <c r="G792" i="3"/>
  <c r="H792" i="3"/>
  <c r="I792" i="3"/>
  <c r="A793" i="3"/>
  <c r="B793" i="3"/>
  <c r="D793" i="3"/>
  <c r="E793" i="3"/>
  <c r="F793" i="3"/>
  <c r="G793" i="3"/>
  <c r="H793" i="3"/>
  <c r="I793" i="3"/>
  <c r="A794" i="3"/>
  <c r="B794" i="3"/>
  <c r="D794" i="3"/>
  <c r="E794" i="3"/>
  <c r="F794" i="3"/>
  <c r="G794" i="3"/>
  <c r="H794" i="3"/>
  <c r="I794" i="3"/>
  <c r="A795" i="3"/>
  <c r="B795" i="3"/>
  <c r="D795" i="3"/>
  <c r="E795" i="3"/>
  <c r="F795" i="3"/>
  <c r="G795" i="3"/>
  <c r="H795" i="3"/>
  <c r="I795" i="3"/>
  <c r="A796" i="3"/>
  <c r="B796" i="3"/>
  <c r="D796" i="3"/>
  <c r="E796" i="3"/>
  <c r="F796" i="3"/>
  <c r="G796" i="3"/>
  <c r="H796" i="3"/>
  <c r="I796" i="3"/>
  <c r="A797" i="3"/>
  <c r="B797" i="3"/>
  <c r="D797" i="3"/>
  <c r="E797" i="3"/>
  <c r="F797" i="3"/>
  <c r="G797" i="3"/>
  <c r="H797" i="3"/>
  <c r="I797" i="3"/>
  <c r="A798" i="3"/>
  <c r="B798" i="3"/>
  <c r="D798" i="3"/>
  <c r="E798" i="3"/>
  <c r="F798" i="3"/>
  <c r="G798" i="3"/>
  <c r="H798" i="3"/>
  <c r="I798" i="3"/>
  <c r="A799" i="3"/>
  <c r="B799" i="3"/>
  <c r="D799" i="3"/>
  <c r="E799" i="3"/>
  <c r="F799" i="3"/>
  <c r="G799" i="3"/>
  <c r="H799" i="3"/>
  <c r="I799" i="3"/>
  <c r="A800" i="3"/>
  <c r="B800" i="3"/>
  <c r="D800" i="3"/>
  <c r="E800" i="3"/>
  <c r="F800" i="3"/>
  <c r="G800" i="3"/>
  <c r="H800" i="3"/>
  <c r="I800" i="3"/>
  <c r="A801" i="3"/>
  <c r="B801" i="3"/>
  <c r="D801" i="3"/>
  <c r="E801" i="3"/>
  <c r="F801" i="3"/>
  <c r="G801" i="3"/>
  <c r="H801" i="3"/>
  <c r="I801" i="3"/>
  <c r="A802" i="3"/>
  <c r="B802" i="3"/>
  <c r="D802" i="3"/>
  <c r="E802" i="3"/>
  <c r="F802" i="3"/>
  <c r="G802" i="3"/>
  <c r="H802" i="3"/>
  <c r="I802" i="3"/>
  <c r="A803" i="3"/>
  <c r="B803" i="3"/>
  <c r="D803" i="3"/>
  <c r="E803" i="3"/>
  <c r="F803" i="3"/>
  <c r="G803" i="3"/>
  <c r="H803" i="3"/>
  <c r="I803" i="3"/>
  <c r="A804" i="3"/>
  <c r="B804" i="3"/>
  <c r="D804" i="3"/>
  <c r="E804" i="3"/>
  <c r="F804" i="3"/>
  <c r="G804" i="3"/>
  <c r="H804" i="3"/>
  <c r="I804" i="3"/>
  <c r="A805" i="3"/>
  <c r="B805" i="3"/>
  <c r="D805" i="3"/>
  <c r="E805" i="3"/>
  <c r="F805" i="3"/>
  <c r="G805" i="3"/>
  <c r="H805" i="3"/>
  <c r="I805" i="3"/>
  <c r="A806" i="3"/>
  <c r="B806" i="3"/>
  <c r="D806" i="3"/>
  <c r="E806" i="3"/>
  <c r="F806" i="3"/>
  <c r="G806" i="3"/>
  <c r="H806" i="3"/>
  <c r="I806" i="3"/>
  <c r="A807" i="3"/>
  <c r="B807" i="3"/>
  <c r="D807" i="3"/>
  <c r="E807" i="3"/>
  <c r="F807" i="3"/>
  <c r="G807" i="3"/>
  <c r="H807" i="3"/>
  <c r="I807" i="3"/>
  <c r="A808" i="3"/>
  <c r="B808" i="3"/>
  <c r="D808" i="3"/>
  <c r="E808" i="3"/>
  <c r="F808" i="3"/>
  <c r="G808" i="3"/>
  <c r="H808" i="3"/>
  <c r="I808" i="3"/>
  <c r="A809" i="3"/>
  <c r="B809" i="3"/>
  <c r="D809" i="3"/>
  <c r="E809" i="3"/>
  <c r="F809" i="3"/>
  <c r="G809" i="3"/>
  <c r="H809" i="3"/>
  <c r="I809" i="3"/>
  <c r="A810" i="3"/>
  <c r="B810" i="3"/>
  <c r="D810" i="3"/>
  <c r="E810" i="3"/>
  <c r="F810" i="3"/>
  <c r="G810" i="3"/>
  <c r="H810" i="3"/>
  <c r="I810" i="3"/>
  <c r="A811" i="3"/>
  <c r="B811" i="3"/>
  <c r="D811" i="3"/>
  <c r="E811" i="3"/>
  <c r="F811" i="3"/>
  <c r="G811" i="3"/>
  <c r="H811" i="3"/>
  <c r="I811" i="3"/>
  <c r="A812" i="3"/>
  <c r="B812" i="3"/>
  <c r="D812" i="3"/>
  <c r="E812" i="3"/>
  <c r="F812" i="3"/>
  <c r="G812" i="3"/>
  <c r="H812" i="3"/>
  <c r="I812" i="3"/>
  <c r="A813" i="3"/>
  <c r="B813" i="3"/>
  <c r="D813" i="3"/>
  <c r="E813" i="3"/>
  <c r="F813" i="3"/>
  <c r="G813" i="3"/>
  <c r="H813" i="3"/>
  <c r="I813" i="3"/>
  <c r="A814" i="3"/>
  <c r="B814" i="3"/>
  <c r="D814" i="3"/>
  <c r="E814" i="3"/>
  <c r="F814" i="3"/>
  <c r="G814" i="3"/>
  <c r="H814" i="3"/>
  <c r="I814" i="3"/>
  <c r="A815" i="3"/>
  <c r="B815" i="3"/>
  <c r="D815" i="3"/>
  <c r="E815" i="3"/>
  <c r="F815" i="3"/>
  <c r="G815" i="3"/>
  <c r="H815" i="3"/>
  <c r="I815" i="3"/>
  <c r="A816" i="3"/>
  <c r="B816" i="3"/>
  <c r="D816" i="3"/>
  <c r="E816" i="3"/>
  <c r="F816" i="3"/>
  <c r="G816" i="3"/>
  <c r="H816" i="3"/>
  <c r="I816" i="3"/>
  <c r="A817" i="3"/>
  <c r="B817" i="3"/>
  <c r="D817" i="3"/>
  <c r="E817" i="3"/>
  <c r="F817" i="3"/>
  <c r="G817" i="3"/>
  <c r="H817" i="3"/>
  <c r="I817" i="3"/>
  <c r="A818" i="3"/>
  <c r="B818" i="3"/>
  <c r="D818" i="3"/>
  <c r="E818" i="3"/>
  <c r="F818" i="3"/>
  <c r="G818" i="3"/>
  <c r="H818" i="3"/>
  <c r="I818" i="3"/>
  <c r="A819" i="3"/>
  <c r="B819" i="3"/>
  <c r="D819" i="3"/>
  <c r="E819" i="3"/>
  <c r="F819" i="3"/>
  <c r="G819" i="3"/>
  <c r="H819" i="3"/>
  <c r="I819" i="3"/>
  <c r="A820" i="3"/>
  <c r="B820" i="3"/>
  <c r="D820" i="3"/>
  <c r="E820" i="3"/>
  <c r="F820" i="3"/>
  <c r="G820" i="3"/>
  <c r="H820" i="3"/>
  <c r="I820" i="3"/>
  <c r="A821" i="3"/>
  <c r="B821" i="3"/>
  <c r="D821" i="3"/>
  <c r="E821" i="3"/>
  <c r="F821" i="3"/>
  <c r="G821" i="3"/>
  <c r="H821" i="3"/>
  <c r="I821" i="3"/>
  <c r="A822" i="3"/>
  <c r="B822" i="3"/>
  <c r="D822" i="3"/>
  <c r="E822" i="3"/>
  <c r="F822" i="3"/>
  <c r="G822" i="3"/>
  <c r="H822" i="3"/>
  <c r="I822" i="3"/>
  <c r="A823" i="3"/>
  <c r="B823" i="3"/>
  <c r="D823" i="3"/>
  <c r="E823" i="3"/>
  <c r="F823" i="3"/>
  <c r="G823" i="3"/>
  <c r="H823" i="3"/>
  <c r="I823" i="3"/>
  <c r="A824" i="3"/>
  <c r="B824" i="3"/>
  <c r="D824" i="3"/>
  <c r="E824" i="3"/>
  <c r="F824" i="3"/>
  <c r="G824" i="3"/>
  <c r="H824" i="3"/>
  <c r="I824" i="3"/>
  <c r="A825" i="3"/>
  <c r="B825" i="3"/>
  <c r="D825" i="3"/>
  <c r="E825" i="3"/>
  <c r="F825" i="3"/>
  <c r="G825" i="3"/>
  <c r="H825" i="3"/>
  <c r="I825" i="3"/>
  <c r="A826" i="3"/>
  <c r="B826" i="3"/>
  <c r="D826" i="3"/>
  <c r="E826" i="3"/>
  <c r="F826" i="3"/>
  <c r="G826" i="3"/>
  <c r="H826" i="3"/>
  <c r="I826" i="3"/>
  <c r="A827" i="3"/>
  <c r="B827" i="3"/>
  <c r="D827" i="3"/>
  <c r="E827" i="3"/>
  <c r="F827" i="3"/>
  <c r="G827" i="3"/>
  <c r="H827" i="3"/>
  <c r="I827" i="3"/>
  <c r="A828" i="3"/>
  <c r="B828" i="3"/>
  <c r="D828" i="3"/>
  <c r="E828" i="3"/>
  <c r="F828" i="3"/>
  <c r="G828" i="3"/>
  <c r="H828" i="3"/>
  <c r="I828" i="3"/>
  <c r="A829" i="3"/>
  <c r="B829" i="3"/>
  <c r="D829" i="3"/>
  <c r="E829" i="3"/>
  <c r="F829" i="3"/>
  <c r="G829" i="3"/>
  <c r="H829" i="3"/>
  <c r="I829" i="3"/>
  <c r="A830" i="3"/>
  <c r="B830" i="3"/>
  <c r="D830" i="3"/>
  <c r="E830" i="3"/>
  <c r="F830" i="3"/>
  <c r="G830" i="3"/>
  <c r="H830" i="3"/>
  <c r="I830" i="3"/>
  <c r="A831" i="3"/>
  <c r="B831" i="3"/>
  <c r="D831" i="3"/>
  <c r="E831" i="3"/>
  <c r="F831" i="3"/>
  <c r="G831" i="3"/>
  <c r="H831" i="3"/>
  <c r="I831" i="3"/>
  <c r="A832" i="3"/>
  <c r="B832" i="3"/>
  <c r="D832" i="3"/>
  <c r="E832" i="3"/>
  <c r="F832" i="3"/>
  <c r="G832" i="3"/>
  <c r="H832" i="3"/>
  <c r="I832" i="3"/>
  <c r="A833" i="3"/>
  <c r="B833" i="3"/>
  <c r="D833" i="3"/>
  <c r="E833" i="3"/>
  <c r="F833" i="3"/>
  <c r="G833" i="3"/>
  <c r="H833" i="3"/>
  <c r="I833" i="3"/>
  <c r="A834" i="3"/>
  <c r="B834" i="3"/>
  <c r="D834" i="3"/>
  <c r="E834" i="3"/>
  <c r="F834" i="3"/>
  <c r="G834" i="3"/>
  <c r="H834" i="3"/>
  <c r="I834" i="3"/>
  <c r="A835" i="3"/>
  <c r="B835" i="3"/>
  <c r="D835" i="3"/>
  <c r="E835" i="3"/>
  <c r="F835" i="3"/>
  <c r="G835" i="3"/>
  <c r="H835" i="3"/>
  <c r="I835" i="3"/>
  <c r="A836" i="3"/>
  <c r="B836" i="3"/>
  <c r="D836" i="3"/>
  <c r="E836" i="3"/>
  <c r="F836" i="3"/>
  <c r="G836" i="3"/>
  <c r="H836" i="3"/>
  <c r="I836" i="3"/>
  <c r="A837" i="3"/>
  <c r="B837" i="3"/>
  <c r="D837" i="3"/>
  <c r="E837" i="3"/>
  <c r="F837" i="3"/>
  <c r="G837" i="3"/>
  <c r="H837" i="3"/>
  <c r="I837" i="3"/>
  <c r="A838" i="3"/>
  <c r="B838" i="3"/>
  <c r="D838" i="3"/>
  <c r="E838" i="3"/>
  <c r="F838" i="3"/>
  <c r="G838" i="3"/>
  <c r="H838" i="3"/>
  <c r="I838" i="3"/>
  <c r="A839" i="3"/>
  <c r="B839" i="3"/>
  <c r="D839" i="3"/>
  <c r="E839" i="3"/>
  <c r="F839" i="3"/>
  <c r="G839" i="3"/>
  <c r="H839" i="3"/>
  <c r="I839" i="3"/>
  <c r="A840" i="3"/>
  <c r="B840" i="3"/>
  <c r="D840" i="3"/>
  <c r="E840" i="3"/>
  <c r="F840" i="3"/>
  <c r="G840" i="3"/>
  <c r="H840" i="3"/>
  <c r="I840" i="3"/>
  <c r="A841" i="3"/>
  <c r="B841" i="3"/>
  <c r="D841" i="3"/>
  <c r="E841" i="3"/>
  <c r="F841" i="3"/>
  <c r="G841" i="3"/>
  <c r="H841" i="3"/>
  <c r="I841" i="3"/>
  <c r="A842" i="3"/>
  <c r="B842" i="3"/>
  <c r="D842" i="3"/>
  <c r="E842" i="3"/>
  <c r="F842" i="3"/>
  <c r="G842" i="3"/>
  <c r="H842" i="3"/>
  <c r="I842" i="3"/>
  <c r="A843" i="3"/>
  <c r="B843" i="3"/>
  <c r="D843" i="3"/>
  <c r="E843" i="3"/>
  <c r="F843" i="3"/>
  <c r="G843" i="3"/>
  <c r="H843" i="3"/>
  <c r="I843" i="3"/>
  <c r="A844" i="3"/>
  <c r="B844" i="3"/>
  <c r="D844" i="3"/>
  <c r="E844" i="3"/>
  <c r="F844" i="3"/>
  <c r="G844" i="3"/>
  <c r="H844" i="3"/>
  <c r="I844" i="3"/>
  <c r="A845" i="3"/>
  <c r="B845" i="3"/>
  <c r="D845" i="3"/>
  <c r="E845" i="3"/>
  <c r="F845" i="3"/>
  <c r="G845" i="3"/>
  <c r="H845" i="3"/>
  <c r="I845" i="3"/>
  <c r="A846" i="3"/>
  <c r="B846" i="3"/>
  <c r="D846" i="3"/>
  <c r="E846" i="3"/>
  <c r="F846" i="3"/>
  <c r="G846" i="3"/>
  <c r="H846" i="3"/>
  <c r="I846" i="3"/>
  <c r="A847" i="3"/>
  <c r="B847" i="3"/>
  <c r="D847" i="3"/>
  <c r="E847" i="3"/>
  <c r="F847" i="3"/>
  <c r="G847" i="3"/>
  <c r="H847" i="3"/>
  <c r="I847" i="3"/>
  <c r="A848" i="3"/>
  <c r="B848" i="3"/>
  <c r="D848" i="3"/>
  <c r="E848" i="3"/>
  <c r="F848" i="3"/>
  <c r="G848" i="3"/>
  <c r="H848" i="3"/>
  <c r="I848" i="3"/>
  <c r="A849" i="3"/>
  <c r="B849" i="3"/>
  <c r="D849" i="3"/>
  <c r="E849" i="3"/>
  <c r="F849" i="3"/>
  <c r="G849" i="3"/>
  <c r="H849" i="3"/>
  <c r="I849" i="3"/>
  <c r="A850" i="3"/>
  <c r="B850" i="3"/>
  <c r="D850" i="3"/>
  <c r="E850" i="3"/>
  <c r="F850" i="3"/>
  <c r="G850" i="3"/>
  <c r="H850" i="3"/>
  <c r="I850" i="3"/>
  <c r="A851" i="3"/>
  <c r="B851" i="3"/>
  <c r="D851" i="3"/>
  <c r="E851" i="3"/>
  <c r="F851" i="3"/>
  <c r="G851" i="3"/>
  <c r="H851" i="3"/>
  <c r="I851" i="3"/>
  <c r="A852" i="3"/>
  <c r="B852" i="3"/>
  <c r="D852" i="3"/>
  <c r="E852" i="3"/>
  <c r="F852" i="3"/>
  <c r="G852" i="3"/>
  <c r="H852" i="3"/>
  <c r="I852" i="3"/>
  <c r="A853" i="3"/>
  <c r="B853" i="3"/>
  <c r="D853" i="3"/>
  <c r="E853" i="3"/>
  <c r="F853" i="3"/>
  <c r="G853" i="3"/>
  <c r="H853" i="3"/>
  <c r="I853" i="3"/>
  <c r="A854" i="3"/>
  <c r="B854" i="3"/>
  <c r="D854" i="3"/>
  <c r="E854" i="3"/>
  <c r="F854" i="3"/>
  <c r="G854" i="3"/>
  <c r="H854" i="3"/>
  <c r="I854" i="3"/>
  <c r="A855" i="3"/>
  <c r="B855" i="3"/>
  <c r="D855" i="3"/>
  <c r="E855" i="3"/>
  <c r="F855" i="3"/>
  <c r="G855" i="3"/>
  <c r="H855" i="3"/>
  <c r="I855" i="3"/>
  <c r="A856" i="3"/>
  <c r="B856" i="3"/>
  <c r="D856" i="3"/>
  <c r="E856" i="3"/>
  <c r="F856" i="3"/>
  <c r="G856" i="3"/>
  <c r="H856" i="3"/>
  <c r="I856" i="3"/>
  <c r="A857" i="3"/>
  <c r="B857" i="3"/>
  <c r="D857" i="3"/>
  <c r="E857" i="3"/>
  <c r="F857" i="3"/>
  <c r="G857" i="3"/>
  <c r="H857" i="3"/>
  <c r="I857" i="3"/>
  <c r="A858" i="3"/>
  <c r="B858" i="3"/>
  <c r="D858" i="3"/>
  <c r="E858" i="3"/>
  <c r="F858" i="3"/>
  <c r="G858" i="3"/>
  <c r="H858" i="3"/>
  <c r="I858" i="3"/>
  <c r="A859" i="3"/>
  <c r="B859" i="3"/>
  <c r="D859" i="3"/>
  <c r="E859" i="3"/>
  <c r="F859" i="3"/>
  <c r="G859" i="3"/>
  <c r="H859" i="3"/>
  <c r="I859" i="3"/>
  <c r="A860" i="3"/>
  <c r="B860" i="3"/>
  <c r="D860" i="3"/>
  <c r="E860" i="3"/>
  <c r="F860" i="3"/>
  <c r="G860" i="3"/>
  <c r="H860" i="3"/>
  <c r="I860" i="3"/>
  <c r="A861" i="3"/>
  <c r="B861" i="3"/>
  <c r="D861" i="3"/>
  <c r="E861" i="3"/>
  <c r="F861" i="3"/>
  <c r="G861" i="3"/>
  <c r="H861" i="3"/>
  <c r="I861" i="3"/>
  <c r="A862" i="3"/>
  <c r="B862" i="3"/>
  <c r="D862" i="3"/>
  <c r="E862" i="3"/>
  <c r="F862" i="3"/>
  <c r="G862" i="3"/>
  <c r="H862" i="3"/>
  <c r="I862" i="3"/>
  <c r="A863" i="3"/>
  <c r="B863" i="3"/>
  <c r="D863" i="3"/>
  <c r="E863" i="3"/>
  <c r="F863" i="3"/>
  <c r="G863" i="3"/>
  <c r="H863" i="3"/>
  <c r="I863" i="3"/>
  <c r="A864" i="3"/>
  <c r="B864" i="3"/>
  <c r="D864" i="3"/>
  <c r="E864" i="3"/>
  <c r="F864" i="3"/>
  <c r="G864" i="3"/>
  <c r="H864" i="3"/>
  <c r="I864" i="3"/>
  <c r="A865" i="3"/>
  <c r="B865" i="3"/>
  <c r="D865" i="3"/>
  <c r="E865" i="3"/>
  <c r="F865" i="3"/>
  <c r="G865" i="3"/>
  <c r="H865" i="3"/>
  <c r="I865" i="3"/>
  <c r="A866" i="3"/>
  <c r="B866" i="3"/>
  <c r="D866" i="3"/>
  <c r="E866" i="3"/>
  <c r="F866" i="3"/>
  <c r="G866" i="3"/>
  <c r="H866" i="3"/>
  <c r="I866" i="3"/>
  <c r="A867" i="3"/>
  <c r="B867" i="3"/>
  <c r="D867" i="3"/>
  <c r="E867" i="3"/>
  <c r="F867" i="3"/>
  <c r="G867" i="3"/>
  <c r="H867" i="3"/>
  <c r="I867" i="3"/>
  <c r="A868" i="3"/>
  <c r="B868" i="3"/>
  <c r="D868" i="3"/>
  <c r="E868" i="3"/>
  <c r="F868" i="3"/>
  <c r="G868" i="3"/>
  <c r="H868" i="3"/>
  <c r="I868" i="3"/>
  <c r="A869" i="3"/>
  <c r="B869" i="3"/>
  <c r="D869" i="3"/>
  <c r="E869" i="3"/>
  <c r="F869" i="3"/>
  <c r="G869" i="3"/>
  <c r="H869" i="3"/>
  <c r="I869" i="3"/>
  <c r="A870" i="3"/>
  <c r="B870" i="3"/>
  <c r="D870" i="3"/>
  <c r="E870" i="3"/>
  <c r="F870" i="3"/>
  <c r="G870" i="3"/>
  <c r="H870" i="3"/>
  <c r="I870" i="3"/>
  <c r="A871" i="3"/>
  <c r="B871" i="3"/>
  <c r="D871" i="3"/>
  <c r="E871" i="3"/>
  <c r="F871" i="3"/>
  <c r="G871" i="3"/>
  <c r="H871" i="3"/>
  <c r="I871" i="3"/>
  <c r="A872" i="3"/>
  <c r="B872" i="3"/>
  <c r="D872" i="3"/>
  <c r="E872" i="3"/>
  <c r="F872" i="3"/>
  <c r="G872" i="3"/>
  <c r="H872" i="3"/>
  <c r="I872" i="3"/>
  <c r="A873" i="3"/>
  <c r="B873" i="3"/>
  <c r="D873" i="3"/>
  <c r="E873" i="3"/>
  <c r="F873" i="3"/>
  <c r="G873" i="3"/>
  <c r="H873" i="3"/>
  <c r="I873" i="3"/>
  <c r="A874" i="3"/>
  <c r="B874" i="3"/>
  <c r="D874" i="3"/>
  <c r="E874" i="3"/>
  <c r="F874" i="3"/>
  <c r="G874" i="3"/>
  <c r="H874" i="3"/>
  <c r="I874" i="3"/>
  <c r="A875" i="3"/>
  <c r="B875" i="3"/>
  <c r="D875" i="3"/>
  <c r="E875" i="3"/>
  <c r="F875" i="3"/>
  <c r="G875" i="3"/>
  <c r="H875" i="3"/>
  <c r="I875" i="3"/>
  <c r="A876" i="3"/>
  <c r="B876" i="3"/>
  <c r="D876" i="3"/>
  <c r="E876" i="3"/>
  <c r="F876" i="3"/>
  <c r="G876" i="3"/>
  <c r="H876" i="3"/>
  <c r="I876" i="3"/>
  <c r="A877" i="3"/>
  <c r="B877" i="3"/>
  <c r="D877" i="3"/>
  <c r="E877" i="3"/>
  <c r="F877" i="3"/>
  <c r="G877" i="3"/>
  <c r="H877" i="3"/>
  <c r="I877" i="3"/>
  <c r="A878" i="3"/>
  <c r="B878" i="3"/>
  <c r="D878" i="3"/>
  <c r="E878" i="3"/>
  <c r="F878" i="3"/>
  <c r="G878" i="3"/>
  <c r="H878" i="3"/>
  <c r="I878" i="3"/>
  <c r="A879" i="3"/>
  <c r="B879" i="3"/>
  <c r="D879" i="3"/>
  <c r="E879" i="3"/>
  <c r="F879" i="3"/>
  <c r="G879" i="3"/>
  <c r="H879" i="3"/>
  <c r="I879" i="3"/>
  <c r="A880" i="3"/>
  <c r="B880" i="3"/>
  <c r="D880" i="3"/>
  <c r="E880" i="3"/>
  <c r="F880" i="3"/>
  <c r="G880" i="3"/>
  <c r="H880" i="3"/>
  <c r="I880" i="3"/>
  <c r="A881" i="3"/>
  <c r="B881" i="3"/>
  <c r="D881" i="3"/>
  <c r="E881" i="3"/>
  <c r="F881" i="3"/>
  <c r="G881" i="3"/>
  <c r="H881" i="3"/>
  <c r="I881" i="3"/>
  <c r="A882" i="3"/>
  <c r="B882" i="3"/>
  <c r="D882" i="3"/>
  <c r="E882" i="3"/>
  <c r="F882" i="3"/>
  <c r="G882" i="3"/>
  <c r="H882" i="3"/>
  <c r="I882" i="3"/>
  <c r="A883" i="3"/>
  <c r="B883" i="3"/>
  <c r="D883" i="3"/>
  <c r="E883" i="3"/>
  <c r="F883" i="3"/>
  <c r="G883" i="3"/>
  <c r="H883" i="3"/>
  <c r="I883" i="3"/>
  <c r="A884" i="3"/>
  <c r="B884" i="3"/>
  <c r="D884" i="3"/>
  <c r="E884" i="3"/>
  <c r="F884" i="3"/>
  <c r="G884" i="3"/>
  <c r="H884" i="3"/>
  <c r="I884" i="3"/>
  <c r="A885" i="3"/>
  <c r="B885" i="3"/>
  <c r="D885" i="3"/>
  <c r="E885" i="3"/>
  <c r="F885" i="3"/>
  <c r="G885" i="3"/>
  <c r="H885" i="3"/>
  <c r="I885" i="3"/>
  <c r="A886" i="3"/>
  <c r="B886" i="3"/>
  <c r="D886" i="3"/>
  <c r="E886" i="3"/>
  <c r="F886" i="3"/>
  <c r="G886" i="3"/>
  <c r="H886" i="3"/>
  <c r="I886" i="3"/>
  <c r="A887" i="3"/>
  <c r="B887" i="3"/>
  <c r="D887" i="3"/>
  <c r="E887" i="3"/>
  <c r="F887" i="3"/>
  <c r="G887" i="3"/>
  <c r="H887" i="3"/>
  <c r="I887" i="3"/>
  <c r="A888" i="3"/>
  <c r="B888" i="3"/>
  <c r="D888" i="3"/>
  <c r="E888" i="3"/>
  <c r="F888" i="3"/>
  <c r="G888" i="3"/>
  <c r="H888" i="3"/>
  <c r="I888" i="3"/>
  <c r="A889" i="3"/>
  <c r="B889" i="3"/>
  <c r="D889" i="3"/>
  <c r="E889" i="3"/>
  <c r="F889" i="3"/>
  <c r="G889" i="3"/>
  <c r="H889" i="3"/>
  <c r="I889" i="3"/>
  <c r="A890" i="3"/>
  <c r="B890" i="3"/>
  <c r="D890" i="3"/>
  <c r="E890" i="3"/>
  <c r="F890" i="3"/>
  <c r="G890" i="3"/>
  <c r="H890" i="3"/>
  <c r="I890" i="3"/>
  <c r="A891" i="3"/>
  <c r="B891" i="3"/>
  <c r="D891" i="3"/>
  <c r="E891" i="3"/>
  <c r="F891" i="3"/>
  <c r="G891" i="3"/>
  <c r="H891" i="3"/>
  <c r="I891" i="3"/>
  <c r="A892" i="3"/>
  <c r="B892" i="3"/>
  <c r="D892" i="3"/>
  <c r="E892" i="3"/>
  <c r="F892" i="3"/>
  <c r="G892" i="3"/>
  <c r="H892" i="3"/>
  <c r="I892" i="3"/>
  <c r="A893" i="3"/>
  <c r="B893" i="3"/>
  <c r="D893" i="3"/>
  <c r="E893" i="3"/>
  <c r="F893" i="3"/>
  <c r="G893" i="3"/>
  <c r="H893" i="3"/>
  <c r="I893" i="3"/>
  <c r="A894" i="3"/>
  <c r="B894" i="3"/>
  <c r="D894" i="3"/>
  <c r="E894" i="3"/>
  <c r="F894" i="3"/>
  <c r="G894" i="3"/>
  <c r="H894" i="3"/>
  <c r="I894" i="3"/>
  <c r="A895" i="3"/>
  <c r="B895" i="3"/>
  <c r="D895" i="3"/>
  <c r="E895" i="3"/>
  <c r="F895" i="3"/>
  <c r="G895" i="3"/>
  <c r="H895" i="3"/>
  <c r="I895" i="3"/>
  <c r="A896" i="3"/>
  <c r="B896" i="3"/>
  <c r="D896" i="3"/>
  <c r="E896" i="3"/>
  <c r="F896" i="3"/>
  <c r="G896" i="3"/>
  <c r="H896" i="3"/>
  <c r="I896" i="3"/>
  <c r="A897" i="3"/>
  <c r="B897" i="3"/>
  <c r="D897" i="3"/>
  <c r="E897" i="3"/>
  <c r="F897" i="3"/>
  <c r="G897" i="3"/>
  <c r="H897" i="3"/>
  <c r="I897" i="3"/>
  <c r="A898" i="3"/>
  <c r="B898" i="3"/>
  <c r="D898" i="3"/>
  <c r="E898" i="3"/>
  <c r="F898" i="3"/>
  <c r="G898" i="3"/>
  <c r="H898" i="3"/>
  <c r="I898" i="3"/>
  <c r="A899" i="3"/>
  <c r="B899" i="3"/>
  <c r="D899" i="3"/>
  <c r="E899" i="3"/>
  <c r="F899" i="3"/>
  <c r="G899" i="3"/>
  <c r="H899" i="3"/>
  <c r="I899" i="3"/>
  <c r="A900" i="3"/>
  <c r="B900" i="3"/>
  <c r="D900" i="3"/>
  <c r="E900" i="3"/>
  <c r="F900" i="3"/>
  <c r="G900" i="3"/>
  <c r="H900" i="3"/>
  <c r="I900" i="3"/>
  <c r="A901" i="3"/>
  <c r="B901" i="3"/>
  <c r="D901" i="3"/>
  <c r="E901" i="3"/>
  <c r="F901" i="3"/>
  <c r="G901" i="3"/>
  <c r="H901" i="3"/>
  <c r="I901" i="3"/>
  <c r="A902" i="3"/>
  <c r="B902" i="3"/>
  <c r="D902" i="3"/>
  <c r="E902" i="3"/>
  <c r="F902" i="3"/>
  <c r="G902" i="3"/>
  <c r="H902" i="3"/>
  <c r="I902" i="3"/>
  <c r="A903" i="3"/>
  <c r="B903" i="3"/>
  <c r="D903" i="3"/>
  <c r="E903" i="3"/>
  <c r="F903" i="3"/>
  <c r="G903" i="3"/>
  <c r="H903" i="3"/>
  <c r="I903" i="3"/>
  <c r="A904" i="3"/>
  <c r="B904" i="3"/>
  <c r="D904" i="3"/>
  <c r="E904" i="3"/>
  <c r="F904" i="3"/>
  <c r="G904" i="3"/>
  <c r="H904" i="3"/>
  <c r="I904" i="3"/>
  <c r="A905" i="3"/>
  <c r="B905" i="3"/>
  <c r="D905" i="3"/>
  <c r="E905" i="3"/>
  <c r="F905" i="3"/>
  <c r="G905" i="3"/>
  <c r="H905" i="3"/>
  <c r="I905" i="3"/>
  <c r="A906" i="3"/>
  <c r="B906" i="3"/>
  <c r="D906" i="3"/>
  <c r="E906" i="3"/>
  <c r="F906" i="3"/>
  <c r="G906" i="3"/>
  <c r="H906" i="3"/>
  <c r="I906" i="3"/>
  <c r="A907" i="3"/>
  <c r="B907" i="3"/>
  <c r="D907" i="3"/>
  <c r="E907" i="3"/>
  <c r="F907" i="3"/>
  <c r="G907" i="3"/>
  <c r="H907" i="3"/>
  <c r="I907" i="3"/>
  <c r="A908" i="3"/>
  <c r="B908" i="3"/>
  <c r="D908" i="3"/>
  <c r="E908" i="3"/>
  <c r="F908" i="3"/>
  <c r="G908" i="3"/>
  <c r="H908" i="3"/>
  <c r="I908" i="3"/>
  <c r="A909" i="3"/>
  <c r="B909" i="3"/>
  <c r="D909" i="3"/>
  <c r="E909" i="3"/>
  <c r="F909" i="3"/>
  <c r="G909" i="3"/>
  <c r="H909" i="3"/>
  <c r="I909" i="3"/>
  <c r="A910" i="3"/>
  <c r="B910" i="3"/>
  <c r="D910" i="3"/>
  <c r="E910" i="3"/>
  <c r="F910" i="3"/>
  <c r="G910" i="3"/>
  <c r="H910" i="3"/>
  <c r="I910" i="3"/>
  <c r="A911" i="3"/>
  <c r="B911" i="3"/>
  <c r="D911" i="3"/>
  <c r="E911" i="3"/>
  <c r="F911" i="3"/>
  <c r="G911" i="3"/>
  <c r="H911" i="3"/>
  <c r="I911" i="3"/>
  <c r="A912" i="3"/>
  <c r="B912" i="3"/>
  <c r="D912" i="3"/>
  <c r="E912" i="3"/>
  <c r="F912" i="3"/>
  <c r="G912" i="3"/>
  <c r="H912" i="3"/>
  <c r="I912" i="3"/>
  <c r="A913" i="3"/>
  <c r="B913" i="3"/>
  <c r="D913" i="3"/>
  <c r="E913" i="3"/>
  <c r="F913" i="3"/>
  <c r="G913" i="3"/>
  <c r="H913" i="3"/>
  <c r="I913" i="3"/>
  <c r="A914" i="3"/>
  <c r="B914" i="3"/>
  <c r="D914" i="3"/>
  <c r="E914" i="3"/>
  <c r="F914" i="3"/>
  <c r="G914" i="3"/>
  <c r="H914" i="3"/>
  <c r="I914" i="3"/>
  <c r="A915" i="3"/>
  <c r="B915" i="3"/>
  <c r="D915" i="3"/>
  <c r="E915" i="3"/>
  <c r="F915" i="3"/>
  <c r="G915" i="3"/>
  <c r="H915" i="3"/>
  <c r="I915" i="3"/>
  <c r="A916" i="3"/>
  <c r="B916" i="3"/>
  <c r="D916" i="3"/>
  <c r="E916" i="3"/>
  <c r="F916" i="3"/>
  <c r="G916" i="3"/>
  <c r="H916" i="3"/>
  <c r="I916" i="3"/>
  <c r="A917" i="3"/>
  <c r="B917" i="3"/>
  <c r="D917" i="3"/>
  <c r="E917" i="3"/>
  <c r="F917" i="3"/>
  <c r="G917" i="3"/>
  <c r="H917" i="3"/>
  <c r="I917" i="3"/>
  <c r="A918" i="3"/>
  <c r="B918" i="3"/>
  <c r="D918" i="3"/>
  <c r="E918" i="3"/>
  <c r="F918" i="3"/>
  <c r="G918" i="3"/>
  <c r="H918" i="3"/>
  <c r="I918" i="3"/>
  <c r="A919" i="3"/>
  <c r="B919" i="3"/>
  <c r="D919" i="3"/>
  <c r="E919" i="3"/>
  <c r="F919" i="3"/>
  <c r="G919" i="3"/>
  <c r="H919" i="3"/>
  <c r="I919" i="3"/>
  <c r="A920" i="3"/>
  <c r="B920" i="3"/>
  <c r="D920" i="3"/>
  <c r="E920" i="3"/>
  <c r="F920" i="3"/>
  <c r="G920" i="3"/>
  <c r="H920" i="3"/>
  <c r="I920" i="3"/>
  <c r="A921" i="3"/>
  <c r="B921" i="3"/>
  <c r="D921" i="3"/>
  <c r="E921" i="3"/>
  <c r="F921" i="3"/>
  <c r="G921" i="3"/>
  <c r="H921" i="3"/>
  <c r="I921" i="3"/>
  <c r="A922" i="3"/>
  <c r="B922" i="3"/>
  <c r="D922" i="3"/>
  <c r="E922" i="3"/>
  <c r="F922" i="3"/>
  <c r="G922" i="3"/>
  <c r="H922" i="3"/>
  <c r="I922" i="3"/>
  <c r="A923" i="3"/>
  <c r="B923" i="3"/>
  <c r="D923" i="3"/>
  <c r="E923" i="3"/>
  <c r="F923" i="3"/>
  <c r="G923" i="3"/>
  <c r="H923" i="3"/>
  <c r="I923" i="3"/>
  <c r="A924" i="3"/>
  <c r="B924" i="3"/>
  <c r="D924" i="3"/>
  <c r="E924" i="3"/>
  <c r="F924" i="3"/>
  <c r="G924" i="3"/>
  <c r="H924" i="3"/>
  <c r="I924" i="3"/>
  <c r="A925" i="3"/>
  <c r="B925" i="3"/>
  <c r="D925" i="3"/>
  <c r="E925" i="3"/>
  <c r="F925" i="3"/>
  <c r="G925" i="3"/>
  <c r="H925" i="3"/>
  <c r="I925" i="3"/>
  <c r="A926" i="3"/>
  <c r="B926" i="3"/>
  <c r="D926" i="3"/>
  <c r="E926" i="3"/>
  <c r="F926" i="3"/>
  <c r="G926" i="3"/>
  <c r="H926" i="3"/>
  <c r="I926" i="3"/>
  <c r="A927" i="3"/>
  <c r="B927" i="3"/>
  <c r="D927" i="3"/>
  <c r="E927" i="3"/>
  <c r="F927" i="3"/>
  <c r="G927" i="3"/>
  <c r="H927" i="3"/>
  <c r="I927" i="3"/>
  <c r="A928" i="3"/>
  <c r="B928" i="3"/>
  <c r="D928" i="3"/>
  <c r="E928" i="3"/>
  <c r="F928" i="3"/>
  <c r="G928" i="3"/>
  <c r="H928" i="3"/>
  <c r="I928" i="3"/>
  <c r="A929" i="3"/>
  <c r="B929" i="3"/>
  <c r="D929" i="3"/>
  <c r="E929" i="3"/>
  <c r="F929" i="3"/>
  <c r="G929" i="3"/>
  <c r="H929" i="3"/>
  <c r="I929" i="3"/>
  <c r="A930" i="3"/>
  <c r="B930" i="3"/>
  <c r="D930" i="3"/>
  <c r="E930" i="3"/>
  <c r="F930" i="3"/>
  <c r="G930" i="3"/>
  <c r="H930" i="3"/>
  <c r="I930" i="3"/>
  <c r="A931" i="3"/>
  <c r="B931" i="3"/>
  <c r="D931" i="3"/>
  <c r="E931" i="3"/>
  <c r="F931" i="3"/>
  <c r="G931" i="3"/>
  <c r="H931" i="3"/>
  <c r="I931" i="3"/>
  <c r="A932" i="3"/>
  <c r="B932" i="3"/>
  <c r="D932" i="3"/>
  <c r="E932" i="3"/>
  <c r="F932" i="3"/>
  <c r="G932" i="3"/>
  <c r="H932" i="3"/>
  <c r="I932" i="3"/>
  <c r="A933" i="3"/>
  <c r="B933" i="3"/>
  <c r="D933" i="3"/>
  <c r="E933" i="3"/>
  <c r="F933" i="3"/>
  <c r="G933" i="3"/>
  <c r="H933" i="3"/>
  <c r="I933" i="3"/>
  <c r="A934" i="3"/>
  <c r="B934" i="3"/>
  <c r="D934" i="3"/>
  <c r="E934" i="3"/>
  <c r="F934" i="3"/>
  <c r="G934" i="3"/>
  <c r="H934" i="3"/>
  <c r="I934" i="3"/>
  <c r="A935" i="3"/>
  <c r="B935" i="3"/>
  <c r="D935" i="3"/>
  <c r="E935" i="3"/>
  <c r="F935" i="3"/>
  <c r="G935" i="3"/>
  <c r="H935" i="3"/>
  <c r="I935" i="3"/>
  <c r="A936" i="3"/>
  <c r="B936" i="3"/>
  <c r="D936" i="3"/>
  <c r="E936" i="3"/>
  <c r="F936" i="3"/>
  <c r="G936" i="3"/>
  <c r="H936" i="3"/>
  <c r="I936" i="3"/>
  <c r="A937" i="3"/>
  <c r="B937" i="3"/>
  <c r="D937" i="3"/>
  <c r="E937" i="3"/>
  <c r="F937" i="3"/>
  <c r="G937" i="3"/>
  <c r="H937" i="3"/>
  <c r="I937" i="3"/>
  <c r="A938" i="3"/>
  <c r="B938" i="3"/>
  <c r="D938" i="3"/>
  <c r="E938" i="3"/>
  <c r="F938" i="3"/>
  <c r="G938" i="3"/>
  <c r="H938" i="3"/>
  <c r="I938" i="3"/>
  <c r="A939" i="3"/>
  <c r="B939" i="3"/>
  <c r="D939" i="3"/>
  <c r="E939" i="3"/>
  <c r="F939" i="3"/>
  <c r="G939" i="3"/>
  <c r="H939" i="3"/>
  <c r="I939" i="3"/>
  <c r="A940" i="3"/>
  <c r="B940" i="3"/>
  <c r="D940" i="3"/>
  <c r="E940" i="3"/>
  <c r="F940" i="3"/>
  <c r="G940" i="3"/>
  <c r="H940" i="3"/>
  <c r="I940" i="3"/>
  <c r="A941" i="3"/>
  <c r="B941" i="3"/>
  <c r="D941" i="3"/>
  <c r="E941" i="3"/>
  <c r="F941" i="3"/>
  <c r="G941" i="3"/>
  <c r="H941" i="3"/>
  <c r="I941" i="3"/>
  <c r="A942" i="3"/>
  <c r="B942" i="3"/>
  <c r="D942" i="3"/>
  <c r="E942" i="3"/>
  <c r="F942" i="3"/>
  <c r="G942" i="3"/>
  <c r="H942" i="3"/>
  <c r="I942" i="3"/>
  <c r="A943" i="3"/>
  <c r="B943" i="3"/>
  <c r="D943" i="3"/>
  <c r="E943" i="3"/>
  <c r="F943" i="3"/>
  <c r="G943" i="3"/>
  <c r="H943" i="3"/>
  <c r="I943" i="3"/>
  <c r="A944" i="3"/>
  <c r="B944" i="3"/>
  <c r="D944" i="3"/>
  <c r="E944" i="3"/>
  <c r="F944" i="3"/>
  <c r="G944" i="3"/>
  <c r="H944" i="3"/>
  <c r="I944" i="3"/>
  <c r="A945" i="3"/>
  <c r="B945" i="3"/>
  <c r="D945" i="3"/>
  <c r="E945" i="3"/>
  <c r="F945" i="3"/>
  <c r="G945" i="3"/>
  <c r="H945" i="3"/>
  <c r="I945" i="3"/>
  <c r="A946" i="3"/>
  <c r="B946" i="3"/>
  <c r="D946" i="3"/>
  <c r="E946" i="3"/>
  <c r="F946" i="3"/>
  <c r="G946" i="3"/>
  <c r="H946" i="3"/>
  <c r="I946" i="3"/>
  <c r="A947" i="3"/>
  <c r="B947" i="3"/>
  <c r="D947" i="3"/>
  <c r="E947" i="3"/>
  <c r="F947" i="3"/>
  <c r="G947" i="3"/>
  <c r="H947" i="3"/>
  <c r="I947" i="3"/>
  <c r="A948" i="3"/>
  <c r="B948" i="3"/>
  <c r="D948" i="3"/>
  <c r="E948" i="3"/>
  <c r="F948" i="3"/>
  <c r="G948" i="3"/>
  <c r="H948" i="3"/>
  <c r="I948" i="3"/>
  <c r="A949" i="3"/>
  <c r="B949" i="3"/>
  <c r="D949" i="3"/>
  <c r="E949" i="3"/>
  <c r="F949" i="3"/>
  <c r="G949" i="3"/>
  <c r="H949" i="3"/>
  <c r="I949" i="3"/>
  <c r="A950" i="3"/>
  <c r="B950" i="3"/>
  <c r="D950" i="3"/>
  <c r="E950" i="3"/>
  <c r="F950" i="3"/>
  <c r="G950" i="3"/>
  <c r="H950" i="3"/>
  <c r="I950" i="3"/>
  <c r="A951" i="3"/>
  <c r="B951" i="3"/>
  <c r="D951" i="3"/>
  <c r="E951" i="3"/>
  <c r="F951" i="3"/>
  <c r="G951" i="3"/>
  <c r="H951" i="3"/>
  <c r="I951" i="3"/>
  <c r="A952" i="3"/>
  <c r="B952" i="3"/>
  <c r="D952" i="3"/>
  <c r="E952" i="3"/>
  <c r="F952" i="3"/>
  <c r="G952" i="3"/>
  <c r="H952" i="3"/>
  <c r="I952" i="3"/>
  <c r="A953" i="3"/>
  <c r="B953" i="3"/>
  <c r="D953" i="3"/>
  <c r="E953" i="3"/>
  <c r="F953" i="3"/>
  <c r="G953" i="3"/>
  <c r="H953" i="3"/>
  <c r="I953" i="3"/>
  <c r="A954" i="3"/>
  <c r="B954" i="3"/>
  <c r="D954" i="3"/>
  <c r="E954" i="3"/>
  <c r="F954" i="3"/>
  <c r="G954" i="3"/>
  <c r="H954" i="3"/>
  <c r="I954" i="3"/>
  <c r="A955" i="3"/>
  <c r="B955" i="3"/>
  <c r="D955" i="3"/>
  <c r="E955" i="3"/>
  <c r="F955" i="3"/>
  <c r="G955" i="3"/>
  <c r="H955" i="3"/>
  <c r="I955" i="3"/>
  <c r="A956" i="3"/>
  <c r="B956" i="3"/>
  <c r="D956" i="3"/>
  <c r="E956" i="3"/>
  <c r="F956" i="3"/>
  <c r="G956" i="3"/>
  <c r="H956" i="3"/>
  <c r="I956" i="3"/>
  <c r="A957" i="3"/>
  <c r="B957" i="3"/>
  <c r="D957" i="3"/>
  <c r="E957" i="3"/>
  <c r="F957" i="3"/>
  <c r="G957" i="3"/>
  <c r="H957" i="3"/>
  <c r="I957" i="3"/>
  <c r="A958" i="3"/>
  <c r="B958" i="3"/>
  <c r="D958" i="3"/>
  <c r="E958" i="3"/>
  <c r="F958" i="3"/>
  <c r="G958" i="3"/>
  <c r="H958" i="3"/>
  <c r="I958" i="3"/>
  <c r="A959" i="3"/>
  <c r="B959" i="3"/>
  <c r="D959" i="3"/>
  <c r="E959" i="3"/>
  <c r="F959" i="3"/>
  <c r="G959" i="3"/>
  <c r="H959" i="3"/>
  <c r="I959" i="3"/>
  <c r="A960" i="3"/>
  <c r="B960" i="3"/>
  <c r="D960" i="3"/>
  <c r="E960" i="3"/>
  <c r="F960" i="3"/>
  <c r="G960" i="3"/>
  <c r="H960" i="3"/>
  <c r="I960" i="3"/>
  <c r="A961" i="3"/>
  <c r="B961" i="3"/>
  <c r="D961" i="3"/>
  <c r="E961" i="3"/>
  <c r="F961" i="3"/>
  <c r="G961" i="3"/>
  <c r="H961" i="3"/>
  <c r="I961" i="3"/>
  <c r="A962" i="3"/>
  <c r="B962" i="3"/>
  <c r="D962" i="3"/>
  <c r="E962" i="3"/>
  <c r="F962" i="3"/>
  <c r="G962" i="3"/>
  <c r="H962" i="3"/>
  <c r="I962" i="3"/>
  <c r="A963" i="3"/>
  <c r="B963" i="3"/>
  <c r="D963" i="3"/>
  <c r="E963" i="3"/>
  <c r="F963" i="3"/>
  <c r="G963" i="3"/>
  <c r="H963" i="3"/>
  <c r="I963" i="3"/>
  <c r="A964" i="3"/>
  <c r="B964" i="3"/>
  <c r="D964" i="3"/>
  <c r="E964" i="3"/>
  <c r="F964" i="3"/>
  <c r="G964" i="3"/>
  <c r="H964" i="3"/>
  <c r="I964" i="3"/>
  <c r="A965" i="3"/>
  <c r="B965" i="3"/>
  <c r="D965" i="3"/>
  <c r="E965" i="3"/>
  <c r="F965" i="3"/>
  <c r="G965" i="3"/>
  <c r="H965" i="3"/>
  <c r="I965" i="3"/>
  <c r="A966" i="3"/>
  <c r="B966" i="3"/>
  <c r="D966" i="3"/>
  <c r="E966" i="3"/>
  <c r="F966" i="3"/>
  <c r="G966" i="3"/>
  <c r="H966" i="3"/>
  <c r="I966" i="3"/>
  <c r="A967" i="3"/>
  <c r="B967" i="3"/>
  <c r="D967" i="3"/>
  <c r="E967" i="3"/>
  <c r="F967" i="3"/>
  <c r="G967" i="3"/>
  <c r="H967" i="3"/>
  <c r="I967" i="3"/>
  <c r="A968" i="3"/>
  <c r="B968" i="3"/>
  <c r="D968" i="3"/>
  <c r="E968" i="3"/>
  <c r="F968" i="3"/>
  <c r="G968" i="3"/>
  <c r="H968" i="3"/>
  <c r="I968" i="3"/>
  <c r="A969" i="3"/>
  <c r="B969" i="3"/>
  <c r="D969" i="3"/>
  <c r="E969" i="3"/>
  <c r="F969" i="3"/>
  <c r="G969" i="3"/>
  <c r="H969" i="3"/>
  <c r="I969" i="3"/>
  <c r="A970" i="3"/>
  <c r="B970" i="3"/>
  <c r="D970" i="3"/>
  <c r="E970" i="3"/>
  <c r="F970" i="3"/>
  <c r="G970" i="3"/>
  <c r="H970" i="3"/>
  <c r="I970" i="3"/>
  <c r="A971" i="3"/>
  <c r="B971" i="3"/>
  <c r="D971" i="3"/>
  <c r="E971" i="3"/>
  <c r="F971" i="3"/>
  <c r="G971" i="3"/>
  <c r="H971" i="3"/>
  <c r="I971" i="3"/>
  <c r="A972" i="3"/>
  <c r="B972" i="3"/>
  <c r="D972" i="3"/>
  <c r="E972" i="3"/>
  <c r="F972" i="3"/>
  <c r="G972" i="3"/>
  <c r="H972" i="3"/>
  <c r="I972" i="3"/>
  <c r="A973" i="3"/>
  <c r="B973" i="3"/>
  <c r="D973" i="3"/>
  <c r="E973" i="3"/>
  <c r="F973" i="3"/>
  <c r="G973" i="3"/>
  <c r="H973" i="3"/>
  <c r="I973" i="3"/>
  <c r="A974" i="3"/>
  <c r="B974" i="3"/>
  <c r="D974" i="3"/>
  <c r="E974" i="3"/>
  <c r="F974" i="3"/>
  <c r="G974" i="3"/>
  <c r="H974" i="3"/>
  <c r="I974" i="3"/>
  <c r="A975" i="3"/>
  <c r="B975" i="3"/>
  <c r="D975" i="3"/>
  <c r="E975" i="3"/>
  <c r="F975" i="3"/>
  <c r="G975" i="3"/>
  <c r="H975" i="3"/>
  <c r="I975" i="3"/>
  <c r="A976" i="3"/>
  <c r="B976" i="3"/>
  <c r="D976" i="3"/>
  <c r="E976" i="3"/>
  <c r="F976" i="3"/>
  <c r="G976" i="3"/>
  <c r="H976" i="3"/>
  <c r="I976" i="3"/>
  <c r="A977" i="3"/>
  <c r="B977" i="3"/>
  <c r="D977" i="3"/>
  <c r="E977" i="3"/>
  <c r="F977" i="3"/>
  <c r="G977" i="3"/>
  <c r="H977" i="3"/>
  <c r="I977" i="3"/>
  <c r="A978" i="3"/>
  <c r="B978" i="3"/>
  <c r="D978" i="3"/>
  <c r="E978" i="3"/>
  <c r="F978" i="3"/>
  <c r="G978" i="3"/>
  <c r="H978" i="3"/>
  <c r="I978" i="3"/>
  <c r="A979" i="3"/>
  <c r="B979" i="3"/>
  <c r="D979" i="3"/>
  <c r="E979" i="3"/>
  <c r="F979" i="3"/>
  <c r="G979" i="3"/>
  <c r="H979" i="3"/>
  <c r="I979" i="3"/>
  <c r="A980" i="3"/>
  <c r="B980" i="3"/>
  <c r="D980" i="3"/>
  <c r="E980" i="3"/>
  <c r="F980" i="3"/>
  <c r="G980" i="3"/>
  <c r="H980" i="3"/>
  <c r="I980" i="3"/>
  <c r="A981" i="3"/>
  <c r="B981" i="3"/>
  <c r="D981" i="3"/>
  <c r="E981" i="3"/>
  <c r="F981" i="3"/>
  <c r="G981" i="3"/>
  <c r="H981" i="3"/>
  <c r="I981" i="3"/>
  <c r="A982" i="3"/>
  <c r="B982" i="3"/>
  <c r="D982" i="3"/>
  <c r="E982" i="3"/>
  <c r="F982" i="3"/>
  <c r="G982" i="3"/>
  <c r="H982" i="3"/>
  <c r="I982" i="3"/>
  <c r="A983" i="3"/>
  <c r="B983" i="3"/>
  <c r="D983" i="3"/>
  <c r="E983" i="3"/>
  <c r="F983" i="3"/>
  <c r="G983" i="3"/>
  <c r="H983" i="3"/>
  <c r="I983" i="3"/>
  <c r="A984" i="3"/>
  <c r="B984" i="3"/>
  <c r="D984" i="3"/>
  <c r="E984" i="3"/>
  <c r="F984" i="3"/>
  <c r="G984" i="3"/>
  <c r="H984" i="3"/>
  <c r="I984" i="3"/>
  <c r="A985" i="3"/>
  <c r="B985" i="3"/>
  <c r="D985" i="3"/>
  <c r="E985" i="3"/>
  <c r="F985" i="3"/>
  <c r="G985" i="3"/>
  <c r="H985" i="3"/>
  <c r="I985" i="3"/>
  <c r="A986" i="3"/>
  <c r="B986" i="3"/>
  <c r="D986" i="3"/>
  <c r="E986" i="3"/>
  <c r="F986" i="3"/>
  <c r="G986" i="3"/>
  <c r="H986" i="3"/>
  <c r="I986" i="3"/>
  <c r="A987" i="3"/>
  <c r="B987" i="3"/>
  <c r="D987" i="3"/>
  <c r="E987" i="3"/>
  <c r="F987" i="3"/>
  <c r="G987" i="3"/>
  <c r="H987" i="3"/>
  <c r="I987" i="3"/>
  <c r="A988" i="3"/>
  <c r="B988" i="3"/>
  <c r="D988" i="3"/>
  <c r="E988" i="3"/>
  <c r="F988" i="3"/>
  <c r="G988" i="3"/>
  <c r="H988" i="3"/>
  <c r="I988" i="3"/>
  <c r="A989" i="3"/>
  <c r="B989" i="3"/>
  <c r="D989" i="3"/>
  <c r="E989" i="3"/>
  <c r="F989" i="3"/>
  <c r="G989" i="3"/>
  <c r="H989" i="3"/>
  <c r="I989" i="3"/>
  <c r="A990" i="3"/>
  <c r="B990" i="3"/>
  <c r="D990" i="3"/>
  <c r="E990" i="3"/>
  <c r="F990" i="3"/>
  <c r="G990" i="3"/>
  <c r="H990" i="3"/>
  <c r="I990" i="3"/>
  <c r="A991" i="3"/>
  <c r="B991" i="3"/>
  <c r="D991" i="3"/>
  <c r="E991" i="3"/>
  <c r="F991" i="3"/>
  <c r="G991" i="3"/>
  <c r="H991" i="3"/>
  <c r="I991" i="3"/>
  <c r="A992" i="3"/>
  <c r="B992" i="3"/>
  <c r="D992" i="3"/>
  <c r="E992" i="3"/>
  <c r="F992" i="3"/>
  <c r="G992" i="3"/>
  <c r="H992" i="3"/>
  <c r="I992" i="3"/>
  <c r="A993" i="3"/>
  <c r="B993" i="3"/>
  <c r="D993" i="3"/>
  <c r="E993" i="3"/>
  <c r="F993" i="3"/>
  <c r="G993" i="3"/>
  <c r="H993" i="3"/>
  <c r="I993" i="3"/>
  <c r="A994" i="3"/>
  <c r="B994" i="3"/>
  <c r="D994" i="3"/>
  <c r="E994" i="3"/>
  <c r="F994" i="3"/>
  <c r="G994" i="3"/>
  <c r="H994" i="3"/>
  <c r="I994" i="3"/>
  <c r="A995" i="3"/>
  <c r="B995" i="3"/>
  <c r="D995" i="3"/>
  <c r="E995" i="3"/>
  <c r="F995" i="3"/>
  <c r="G995" i="3"/>
  <c r="H995" i="3"/>
  <c r="I995" i="3"/>
  <c r="A996" i="3"/>
  <c r="B996" i="3"/>
  <c r="D996" i="3"/>
  <c r="E996" i="3"/>
  <c r="F996" i="3"/>
  <c r="G996" i="3"/>
  <c r="H996" i="3"/>
  <c r="I996" i="3"/>
  <c r="A997" i="3"/>
  <c r="B997" i="3"/>
  <c r="D997" i="3"/>
  <c r="E997" i="3"/>
  <c r="F997" i="3"/>
  <c r="G997" i="3"/>
  <c r="H997" i="3"/>
  <c r="I997" i="3"/>
  <c r="A998" i="3"/>
  <c r="B998" i="3"/>
  <c r="D998" i="3"/>
  <c r="E998" i="3"/>
  <c r="F998" i="3"/>
  <c r="G998" i="3"/>
  <c r="H998" i="3"/>
  <c r="I998" i="3"/>
  <c r="A999" i="3"/>
  <c r="B999" i="3"/>
  <c r="D999" i="3"/>
  <c r="E999" i="3"/>
  <c r="F999" i="3"/>
  <c r="G999" i="3"/>
  <c r="H999" i="3"/>
  <c r="I999" i="3"/>
  <c r="A1000" i="3"/>
  <c r="B1000" i="3"/>
  <c r="D1000" i="3"/>
  <c r="E1000" i="3"/>
  <c r="F1000" i="3"/>
  <c r="G1000" i="3"/>
  <c r="H1000" i="3"/>
  <c r="I1000" i="3"/>
</calcChain>
</file>

<file path=xl/sharedStrings.xml><?xml version="1.0" encoding="utf-8"?>
<sst xmlns="http://schemas.openxmlformats.org/spreadsheetml/2006/main" count="107" uniqueCount="62">
  <si>
    <t>Opp. Cat. A Def.</t>
  </si>
  <si>
    <t>Aac. Cat. A Def.</t>
  </si>
  <si>
    <t>Aac. Cat. B Def.</t>
  </si>
  <si>
    <t>Aac. Cat. C Def.</t>
  </si>
  <si>
    <t>Aac. Cat. D Def.</t>
  </si>
  <si>
    <t>Opp. Cat. B Def.</t>
  </si>
  <si>
    <t>Opp. Cat. C Def.</t>
  </si>
  <si>
    <t>Opp. Cat. D Def.</t>
  </si>
  <si>
    <t>Tm.</t>
  </si>
  <si>
    <t>Scouter Init.</t>
  </si>
  <si>
    <t>Match Nr.</t>
  </si>
  <si>
    <t>AUTO Compl.</t>
  </si>
  <si>
    <t>AUTO Att.</t>
  </si>
  <si>
    <t>AUTO Def.</t>
  </si>
  <si>
    <t>Successful Lo. G. S</t>
  </si>
  <si>
    <t>Missed Lo. G. S.</t>
  </si>
  <si>
    <t>Successful Hi. G. S.</t>
  </si>
  <si>
    <t>Missed Hi. G. S.</t>
  </si>
  <si>
    <t>Cat. A Successful Xings.</t>
  </si>
  <si>
    <t>Cat. B Successful Xings.</t>
  </si>
  <si>
    <t>Cat. C Successful Xings.</t>
  </si>
  <si>
    <t>Cat. D Successful Xings.</t>
  </si>
  <si>
    <t>Cat. A Att.</t>
  </si>
  <si>
    <t>Cat. A Asst.</t>
  </si>
  <si>
    <t>Cat. B Att.</t>
  </si>
  <si>
    <t>Cat. B Asst.</t>
  </si>
  <si>
    <t>Cat. C Att.</t>
  </si>
  <si>
    <t>Cat. C Asst.</t>
  </si>
  <si>
    <t>E. Game Compl.</t>
  </si>
  <si>
    <t>E. Game Att.</t>
  </si>
  <si>
    <t>Lo. B. Successful Xings.</t>
  </si>
  <si>
    <t>Lo. B. Att.</t>
  </si>
  <si>
    <t>Lo. B. Asst.</t>
  </si>
  <si>
    <t>Lo. G S. R.</t>
  </si>
  <si>
    <t>Hi. G. S. R.</t>
  </si>
  <si>
    <t>Rnd.</t>
  </si>
  <si>
    <t>Shooting S. R.</t>
  </si>
  <si>
    <t>Pt. Contrib.</t>
  </si>
  <si>
    <t>AUTO Pts</t>
  </si>
  <si>
    <t>Shooting Pts.</t>
  </si>
  <si>
    <t>Def. Points</t>
  </si>
  <si>
    <t>E. Game Pts.</t>
  </si>
  <si>
    <t>Cat. A Ti.</t>
  </si>
  <si>
    <t>Cat. B Ti.</t>
  </si>
  <si>
    <t>Cat. C Ti.</t>
  </si>
  <si>
    <t>Cat. D Asst.</t>
  </si>
  <si>
    <t>Cat. D Ti.</t>
  </si>
  <si>
    <t>Cat. D Att.</t>
  </si>
  <si>
    <t>Lo. B. Ti.</t>
  </si>
  <si>
    <t>Portcullis</t>
  </si>
  <si>
    <t>Moat</t>
  </si>
  <si>
    <t>Drawbridge</t>
  </si>
  <si>
    <t>Rock Wall</t>
  </si>
  <si>
    <t>Cheval de Frise</t>
  </si>
  <si>
    <t>Ramparts</t>
  </si>
  <si>
    <t>Sally Port</t>
  </si>
  <si>
    <t>Rough Terrain</t>
  </si>
  <si>
    <t xml:space="preserve"> </t>
  </si>
  <si>
    <t>Defenses</t>
  </si>
  <si>
    <t>Lo. B.</t>
  </si>
  <si>
    <t>AVERAGE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</si>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</sst>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Border="1"/>
    <xf numFmtId="0" fontId="0" fillId="0" borderId="0" xfId="0" applyFill="1" applyBorder="1"/>
    <xf numFmtId="9" fontId="0" fillId="0" borderId="0" xfId="1" applyFont="1"/>
    <xf numFmtId="9" fontId="0" fillId="0" borderId="0" xfId="0" applyNumberFormat="1"/>
    <xf numFmtId="0" fontId="1" fillId="0" borderId="0" xfId="0" applyFont="1" applyFill="1" applyBorder="1" applyProtection="1"/>
    <xf numFmtId="0" fontId="1" fillId="0" borderId="1" xfId="0" applyFont="1" applyBorder="1" applyProtection="1"/>
    <xf numFmtId="0" fontId="1" fillId="0" borderId="0" xfId="0" applyFont="1" applyBorder="1" applyProtection="1"/>
    <xf numFmtId="49" fontId="0" fillId="0" borderId="0" xfId="0" applyNumberFormat="1" applyFill="1" applyBorder="1"/>
    <xf numFmtId="49" fontId="1" fillId="0" borderId="0" xfId="0" applyNumberFormat="1" applyFont="1" applyFill="1" applyBorder="1" applyProtection="1"/>
    <xf numFmtId="49" fontId="1" fillId="0" borderId="0" xfId="0" applyNumberFormat="1" applyFont="1" applyBorder="1" applyProtection="1"/>
    <xf numFmtId="0" fontId="0" fillId="0" borderId="0" xfId="0" applyNumberFormat="1"/>
    <xf numFmtId="0" fontId="1" fillId="0" borderId="0" xfId="0" applyFont="1"/>
    <xf numFmtId="0" fontId="0" fillId="0" borderId="0" xfId="1" applyNumberFormat="1" applyFont="1"/>
  </cellXfs>
  <cellStyles count="2">
    <cellStyle name="Normal" xfId="0" builtinId="0"/>
    <cellStyle name="Percent" xfId="1" builtinId="5"/>
  </cellStyles>
  <dxfs count="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/>
        <right/>
        <top/>
        <bottom/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2" defaultTableStyle="TableStyleMedium2" defaultPivotStyle="PivotStyleLight16">
    <tableStyle name="Table Style 1" pivot="0" count="0"/>
    <tableStyle name="Table Style 2" pivot="0" count="0"/>
  </tableStyles>
  <colors>
    <mruColors>
      <color rgb="FF66CCFF"/>
      <color rgb="FFFFCC00"/>
      <color rgb="FF33CCCC"/>
      <color rgb="FF3399FF"/>
      <color rgb="FF00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7</xdr:col>
      <xdr:colOff>587375</xdr:colOff>
      <xdr:row>11</xdr:row>
      <xdr:rowOff>165100</xdr:rowOff>
    </xdr:to>
    <xdr:sp macro="[0]!FlowchartPunchedTape1_Click" textlink="">
      <xdr:nvSpPr>
        <xdr:cNvPr id="2" name="Flowchart: Punched Tape 1"/>
        <xdr:cNvSpPr/>
      </xdr:nvSpPr>
      <xdr:spPr>
        <a:xfrm>
          <a:off x="0" y="50800"/>
          <a:ext cx="5299075" cy="22098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Click</a:t>
          </a:r>
          <a:r>
            <a:rPr lang="en-GB" sz="3600" baseline="0"/>
            <a:t> here to enter scouting data</a:t>
          </a:r>
          <a:endParaRPr lang="en-GB" sz="3600"/>
        </a:p>
      </xdr:txBody>
    </xdr:sp>
    <xdr:clientData/>
  </xdr:twoCellAnchor>
</xdr:wsDr>
</file>

<file path=xl/tables/table1.xml><?xml version="1.0" encoding="utf-8"?>
<table xmlns="http://schemas.openxmlformats.org/spreadsheetml/2006/main" id="1" name="DataTable" displayName="DataTable" ref="A1:AN1000" totalsRowShown="0" headerRowDxfId="66" tableBorderDxfId="65">
  <autoFilter ref="A1:AN1000"/>
  <sortState ref="A2:AG1011">
    <sortCondition ref="A1:A1011"/>
  </sortState>
  <tableColumns count="40">
    <tableColumn id="1" name="Tm." dataDxfId="64"/>
    <tableColumn id="2" name="Scouter Init." dataDxfId="63"/>
    <tableColumn id="3" name="Match Nr." dataDxfId="62"/>
    <tableColumn id="4" name="AUTO Compl." dataDxfId="61"/>
    <tableColumn id="5" name="AUTO Att." dataDxfId="60"/>
    <tableColumn id="6" name="AUTO Def." dataDxfId="59"/>
    <tableColumn id="7" name="Successful Lo. G. S" dataDxfId="58"/>
    <tableColumn id="8" name="Missed Lo. G. S." dataDxfId="57"/>
    <tableColumn id="9" name="Successful Hi. G. S." dataDxfId="56"/>
    <tableColumn id="10" name="Missed Hi. G. S." dataDxfId="55"/>
    <tableColumn id="11" name="Aac. Cat. A Def." dataDxfId="54"/>
    <tableColumn id="12" name="Aac. Cat. B Def." dataDxfId="53"/>
    <tableColumn id="13" name="Aac. Cat. C Def." dataDxfId="52"/>
    <tableColumn id="14" name="Aac. Cat. D Def." dataDxfId="51"/>
    <tableColumn id="15" name="Opp. Cat. A Def." dataDxfId="50"/>
    <tableColumn id="20" name="Cat. A Successful Xings." dataDxfId="49"/>
    <tableColumn id="24" name="Cat. A Att." dataDxfId="48"/>
    <tableColumn id="25" name="Cat. A Asst." dataDxfId="47"/>
    <tableColumn id="34" name="Cat. A Ti." dataDxfId="46"/>
    <tableColumn id="16" name="Opp. Cat. B Def." dataDxfId="45"/>
    <tableColumn id="21" name="Cat. B Successful Xings." dataDxfId="44"/>
    <tableColumn id="27" name="Cat. B Att." dataDxfId="43"/>
    <tableColumn id="26" name="Cat. B Asst." dataDxfId="42"/>
    <tableColumn id="35" name="Cat. B Ti." dataDxfId="41"/>
    <tableColumn id="17" name="Opp. Cat. C Def." dataDxfId="40"/>
    <tableColumn id="22" name="Cat. C Successful Xings." dataDxfId="39"/>
    <tableColumn id="28" name="Cat. C Att." dataDxfId="38"/>
    <tableColumn id="29" name="Cat. C Asst." dataDxfId="37"/>
    <tableColumn id="36" name="Cat. C Ti." dataDxfId="36"/>
    <tableColumn id="18" name="Opp. Cat. D Def." dataDxfId="35"/>
    <tableColumn id="23" name="Cat. D Successful Xings." dataDxfId="34"/>
    <tableColumn id="37" name="Cat. D Att." dataDxfId="33"/>
    <tableColumn id="38" name="Cat. D Asst." dataDxfId="32"/>
    <tableColumn id="39" name="Cat. D Ti." dataDxfId="31"/>
    <tableColumn id="33" name="Lo. B. Successful Xings." dataDxfId="30"/>
    <tableColumn id="40" name="Lo. B. Att." dataDxfId="29"/>
    <tableColumn id="41" name="Lo. B. Asst." dataDxfId="28"/>
    <tableColumn id="42" name="Lo. B. Ti." dataDxfId="27"/>
    <tableColumn id="19" name="E. Game Compl." dataDxfId="26"/>
    <tableColumn id="30" name="E. Game Att." dataDxfId="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ProcessedData" displayName="ProcessedData" ref="A1:Z1000" totalsRowShown="0">
  <autoFilter ref="A1:Z1000"/>
  <tableColumns count="26">
    <tableColumn id="1" name="Tm." dataDxfId="24">
      <calculatedColumnFormula>IF(DataTable[[#This Row],[Tm.]]="","N/A",DataTable[[#This Row],[Tm.]])</calculatedColumnFormula>
    </tableColumn>
    <tableColumn id="2" name="Rnd." dataDxfId="23">
      <calculatedColumnFormula>IF(DataTable[[#This Row],[Match Nr.]]="","N/A",DataTable[[#This Row],[Match Nr.]])</calculatedColumnFormula>
    </tableColumn>
    <tableColumn id="3" name="Lo. G S. R." dataDxfId="22">
      <calculatedColumnFormula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calculatedColumnFormula>
    </tableColumn>
    <tableColumn id="11" name="Hi. G. S. R." dataDxfId="21">
      <calculatedColumnFormula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calculatedColumnFormula>
    </tableColumn>
    <tableColumn id="12" name="Shooting S. R." dataDxfId="20">
      <calculatedColumnFormula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calculatedColumnFormula>
    </tableColumn>
    <tableColumn id="14" name="AUTO Pts" dataDxfId="19">
      <calculatedColumnFormula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calculatedColumnFormula>
    </tableColumn>
    <tableColumn id="4" name="Shooting Pts." dataDxfId="18">
      <calculatedColumnFormula>IF(AND(DataTable[[#This Row],[Successful Lo. G. S]]="",DataTable[[#This Row],[Successful Hi. G. S.]]=""),"N/A",DataTable[[#This Row],[Successful Lo. G. S]]*2+DataTable[[#This Row],[Successful Hi. G. S.]]*10)</calculatedColumnFormula>
    </tableColumn>
    <tableColumn id="5" name="Def. Points" dataDxfId="17">
      <calculatedColumnFormula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calculatedColumnFormula>
    </tableColumn>
    <tableColumn id="6" name="E. Game Pts." dataDxfId="16">
      <calculatedColumnFormula>IF(DataTable[[#This Row],[E. Game Compl.]]="","N/A",IF(DataTable[[#This Row],[E. Game Compl.]]="Nothing",0,IF(DataTable[[#This Row],[E. Game Compl.]]="Challenging the Tower",5,IF(DataTable[[#This Row],[E. Game Compl.]]="Scaling the Tower",15,))))</calculatedColumnFormula>
    </tableColumn>
    <tableColumn id="13" name="Pt. Contrib." dataDxfId="15">
      <calculatedColumnFormula>IF(AND(ProcessedData[[#This Row],[AUTO Pts]]="N/A",ProcessedData[[#This Row],[Shooting Pts.]]="N/A",ProcessedData[[#This Row],[Def. Points]]="N/A",ProcessedData[[#This Row],[E. Game Pts.]]="N/A"),"N/A",SUM(ProcessedData[[#This Row],[AUTO Pts]:[E. Game Pts.]]))</calculatedColumnFormula>
    </tableColumn>
    <tableColumn id="20" name=" "/>
    <tableColumn id="21" name="Cat. A Ti." dataDxfId="14">
      <calculatedColumnFormula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calculatedColumnFormula>
    </tableColumn>
    <tableColumn id="8" name="Portcullis" dataDxfId="13">
      <calculatedColumnFormula>IF(OR(DataTable[[#This Row],[Opp. Cat. A Def.]]="",DataTable[[#This Row],[Opp. Cat. A Def.]]="Cheval de Frise"),"N/A",SUM(ProcessedData[[#This Row],[Cat. A Ti.]],DataTable[[#This Row],[Cat. A Successful Xings.]]+1))</calculatedColumnFormula>
    </tableColumn>
    <tableColumn id="9" name="Cheval de Frise" dataDxfId="12">
      <calculatedColumnFormula>IF(OR(DataTable[[#This Row],[Opp. Cat. A Def.]]="",DataTable[[#This Row],[Opp. Cat. A Def.]]="Portcullis"),"N/A",SUM(ProcessedData[[#This Row],[Cat. A Ti.]],DataTable[[#This Row],[Cat. A Successful Xings.]]+1))</calculatedColumnFormula>
    </tableColumn>
    <tableColumn id="22" name="Cat. B Ti." dataDxfId="11">
      <calculatedColumnFormula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calculatedColumnFormula>
    </tableColumn>
    <tableColumn id="10" name="Moat" dataDxfId="10">
      <calculatedColumnFormula>IF(OR(DataTable[[#This Row],[Opp. Cat. A Def.]]="",DataTable[[#This Row],[Opp. Cat. A Def.]]="Ramparts"),"N/A",SUM(ProcessedData[[#This Row],[Cat. B Ti.]],DataTable[[#This Row],[Cat. B Successful Xings.]]+1))</calculatedColumnFormula>
    </tableColumn>
    <tableColumn id="15" name="Ramparts" dataDxfId="9">
      <calculatedColumnFormula>IF(OR(DataTable[[#This Row],[Opp. Cat. B Def.]]="",DataTable[[#This Row],[Opp. Cat. B Def.]]="Moat"),"N/A",SUM(ProcessedData[[#This Row],[Cat. B Ti.]],DataTable[[#This Row],[Cat. B Successful Xings.]]+1))</calculatedColumnFormula>
    </tableColumn>
    <tableColumn id="23" name="Cat. C Ti." dataDxfId="8">
      <calculatedColumnFormula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calculatedColumnFormula>
    </tableColumn>
    <tableColumn id="16" name="Drawbridge" dataDxfId="7">
      <calculatedColumnFormula>IF(OR(DataTable[[#This Row],[Opp. Cat. C Def.]]="",DataTable[[#This Row],[Opp. Cat. C Def.]]="Sally Port"),"N/A",SUM(ProcessedData[[#This Row],[Cat. C Ti.]],DataTable[[#This Row],[Cat. C Successful Xings.]]+1))</calculatedColumnFormula>
    </tableColumn>
    <tableColumn id="17" name="Sally Port" dataDxfId="6">
      <calculatedColumnFormula>IF(OR(DataTable[[#This Row],[Opp. Cat. C Def.]]="",DataTable[[#This Row],[Opp. Cat. C Def.]]="Drawbridge"),"N/A",SUM(ProcessedData[[#This Row],[Cat. C Ti.]],DataTable[[#This Row],[Cat. C Successful Xings.]]+1))</calculatedColumnFormula>
    </tableColumn>
    <tableColumn id="25" name="Cat. D Ti." dataDxfId="5">
      <calculatedColumnFormula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calculatedColumnFormula>
    </tableColumn>
    <tableColumn id="18" name="Rock Wall" dataDxfId="4">
      <calculatedColumnFormula>IF(OR(DataTable[[#This Row],[Opp. Cat. D Def.]]="",DataTable[[#This Row],[Opp. Cat. D Def.]]="Rough Terrain"),"N/A",SUM(ProcessedData[[#This Row],[Cat. D Ti.]],DataTable[[#This Row],[Cat. D Successful Xings.]]+1))</calculatedColumnFormula>
    </tableColumn>
    <tableColumn id="19" name="Rough Terrain" dataDxfId="3">
      <calculatedColumnFormula>IF(OR(DataTable[[#This Row],[Opp. Cat. D Def.]]="",DataTable[[#This Row],[Opp. Cat. D Def.]]="Rock Wall"),"N/A",SUM(ProcessedData[[#This Row],[Cat. D Ti.]],DataTable[[#This Row],[Cat. D Successful Xings.]]+1))</calculatedColumnFormula>
    </tableColumn>
    <tableColumn id="26" name="Lo. B. Ti." dataDxfId="2">
      <calculatedColumnFormula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calculatedColumnFormula>
    </tableColumn>
    <tableColumn id="28" name="Lo. B." dataDxfId="1">
      <calculatedColumnFormula>IF(DataTable[[#This Row],[Lo. B. Successful Xings.]]="","N/A",SUM(ProcessedData[[#This Row],[Lo. B. Ti.]],DataTable[[#This Row],[Lo. B. Successful Xings.]]+1))</calculatedColumnFormula>
    </tableColumn>
    <tableColumn id="7" name="Defenses" dataDxfId="0">
      <calculatedColumnFormula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H11" sqref="H11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N1000"/>
  <sheetViews>
    <sheetView tabSelected="1" workbookViewId="0">
      <pane ySplit="1" topLeftCell="A2" activePane="bottomLeft" state="frozen"/>
      <selection pane="bottomLeft" activeCell="G3" sqref="A3:XFD3"/>
    </sheetView>
  </sheetViews>
  <sheetFormatPr baseColWidth="10" defaultColWidth="8.83203125" defaultRowHeight="15" x14ac:dyDescent="0.2"/>
  <cols>
    <col min="1" max="1" width="6.6640625" style="2" bestFit="1" customWidth="1"/>
    <col min="2" max="2" width="13" style="2" bestFit="1" customWidth="1"/>
    <col min="3" max="3" width="11.33203125" style="2" bestFit="1" customWidth="1"/>
    <col min="4" max="4" width="14" style="2" bestFit="1" customWidth="1"/>
    <col min="5" max="5" width="11.5" style="2" bestFit="1" customWidth="1"/>
    <col min="6" max="6" width="11.83203125" style="2" bestFit="1" customWidth="1"/>
    <col min="7" max="7" width="17.5" style="2" bestFit="1" customWidth="1"/>
    <col min="8" max="8" width="15.6640625" style="2" bestFit="1" customWidth="1"/>
    <col min="9" max="9" width="17.83203125" style="2" bestFit="1" customWidth="1"/>
    <col min="10" max="12" width="15.5" style="2" bestFit="1" customWidth="1"/>
    <col min="13" max="13" width="15.33203125" style="2" bestFit="1" customWidth="1"/>
    <col min="14" max="14" width="15.5" style="2" bestFit="1" customWidth="1"/>
    <col min="15" max="15" width="16" style="2" bestFit="1" customWidth="1"/>
    <col min="16" max="16" width="21.5" style="2" bestFit="1" customWidth="1"/>
    <col min="17" max="17" width="11.5" style="2" bestFit="1" customWidth="1"/>
    <col min="18" max="18" width="12.33203125" style="2" bestFit="1" customWidth="1"/>
    <col min="19" max="19" width="10.5" style="8" bestFit="1" customWidth="1"/>
    <col min="20" max="20" width="15.83203125" style="2" bestFit="1" customWidth="1"/>
    <col min="21" max="21" width="21.33203125" style="2" bestFit="1" customWidth="1"/>
    <col min="22" max="22" width="11.5" style="2" bestFit="1" customWidth="1"/>
    <col min="23" max="23" width="12.33203125" style="2" bestFit="1" customWidth="1"/>
    <col min="24" max="24" width="10.5" style="8" bestFit="1" customWidth="1"/>
    <col min="25" max="25" width="15.83203125" style="2" bestFit="1" customWidth="1"/>
    <col min="26" max="26" width="21.33203125" style="2" bestFit="1" customWidth="1"/>
    <col min="27" max="27" width="11.5" style="2" bestFit="1" customWidth="1"/>
    <col min="28" max="28" width="12.1640625" style="2" bestFit="1" customWidth="1"/>
    <col min="29" max="29" width="10.33203125" style="8" bestFit="1" customWidth="1"/>
    <col min="30" max="30" width="16" style="2" bestFit="1" customWidth="1"/>
    <col min="31" max="31" width="21.5" style="2" bestFit="1" customWidth="1"/>
    <col min="32" max="32" width="11.6640625" style="2" bestFit="1" customWidth="1"/>
    <col min="33" max="33" width="12.5" style="2" bestFit="1" customWidth="1"/>
    <col min="34" max="34" width="10.5" style="2" bestFit="1" customWidth="1"/>
    <col min="35" max="35" width="21" style="2" bestFit="1" customWidth="1"/>
    <col min="36" max="36" width="12.1640625" style="2" bestFit="1" customWidth="1"/>
    <col min="37" max="37" width="13" style="2" bestFit="1" customWidth="1"/>
    <col min="38" max="38" width="10.1640625" style="8" bestFit="1" customWidth="1"/>
    <col min="39" max="39" width="15.83203125" style="2" bestFit="1" customWidth="1"/>
    <col min="40" max="40" width="13.33203125" style="1" bestFit="1" customWidth="1"/>
    <col min="41" max="16384" width="8.83203125" style="1"/>
  </cols>
  <sheetData>
    <row r="1" spans="1:40" s="7" customFormat="1" x14ac:dyDescent="0.2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</v>
      </c>
      <c r="L1" s="5" t="s">
        <v>2</v>
      </c>
      <c r="M1" s="5" t="s">
        <v>3</v>
      </c>
      <c r="N1" s="5" t="s">
        <v>4</v>
      </c>
      <c r="O1" s="5" t="s">
        <v>0</v>
      </c>
      <c r="P1" s="5" t="s">
        <v>18</v>
      </c>
      <c r="Q1" s="5" t="s">
        <v>22</v>
      </c>
      <c r="R1" s="5" t="s">
        <v>23</v>
      </c>
      <c r="S1" s="9" t="s">
        <v>42</v>
      </c>
      <c r="T1" s="5" t="s">
        <v>5</v>
      </c>
      <c r="U1" s="5" t="s">
        <v>19</v>
      </c>
      <c r="V1" s="5" t="s">
        <v>24</v>
      </c>
      <c r="W1" s="5" t="s">
        <v>25</v>
      </c>
      <c r="X1" s="9" t="s">
        <v>43</v>
      </c>
      <c r="Y1" s="5" t="s">
        <v>6</v>
      </c>
      <c r="Z1" s="5" t="s">
        <v>20</v>
      </c>
      <c r="AA1" s="5" t="s">
        <v>26</v>
      </c>
      <c r="AB1" s="5" t="s">
        <v>27</v>
      </c>
      <c r="AC1" s="9" t="s">
        <v>44</v>
      </c>
      <c r="AD1" s="5" t="s">
        <v>7</v>
      </c>
      <c r="AE1" s="5" t="s">
        <v>21</v>
      </c>
      <c r="AF1" s="5" t="s">
        <v>47</v>
      </c>
      <c r="AG1" s="5" t="s">
        <v>45</v>
      </c>
      <c r="AH1" s="5" t="s">
        <v>46</v>
      </c>
      <c r="AI1" s="6" t="s">
        <v>30</v>
      </c>
      <c r="AJ1" s="7" t="s">
        <v>31</v>
      </c>
      <c r="AK1" s="7" t="s">
        <v>32</v>
      </c>
      <c r="AL1" s="10" t="s">
        <v>48</v>
      </c>
      <c r="AM1" s="5" t="s">
        <v>28</v>
      </c>
      <c r="AN1" s="6" t="s">
        <v>29</v>
      </c>
    </row>
    <row r="2" spans="1:40" x14ac:dyDescent="0.2">
      <c r="A2" s="2" t="s">
        <v>61</v>
      </c>
      <c r="B2" s="2" t="s">
        <v>61</v>
      </c>
      <c r="C2" s="2" t="s">
        <v>61</v>
      </c>
      <c r="D2" s="2" t="s">
        <v>61</v>
      </c>
      <c r="E2" s="2" t="s">
        <v>61</v>
      </c>
      <c r="F2" s="2" t="s">
        <v>61</v>
      </c>
      <c r="G2" s="2" t="s">
        <v>61</v>
      </c>
      <c r="H2" s="2" t="s">
        <v>61</v>
      </c>
      <c r="I2" s="2" t="s">
        <v>61</v>
      </c>
      <c r="J2" s="2" t="s">
        <v>61</v>
      </c>
      <c r="K2" s="2" t="s">
        <v>61</v>
      </c>
      <c r="L2" s="2" t="s">
        <v>61</v>
      </c>
      <c r="M2" s="2" t="s">
        <v>61</v>
      </c>
      <c r="N2" s="2" t="s">
        <v>61</v>
      </c>
      <c r="O2" s="2" t="s">
        <v>61</v>
      </c>
      <c r="P2" s="2" t="s">
        <v>61</v>
      </c>
      <c r="Q2" s="2" t="s">
        <v>61</v>
      </c>
      <c r="R2" s="2" t="s">
        <v>61</v>
      </c>
      <c r="S2" s="2" t="s">
        <v>61</v>
      </c>
      <c r="T2" s="2" t="s">
        <v>61</v>
      </c>
      <c r="U2" s="2" t="s">
        <v>61</v>
      </c>
      <c r="V2" s="2" t="s">
        <v>61</v>
      </c>
      <c r="W2" s="2" t="s">
        <v>61</v>
      </c>
      <c r="X2" s="2" t="s">
        <v>61</v>
      </c>
      <c r="Y2" s="2" t="s">
        <v>61</v>
      </c>
      <c r="Z2" s="2" t="s">
        <v>61</v>
      </c>
      <c r="AA2" s="2" t="s">
        <v>61</v>
      </c>
      <c r="AB2" s="2" t="s">
        <v>61</v>
      </c>
      <c r="AC2" s="2" t="s">
        <v>61</v>
      </c>
      <c r="AD2" s="2" t="s">
        <v>61</v>
      </c>
      <c r="AE2" s="2" t="s">
        <v>61</v>
      </c>
      <c r="AF2" s="2" t="s">
        <v>61</v>
      </c>
      <c r="AG2" s="2" t="s">
        <v>61</v>
      </c>
      <c r="AH2" s="2" t="s">
        <v>61</v>
      </c>
      <c r="AI2" s="2" t="s">
        <v>61</v>
      </c>
      <c r="AJ2" s="2" t="s">
        <v>61</v>
      </c>
      <c r="AK2" s="2" t="s">
        <v>61</v>
      </c>
      <c r="AL2" s="2" t="s">
        <v>61</v>
      </c>
      <c r="AM2" s="2" t="s">
        <v>61</v>
      </c>
      <c r="AN2" s="2" t="s">
        <v>61</v>
      </c>
    </row>
    <row r="3" spans="1:40" x14ac:dyDescent="0.2">
      <c r="AN3" s="2"/>
    </row>
    <row r="4" spans="1:40" x14ac:dyDescent="0.2">
      <c r="AN4" s="2"/>
    </row>
    <row r="5" spans="1:40" x14ac:dyDescent="0.2">
      <c r="AN5" s="2"/>
    </row>
    <row r="6" spans="1:40" x14ac:dyDescent="0.2">
      <c r="AN6" s="2"/>
    </row>
    <row r="7" spans="1:40" x14ac:dyDescent="0.2">
      <c r="AN7" s="2"/>
    </row>
    <row r="8" spans="1:40" x14ac:dyDescent="0.2">
      <c r="AN8" s="2"/>
    </row>
    <row r="9" spans="1:40" x14ac:dyDescent="0.2">
      <c r="AN9" s="2"/>
    </row>
    <row r="10" spans="1:40" x14ac:dyDescent="0.2">
      <c r="AN10" s="2"/>
    </row>
    <row r="11" spans="1:40" x14ac:dyDescent="0.2">
      <c r="AN11" s="2"/>
    </row>
    <row r="12" spans="1:40" x14ac:dyDescent="0.2">
      <c r="AN12" s="2"/>
    </row>
    <row r="13" spans="1:40" x14ac:dyDescent="0.2">
      <c r="AN13" s="2"/>
    </row>
    <row r="14" spans="1:40" x14ac:dyDescent="0.2">
      <c r="AN14" s="2"/>
    </row>
    <row r="15" spans="1:40" x14ac:dyDescent="0.2">
      <c r="AN15" s="2"/>
    </row>
    <row r="16" spans="1:40" x14ac:dyDescent="0.2">
      <c r="AN16" s="2"/>
    </row>
    <row r="17" spans="40:40" x14ac:dyDescent="0.2">
      <c r="AN17" s="2"/>
    </row>
    <row r="18" spans="40:40" x14ac:dyDescent="0.2">
      <c r="AN18" s="2"/>
    </row>
    <row r="19" spans="40:40" x14ac:dyDescent="0.2">
      <c r="AN19" s="2"/>
    </row>
    <row r="20" spans="40:40" x14ac:dyDescent="0.2">
      <c r="AN20" s="2"/>
    </row>
    <row r="21" spans="40:40" x14ac:dyDescent="0.2">
      <c r="AN21" s="2"/>
    </row>
    <row r="22" spans="40:40" x14ac:dyDescent="0.2">
      <c r="AN22" s="2"/>
    </row>
    <row r="23" spans="40:40" x14ac:dyDescent="0.2">
      <c r="AN23" s="2"/>
    </row>
    <row r="24" spans="40:40" x14ac:dyDescent="0.2">
      <c r="AN24" s="2"/>
    </row>
    <row r="25" spans="40:40" x14ac:dyDescent="0.2">
      <c r="AN25" s="2"/>
    </row>
    <row r="26" spans="40:40" x14ac:dyDescent="0.2">
      <c r="AN26" s="2"/>
    </row>
    <row r="27" spans="40:40" x14ac:dyDescent="0.2">
      <c r="AN27" s="2"/>
    </row>
    <row r="28" spans="40:40" x14ac:dyDescent="0.2">
      <c r="AN28" s="2"/>
    </row>
    <row r="29" spans="40:40" x14ac:dyDescent="0.2">
      <c r="AN29" s="2"/>
    </row>
    <row r="30" spans="40:40" x14ac:dyDescent="0.2">
      <c r="AN30" s="2"/>
    </row>
    <row r="31" spans="40:40" x14ac:dyDescent="0.2">
      <c r="AN31" s="2"/>
    </row>
    <row r="32" spans="40:40" x14ac:dyDescent="0.2">
      <c r="AN32" s="2"/>
    </row>
    <row r="33" spans="40:40" x14ac:dyDescent="0.2">
      <c r="AN33" s="2"/>
    </row>
    <row r="34" spans="40:40" x14ac:dyDescent="0.2">
      <c r="AN34" s="2"/>
    </row>
    <row r="35" spans="40:40" x14ac:dyDescent="0.2">
      <c r="AN35" s="2"/>
    </row>
    <row r="36" spans="40:40" x14ac:dyDescent="0.2">
      <c r="AN36" s="2"/>
    </row>
    <row r="37" spans="40:40" x14ac:dyDescent="0.2">
      <c r="AN37" s="2"/>
    </row>
    <row r="38" spans="40:40" x14ac:dyDescent="0.2">
      <c r="AN38" s="2"/>
    </row>
    <row r="39" spans="40:40" x14ac:dyDescent="0.2">
      <c r="AN39" s="2"/>
    </row>
    <row r="40" spans="40:40" x14ac:dyDescent="0.2">
      <c r="AN40" s="2"/>
    </row>
    <row r="41" spans="40:40" x14ac:dyDescent="0.2">
      <c r="AN41" s="2"/>
    </row>
    <row r="42" spans="40:40" x14ac:dyDescent="0.2">
      <c r="AN42" s="2"/>
    </row>
    <row r="43" spans="40:40" x14ac:dyDescent="0.2">
      <c r="AN43" s="2"/>
    </row>
    <row r="44" spans="40:40" x14ac:dyDescent="0.2">
      <c r="AN44" s="2"/>
    </row>
    <row r="45" spans="40:40" x14ac:dyDescent="0.2">
      <c r="AN45" s="2"/>
    </row>
    <row r="46" spans="40:40" x14ac:dyDescent="0.2">
      <c r="AN46" s="2"/>
    </row>
    <row r="47" spans="40:40" x14ac:dyDescent="0.2">
      <c r="AN47" s="2"/>
    </row>
    <row r="48" spans="40:40" x14ac:dyDescent="0.2">
      <c r="AN48" s="2"/>
    </row>
    <row r="49" spans="40:40" x14ac:dyDescent="0.2">
      <c r="AN49" s="2"/>
    </row>
    <row r="50" spans="40:40" x14ac:dyDescent="0.2">
      <c r="AN50" s="2"/>
    </row>
    <row r="51" spans="40:40" x14ac:dyDescent="0.2">
      <c r="AN51" s="2"/>
    </row>
    <row r="52" spans="40:40" x14ac:dyDescent="0.2">
      <c r="AN52" s="2"/>
    </row>
    <row r="53" spans="40:40" x14ac:dyDescent="0.2">
      <c r="AN53" s="2"/>
    </row>
    <row r="54" spans="40:40" x14ac:dyDescent="0.2">
      <c r="AN54" s="2"/>
    </row>
    <row r="55" spans="40:40" x14ac:dyDescent="0.2">
      <c r="AN55" s="2"/>
    </row>
    <row r="56" spans="40:40" x14ac:dyDescent="0.2">
      <c r="AN56" s="2"/>
    </row>
    <row r="57" spans="40:40" x14ac:dyDescent="0.2">
      <c r="AN57" s="2"/>
    </row>
    <row r="58" spans="40:40" x14ac:dyDescent="0.2">
      <c r="AN58" s="2"/>
    </row>
    <row r="59" spans="40:40" x14ac:dyDescent="0.2">
      <c r="AN59" s="2"/>
    </row>
    <row r="60" spans="40:40" x14ac:dyDescent="0.2">
      <c r="AN60" s="2"/>
    </row>
    <row r="61" spans="40:40" x14ac:dyDescent="0.2">
      <c r="AN61" s="2"/>
    </row>
    <row r="62" spans="40:40" x14ac:dyDescent="0.2">
      <c r="AN62" s="2"/>
    </row>
    <row r="63" spans="40:40" x14ac:dyDescent="0.2">
      <c r="AN63" s="2"/>
    </row>
    <row r="64" spans="40:40" x14ac:dyDescent="0.2">
      <c r="AN64" s="2"/>
    </row>
    <row r="65" spans="40:40" x14ac:dyDescent="0.2">
      <c r="AN65" s="2"/>
    </row>
    <row r="66" spans="40:40" x14ac:dyDescent="0.2">
      <c r="AN66" s="2"/>
    </row>
    <row r="67" spans="40:40" x14ac:dyDescent="0.2">
      <c r="AN67" s="2"/>
    </row>
    <row r="68" spans="40:40" x14ac:dyDescent="0.2">
      <c r="AN68" s="2"/>
    </row>
    <row r="69" spans="40:40" x14ac:dyDescent="0.2">
      <c r="AN69" s="2"/>
    </row>
    <row r="70" spans="40:40" x14ac:dyDescent="0.2">
      <c r="AN70" s="2"/>
    </row>
    <row r="71" spans="40:40" x14ac:dyDescent="0.2">
      <c r="AN71" s="2"/>
    </row>
    <row r="72" spans="40:40" x14ac:dyDescent="0.2">
      <c r="AN72" s="2"/>
    </row>
    <row r="73" spans="40:40" x14ac:dyDescent="0.2">
      <c r="AN73" s="2"/>
    </row>
    <row r="74" spans="40:40" x14ac:dyDescent="0.2">
      <c r="AN74" s="2"/>
    </row>
    <row r="75" spans="40:40" x14ac:dyDescent="0.2">
      <c r="AN75" s="2"/>
    </row>
    <row r="76" spans="40:40" x14ac:dyDescent="0.2">
      <c r="AN76" s="2"/>
    </row>
    <row r="77" spans="40:40" x14ac:dyDescent="0.2">
      <c r="AN77" s="2"/>
    </row>
    <row r="78" spans="40:40" x14ac:dyDescent="0.2">
      <c r="AN78" s="2"/>
    </row>
    <row r="79" spans="40:40" x14ac:dyDescent="0.2">
      <c r="AN79" s="2"/>
    </row>
    <row r="80" spans="40:40" x14ac:dyDescent="0.2">
      <c r="AN80" s="2"/>
    </row>
    <row r="81" spans="40:40" x14ac:dyDescent="0.2">
      <c r="AN81" s="2"/>
    </row>
    <row r="82" spans="40:40" x14ac:dyDescent="0.2">
      <c r="AN82" s="2"/>
    </row>
    <row r="83" spans="40:40" x14ac:dyDescent="0.2">
      <c r="AN83" s="2"/>
    </row>
    <row r="84" spans="40:40" x14ac:dyDescent="0.2">
      <c r="AN84" s="2"/>
    </row>
    <row r="85" spans="40:40" x14ac:dyDescent="0.2">
      <c r="AN85" s="2"/>
    </row>
    <row r="86" spans="40:40" x14ac:dyDescent="0.2">
      <c r="AN86" s="2"/>
    </row>
    <row r="87" spans="40:40" x14ac:dyDescent="0.2">
      <c r="AN87" s="2"/>
    </row>
    <row r="88" spans="40:40" x14ac:dyDescent="0.2">
      <c r="AN88" s="2"/>
    </row>
    <row r="89" spans="40:40" x14ac:dyDescent="0.2">
      <c r="AN89" s="2"/>
    </row>
    <row r="90" spans="40:40" x14ac:dyDescent="0.2">
      <c r="AN90" s="2"/>
    </row>
    <row r="91" spans="40:40" x14ac:dyDescent="0.2">
      <c r="AN91" s="2"/>
    </row>
    <row r="92" spans="40:40" x14ac:dyDescent="0.2">
      <c r="AN92" s="2"/>
    </row>
    <row r="93" spans="40:40" x14ac:dyDescent="0.2">
      <c r="AN93" s="2"/>
    </row>
    <row r="94" spans="40:40" x14ac:dyDescent="0.2">
      <c r="AN94" s="2"/>
    </row>
    <row r="95" spans="40:40" x14ac:dyDescent="0.2">
      <c r="AN95" s="2"/>
    </row>
    <row r="96" spans="40:40" x14ac:dyDescent="0.2">
      <c r="AN96" s="2"/>
    </row>
    <row r="97" spans="40:40" x14ac:dyDescent="0.2">
      <c r="AN97" s="2"/>
    </row>
    <row r="98" spans="40:40" x14ac:dyDescent="0.2">
      <c r="AN98" s="2"/>
    </row>
    <row r="99" spans="40:40" x14ac:dyDescent="0.2">
      <c r="AN99" s="2"/>
    </row>
    <row r="100" spans="40:40" x14ac:dyDescent="0.2">
      <c r="AN100" s="2"/>
    </row>
    <row r="101" spans="40:40" x14ac:dyDescent="0.2">
      <c r="AN101" s="2"/>
    </row>
    <row r="102" spans="40:40" x14ac:dyDescent="0.2">
      <c r="AN102" s="2"/>
    </row>
    <row r="103" spans="40:40" x14ac:dyDescent="0.2">
      <c r="AN103" s="2"/>
    </row>
    <row r="104" spans="40:40" x14ac:dyDescent="0.2">
      <c r="AN104" s="2"/>
    </row>
    <row r="105" spans="40:40" x14ac:dyDescent="0.2">
      <c r="AN105" s="2"/>
    </row>
    <row r="106" spans="40:40" x14ac:dyDescent="0.2">
      <c r="AN106" s="2"/>
    </row>
    <row r="107" spans="40:40" x14ac:dyDescent="0.2">
      <c r="AN107" s="2"/>
    </row>
    <row r="108" spans="40:40" x14ac:dyDescent="0.2">
      <c r="AN108" s="2"/>
    </row>
    <row r="109" spans="40:40" x14ac:dyDescent="0.2">
      <c r="AN109" s="2"/>
    </row>
    <row r="110" spans="40:40" x14ac:dyDescent="0.2">
      <c r="AN110" s="2"/>
    </row>
    <row r="111" spans="40:40" x14ac:dyDescent="0.2">
      <c r="AN111" s="2"/>
    </row>
    <row r="112" spans="40:40" x14ac:dyDescent="0.2">
      <c r="AN112" s="2"/>
    </row>
    <row r="113" spans="40:40" x14ac:dyDescent="0.2">
      <c r="AN113" s="2"/>
    </row>
    <row r="114" spans="40:40" x14ac:dyDescent="0.2">
      <c r="AN114" s="2"/>
    </row>
    <row r="115" spans="40:40" x14ac:dyDescent="0.2">
      <c r="AN115" s="2"/>
    </row>
    <row r="116" spans="40:40" x14ac:dyDescent="0.2">
      <c r="AN116" s="2"/>
    </row>
    <row r="117" spans="40:40" x14ac:dyDescent="0.2">
      <c r="AN117" s="2"/>
    </row>
    <row r="118" spans="40:40" x14ac:dyDescent="0.2">
      <c r="AN118" s="2"/>
    </row>
    <row r="119" spans="40:40" x14ac:dyDescent="0.2">
      <c r="AN119" s="2"/>
    </row>
    <row r="120" spans="40:40" x14ac:dyDescent="0.2">
      <c r="AN120" s="2"/>
    </row>
    <row r="121" spans="40:40" x14ac:dyDescent="0.2">
      <c r="AN121" s="2"/>
    </row>
    <row r="122" spans="40:40" x14ac:dyDescent="0.2">
      <c r="AN122" s="2"/>
    </row>
    <row r="123" spans="40:40" x14ac:dyDescent="0.2">
      <c r="AN123" s="2"/>
    </row>
    <row r="124" spans="40:40" x14ac:dyDescent="0.2">
      <c r="AN124" s="2"/>
    </row>
    <row r="125" spans="40:40" x14ac:dyDescent="0.2">
      <c r="AN125" s="2"/>
    </row>
    <row r="126" spans="40:40" x14ac:dyDescent="0.2">
      <c r="AN126" s="2"/>
    </row>
    <row r="127" spans="40:40" x14ac:dyDescent="0.2">
      <c r="AN127" s="2"/>
    </row>
    <row r="128" spans="40:40" x14ac:dyDescent="0.2">
      <c r="AN128" s="2"/>
    </row>
    <row r="129" spans="40:40" x14ac:dyDescent="0.2">
      <c r="AN129" s="2"/>
    </row>
    <row r="130" spans="40:40" x14ac:dyDescent="0.2">
      <c r="AN130" s="2"/>
    </row>
    <row r="131" spans="40:40" x14ac:dyDescent="0.2">
      <c r="AN131" s="2"/>
    </row>
    <row r="132" spans="40:40" x14ac:dyDescent="0.2">
      <c r="AN132" s="2"/>
    </row>
    <row r="133" spans="40:40" x14ac:dyDescent="0.2">
      <c r="AN133" s="2"/>
    </row>
    <row r="134" spans="40:40" x14ac:dyDescent="0.2">
      <c r="AN134" s="2"/>
    </row>
    <row r="135" spans="40:40" x14ac:dyDescent="0.2">
      <c r="AN135" s="2"/>
    </row>
    <row r="136" spans="40:40" x14ac:dyDescent="0.2">
      <c r="AN136" s="2"/>
    </row>
    <row r="137" spans="40:40" x14ac:dyDescent="0.2">
      <c r="AN137" s="2"/>
    </row>
    <row r="138" spans="40:40" x14ac:dyDescent="0.2">
      <c r="AN138" s="2"/>
    </row>
    <row r="139" spans="40:40" x14ac:dyDescent="0.2">
      <c r="AN139" s="2"/>
    </row>
    <row r="140" spans="40:40" x14ac:dyDescent="0.2">
      <c r="AN140" s="2"/>
    </row>
    <row r="141" spans="40:40" x14ac:dyDescent="0.2">
      <c r="AN141" s="2"/>
    </row>
    <row r="142" spans="40:40" x14ac:dyDescent="0.2">
      <c r="AN142" s="2"/>
    </row>
    <row r="143" spans="40:40" x14ac:dyDescent="0.2">
      <c r="AN143" s="2"/>
    </row>
    <row r="144" spans="40:40" x14ac:dyDescent="0.2">
      <c r="AN144" s="2"/>
    </row>
    <row r="145" spans="40:40" x14ac:dyDescent="0.2">
      <c r="AN145" s="2"/>
    </row>
    <row r="146" spans="40:40" x14ac:dyDescent="0.2">
      <c r="AN146" s="2"/>
    </row>
    <row r="147" spans="40:40" x14ac:dyDescent="0.2">
      <c r="AN147" s="2"/>
    </row>
    <row r="148" spans="40:40" x14ac:dyDescent="0.2">
      <c r="AN148" s="2"/>
    </row>
    <row r="149" spans="40:40" x14ac:dyDescent="0.2">
      <c r="AN149" s="2"/>
    </row>
    <row r="150" spans="40:40" x14ac:dyDescent="0.2">
      <c r="AN150" s="2"/>
    </row>
    <row r="151" spans="40:40" x14ac:dyDescent="0.2">
      <c r="AN151" s="2"/>
    </row>
    <row r="152" spans="40:40" x14ac:dyDescent="0.2">
      <c r="AN152" s="2"/>
    </row>
    <row r="153" spans="40:40" x14ac:dyDescent="0.2">
      <c r="AN153" s="2"/>
    </row>
    <row r="154" spans="40:40" x14ac:dyDescent="0.2">
      <c r="AN154" s="2"/>
    </row>
    <row r="155" spans="40:40" x14ac:dyDescent="0.2">
      <c r="AN155" s="2"/>
    </row>
    <row r="156" spans="40:40" x14ac:dyDescent="0.2">
      <c r="AN156" s="2"/>
    </row>
    <row r="157" spans="40:40" x14ac:dyDescent="0.2">
      <c r="AN157" s="2"/>
    </row>
    <row r="158" spans="40:40" x14ac:dyDescent="0.2">
      <c r="AN158" s="2"/>
    </row>
    <row r="159" spans="40:40" x14ac:dyDescent="0.2">
      <c r="AN159" s="2"/>
    </row>
    <row r="160" spans="40:40" x14ac:dyDescent="0.2">
      <c r="AN160" s="2"/>
    </row>
    <row r="161" spans="40:40" x14ac:dyDescent="0.2">
      <c r="AN161" s="2"/>
    </row>
    <row r="162" spans="40:40" x14ac:dyDescent="0.2">
      <c r="AN162" s="2"/>
    </row>
    <row r="163" spans="40:40" x14ac:dyDescent="0.2">
      <c r="AN163" s="2"/>
    </row>
    <row r="164" spans="40:40" x14ac:dyDescent="0.2">
      <c r="AN164" s="2"/>
    </row>
    <row r="165" spans="40:40" x14ac:dyDescent="0.2">
      <c r="AN165" s="2"/>
    </row>
    <row r="166" spans="40:40" x14ac:dyDescent="0.2">
      <c r="AN166" s="2"/>
    </row>
    <row r="167" spans="40:40" x14ac:dyDescent="0.2">
      <c r="AN167" s="2"/>
    </row>
    <row r="168" spans="40:40" x14ac:dyDescent="0.2">
      <c r="AN168" s="2"/>
    </row>
    <row r="169" spans="40:40" x14ac:dyDescent="0.2">
      <c r="AN169" s="2"/>
    </row>
    <row r="170" spans="40:40" x14ac:dyDescent="0.2">
      <c r="AN170" s="2"/>
    </row>
    <row r="171" spans="40:40" x14ac:dyDescent="0.2">
      <c r="AN171" s="2"/>
    </row>
    <row r="172" spans="40:40" x14ac:dyDescent="0.2">
      <c r="AN172" s="2"/>
    </row>
    <row r="173" spans="40:40" x14ac:dyDescent="0.2">
      <c r="AN173" s="2"/>
    </row>
    <row r="174" spans="40:40" x14ac:dyDescent="0.2">
      <c r="AN174" s="2"/>
    </row>
    <row r="175" spans="40:40" x14ac:dyDescent="0.2">
      <c r="AN175" s="2"/>
    </row>
    <row r="176" spans="40:40" x14ac:dyDescent="0.2">
      <c r="AN176" s="2"/>
    </row>
    <row r="177" spans="40:40" x14ac:dyDescent="0.2">
      <c r="AN177" s="2"/>
    </row>
    <row r="178" spans="40:40" x14ac:dyDescent="0.2">
      <c r="AN178" s="2"/>
    </row>
    <row r="179" spans="40:40" x14ac:dyDescent="0.2">
      <c r="AN179" s="2"/>
    </row>
    <row r="180" spans="40:40" x14ac:dyDescent="0.2">
      <c r="AN180" s="2"/>
    </row>
    <row r="181" spans="40:40" x14ac:dyDescent="0.2">
      <c r="AN181" s="2"/>
    </row>
    <row r="182" spans="40:40" x14ac:dyDescent="0.2">
      <c r="AN182" s="2"/>
    </row>
    <row r="183" spans="40:40" x14ac:dyDescent="0.2">
      <c r="AN183" s="2"/>
    </row>
    <row r="184" spans="40:40" x14ac:dyDescent="0.2">
      <c r="AN184" s="2"/>
    </row>
    <row r="185" spans="40:40" x14ac:dyDescent="0.2">
      <c r="AN185" s="2"/>
    </row>
    <row r="186" spans="40:40" x14ac:dyDescent="0.2">
      <c r="AN186" s="2"/>
    </row>
    <row r="187" spans="40:40" x14ac:dyDescent="0.2">
      <c r="AN187" s="2"/>
    </row>
    <row r="188" spans="40:40" x14ac:dyDescent="0.2">
      <c r="AN188" s="2"/>
    </row>
    <row r="189" spans="40:40" x14ac:dyDescent="0.2">
      <c r="AN189" s="2"/>
    </row>
    <row r="190" spans="40:40" x14ac:dyDescent="0.2">
      <c r="AN190" s="2"/>
    </row>
    <row r="191" spans="40:40" x14ac:dyDescent="0.2">
      <c r="AN191" s="2"/>
    </row>
    <row r="192" spans="40:40" x14ac:dyDescent="0.2">
      <c r="AN192" s="2"/>
    </row>
    <row r="193" spans="40:40" x14ac:dyDescent="0.2">
      <c r="AN193" s="2"/>
    </row>
    <row r="194" spans="40:40" x14ac:dyDescent="0.2">
      <c r="AN194" s="2"/>
    </row>
    <row r="195" spans="40:40" x14ac:dyDescent="0.2">
      <c r="AN195" s="2"/>
    </row>
    <row r="196" spans="40:40" x14ac:dyDescent="0.2">
      <c r="AN196" s="2"/>
    </row>
    <row r="197" spans="40:40" x14ac:dyDescent="0.2">
      <c r="AN197" s="2"/>
    </row>
    <row r="198" spans="40:40" x14ac:dyDescent="0.2">
      <c r="AN198" s="2"/>
    </row>
    <row r="199" spans="40:40" x14ac:dyDescent="0.2">
      <c r="AN199" s="2"/>
    </row>
    <row r="200" spans="40:40" x14ac:dyDescent="0.2">
      <c r="AN200" s="2"/>
    </row>
    <row r="201" spans="40:40" x14ac:dyDescent="0.2">
      <c r="AN201" s="2"/>
    </row>
    <row r="202" spans="40:40" x14ac:dyDescent="0.2">
      <c r="AN202" s="2"/>
    </row>
    <row r="203" spans="40:40" x14ac:dyDescent="0.2">
      <c r="AN203" s="2"/>
    </row>
    <row r="204" spans="40:40" x14ac:dyDescent="0.2">
      <c r="AN204" s="2"/>
    </row>
    <row r="205" spans="40:40" x14ac:dyDescent="0.2">
      <c r="AN205" s="2"/>
    </row>
    <row r="206" spans="40:40" x14ac:dyDescent="0.2">
      <c r="AN206" s="2"/>
    </row>
    <row r="207" spans="40:40" x14ac:dyDescent="0.2">
      <c r="AN207" s="2"/>
    </row>
    <row r="208" spans="40:40" x14ac:dyDescent="0.2">
      <c r="AN208" s="2"/>
    </row>
    <row r="209" spans="40:40" x14ac:dyDescent="0.2">
      <c r="AN209" s="2"/>
    </row>
    <row r="210" spans="40:40" x14ac:dyDescent="0.2">
      <c r="AN210" s="2"/>
    </row>
    <row r="211" spans="40:40" x14ac:dyDescent="0.2">
      <c r="AN211" s="2"/>
    </row>
    <row r="212" spans="40:40" x14ac:dyDescent="0.2">
      <c r="AN212" s="2"/>
    </row>
    <row r="213" spans="40:40" x14ac:dyDescent="0.2">
      <c r="AN213" s="2"/>
    </row>
    <row r="214" spans="40:40" x14ac:dyDescent="0.2">
      <c r="AN214" s="2"/>
    </row>
    <row r="215" spans="40:40" x14ac:dyDescent="0.2">
      <c r="AN215" s="2"/>
    </row>
    <row r="216" spans="40:40" x14ac:dyDescent="0.2">
      <c r="AN216" s="2"/>
    </row>
    <row r="217" spans="40:40" x14ac:dyDescent="0.2">
      <c r="AN217" s="2"/>
    </row>
    <row r="218" spans="40:40" x14ac:dyDescent="0.2">
      <c r="AN218" s="2"/>
    </row>
    <row r="219" spans="40:40" x14ac:dyDescent="0.2">
      <c r="AN219" s="2"/>
    </row>
    <row r="220" spans="40:40" x14ac:dyDescent="0.2">
      <c r="AN220" s="2"/>
    </row>
    <row r="221" spans="40:40" x14ac:dyDescent="0.2">
      <c r="AN221" s="2"/>
    </row>
    <row r="222" spans="40:40" x14ac:dyDescent="0.2">
      <c r="AN222" s="2"/>
    </row>
    <row r="223" spans="40:40" x14ac:dyDescent="0.2">
      <c r="AN223" s="2"/>
    </row>
    <row r="224" spans="40:40" x14ac:dyDescent="0.2">
      <c r="AN224" s="2"/>
    </row>
    <row r="225" spans="40:40" x14ac:dyDescent="0.2">
      <c r="AN225" s="2"/>
    </row>
    <row r="226" spans="40:40" x14ac:dyDescent="0.2">
      <c r="AN226" s="2"/>
    </row>
    <row r="227" spans="40:40" x14ac:dyDescent="0.2">
      <c r="AN227" s="2"/>
    </row>
    <row r="228" spans="40:40" x14ac:dyDescent="0.2">
      <c r="AN228" s="2"/>
    </row>
    <row r="229" spans="40:40" x14ac:dyDescent="0.2">
      <c r="AN229" s="2"/>
    </row>
    <row r="230" spans="40:40" x14ac:dyDescent="0.2">
      <c r="AN230" s="2"/>
    </row>
    <row r="231" spans="40:40" x14ac:dyDescent="0.2">
      <c r="AN231" s="2"/>
    </row>
    <row r="232" spans="40:40" x14ac:dyDescent="0.2">
      <c r="AN232" s="2"/>
    </row>
    <row r="233" spans="40:40" x14ac:dyDescent="0.2">
      <c r="AN233" s="2"/>
    </row>
    <row r="234" spans="40:40" x14ac:dyDescent="0.2">
      <c r="AN234" s="2"/>
    </row>
    <row r="235" spans="40:40" x14ac:dyDescent="0.2">
      <c r="AN235" s="2"/>
    </row>
    <row r="236" spans="40:40" x14ac:dyDescent="0.2">
      <c r="AN236" s="2"/>
    </row>
    <row r="237" spans="40:40" x14ac:dyDescent="0.2">
      <c r="AN237" s="2"/>
    </row>
    <row r="238" spans="40:40" x14ac:dyDescent="0.2">
      <c r="AN238" s="2"/>
    </row>
    <row r="239" spans="40:40" x14ac:dyDescent="0.2">
      <c r="AN239" s="2"/>
    </row>
    <row r="240" spans="40:40" x14ac:dyDescent="0.2">
      <c r="AN240" s="2"/>
    </row>
    <row r="241" spans="40:40" x14ac:dyDescent="0.2">
      <c r="AN241" s="2"/>
    </row>
    <row r="242" spans="40:40" x14ac:dyDescent="0.2">
      <c r="AN242" s="2"/>
    </row>
    <row r="243" spans="40:40" x14ac:dyDescent="0.2">
      <c r="AN243" s="2"/>
    </row>
    <row r="244" spans="40:40" x14ac:dyDescent="0.2">
      <c r="AN244" s="2"/>
    </row>
    <row r="245" spans="40:40" x14ac:dyDescent="0.2">
      <c r="AN245" s="2"/>
    </row>
    <row r="246" spans="40:40" x14ac:dyDescent="0.2">
      <c r="AN246" s="2"/>
    </row>
    <row r="247" spans="40:40" x14ac:dyDescent="0.2">
      <c r="AN247" s="2"/>
    </row>
    <row r="248" spans="40:40" x14ac:dyDescent="0.2">
      <c r="AN248" s="2"/>
    </row>
    <row r="249" spans="40:40" x14ac:dyDescent="0.2">
      <c r="AN249" s="2"/>
    </row>
    <row r="250" spans="40:40" x14ac:dyDescent="0.2">
      <c r="AN250" s="2"/>
    </row>
    <row r="251" spans="40:40" x14ac:dyDescent="0.2">
      <c r="AN251" s="2"/>
    </row>
    <row r="252" spans="40:40" x14ac:dyDescent="0.2">
      <c r="AN252" s="2"/>
    </row>
    <row r="253" spans="40:40" x14ac:dyDescent="0.2">
      <c r="AN253" s="2"/>
    </row>
    <row r="254" spans="40:40" x14ac:dyDescent="0.2">
      <c r="AN254" s="2"/>
    </row>
    <row r="255" spans="40:40" x14ac:dyDescent="0.2">
      <c r="AN255" s="2"/>
    </row>
    <row r="256" spans="40:40" x14ac:dyDescent="0.2">
      <c r="AN256" s="2"/>
    </row>
    <row r="257" spans="40:40" x14ac:dyDescent="0.2">
      <c r="AN257" s="2"/>
    </row>
    <row r="258" spans="40:40" x14ac:dyDescent="0.2">
      <c r="AN258" s="2"/>
    </row>
    <row r="259" spans="40:40" x14ac:dyDescent="0.2">
      <c r="AN259" s="2"/>
    </row>
    <row r="260" spans="40:40" x14ac:dyDescent="0.2">
      <c r="AN260" s="2"/>
    </row>
    <row r="261" spans="40:40" x14ac:dyDescent="0.2">
      <c r="AN261" s="2"/>
    </row>
    <row r="262" spans="40:40" x14ac:dyDescent="0.2">
      <c r="AN262" s="2"/>
    </row>
    <row r="263" spans="40:40" x14ac:dyDescent="0.2">
      <c r="AN263" s="2"/>
    </row>
    <row r="264" spans="40:40" x14ac:dyDescent="0.2">
      <c r="AN264" s="2"/>
    </row>
    <row r="265" spans="40:40" x14ac:dyDescent="0.2">
      <c r="AN265" s="2"/>
    </row>
    <row r="266" spans="40:40" x14ac:dyDescent="0.2">
      <c r="AN266" s="2"/>
    </row>
    <row r="267" spans="40:40" x14ac:dyDescent="0.2">
      <c r="AN267" s="2"/>
    </row>
    <row r="268" spans="40:40" x14ac:dyDescent="0.2">
      <c r="AN268" s="2"/>
    </row>
    <row r="269" spans="40:40" x14ac:dyDescent="0.2">
      <c r="AN269" s="2"/>
    </row>
    <row r="270" spans="40:40" x14ac:dyDescent="0.2">
      <c r="AN270" s="2"/>
    </row>
    <row r="271" spans="40:40" x14ac:dyDescent="0.2">
      <c r="AN271" s="2"/>
    </row>
    <row r="272" spans="40:40" x14ac:dyDescent="0.2">
      <c r="AN272" s="2"/>
    </row>
    <row r="273" spans="40:40" x14ac:dyDescent="0.2">
      <c r="AN273" s="2"/>
    </row>
    <row r="274" spans="40:40" x14ac:dyDescent="0.2">
      <c r="AN274" s="2"/>
    </row>
    <row r="275" spans="40:40" x14ac:dyDescent="0.2">
      <c r="AN275" s="2"/>
    </row>
    <row r="276" spans="40:40" x14ac:dyDescent="0.2">
      <c r="AN276" s="2"/>
    </row>
    <row r="277" spans="40:40" x14ac:dyDescent="0.2">
      <c r="AN277" s="2"/>
    </row>
    <row r="278" spans="40:40" x14ac:dyDescent="0.2">
      <c r="AN278" s="2"/>
    </row>
    <row r="279" spans="40:40" x14ac:dyDescent="0.2">
      <c r="AN279" s="2"/>
    </row>
    <row r="280" spans="40:40" x14ac:dyDescent="0.2">
      <c r="AN280" s="2"/>
    </row>
    <row r="281" spans="40:40" x14ac:dyDescent="0.2">
      <c r="AN281" s="2"/>
    </row>
    <row r="282" spans="40:40" x14ac:dyDescent="0.2">
      <c r="AN282" s="2"/>
    </row>
    <row r="283" spans="40:40" x14ac:dyDescent="0.2">
      <c r="AN283" s="2"/>
    </row>
    <row r="284" spans="40:40" x14ac:dyDescent="0.2">
      <c r="AN284" s="2"/>
    </row>
    <row r="285" spans="40:40" x14ac:dyDescent="0.2">
      <c r="AN285" s="2"/>
    </row>
    <row r="286" spans="40:40" x14ac:dyDescent="0.2">
      <c r="AN286" s="2"/>
    </row>
    <row r="287" spans="40:40" x14ac:dyDescent="0.2">
      <c r="AN287" s="2"/>
    </row>
    <row r="288" spans="40:40" x14ac:dyDescent="0.2">
      <c r="AN288" s="2"/>
    </row>
    <row r="289" spans="40:40" x14ac:dyDescent="0.2">
      <c r="AN289" s="2"/>
    </row>
    <row r="290" spans="40:40" x14ac:dyDescent="0.2">
      <c r="AN290" s="2"/>
    </row>
    <row r="291" spans="40:40" x14ac:dyDescent="0.2">
      <c r="AN291" s="2"/>
    </row>
    <row r="292" spans="40:40" x14ac:dyDescent="0.2">
      <c r="AN292" s="2"/>
    </row>
    <row r="293" spans="40:40" x14ac:dyDescent="0.2">
      <c r="AN293" s="2"/>
    </row>
    <row r="294" spans="40:40" x14ac:dyDescent="0.2">
      <c r="AN294" s="2"/>
    </row>
    <row r="295" spans="40:40" x14ac:dyDescent="0.2">
      <c r="AN295" s="2"/>
    </row>
    <row r="296" spans="40:40" x14ac:dyDescent="0.2">
      <c r="AN296" s="2"/>
    </row>
    <row r="297" spans="40:40" x14ac:dyDescent="0.2">
      <c r="AN297" s="2"/>
    </row>
    <row r="298" spans="40:40" x14ac:dyDescent="0.2">
      <c r="AN298" s="2"/>
    </row>
    <row r="299" spans="40:40" x14ac:dyDescent="0.2">
      <c r="AN299" s="2"/>
    </row>
    <row r="300" spans="40:40" x14ac:dyDescent="0.2">
      <c r="AN300" s="2"/>
    </row>
    <row r="301" spans="40:40" x14ac:dyDescent="0.2">
      <c r="AN301" s="2"/>
    </row>
    <row r="302" spans="40:40" x14ac:dyDescent="0.2">
      <c r="AN302" s="2"/>
    </row>
    <row r="303" spans="40:40" x14ac:dyDescent="0.2">
      <c r="AN303" s="2"/>
    </row>
    <row r="304" spans="40:40" x14ac:dyDescent="0.2">
      <c r="AN304" s="2"/>
    </row>
    <row r="305" spans="40:40" x14ac:dyDescent="0.2">
      <c r="AN305" s="2"/>
    </row>
    <row r="306" spans="40:40" x14ac:dyDescent="0.2">
      <c r="AN306" s="2"/>
    </row>
    <row r="307" spans="40:40" x14ac:dyDescent="0.2">
      <c r="AN307" s="2"/>
    </row>
    <row r="308" spans="40:40" x14ac:dyDescent="0.2">
      <c r="AN308" s="2"/>
    </row>
    <row r="309" spans="40:40" x14ac:dyDescent="0.2">
      <c r="AN309" s="2"/>
    </row>
    <row r="310" spans="40:40" x14ac:dyDescent="0.2">
      <c r="AN310" s="2"/>
    </row>
    <row r="311" spans="40:40" x14ac:dyDescent="0.2">
      <c r="AN311" s="2"/>
    </row>
    <row r="312" spans="40:40" x14ac:dyDescent="0.2">
      <c r="AN312" s="2"/>
    </row>
    <row r="313" spans="40:40" x14ac:dyDescent="0.2">
      <c r="AN313" s="2"/>
    </row>
    <row r="314" spans="40:40" x14ac:dyDescent="0.2">
      <c r="AN314" s="2"/>
    </row>
    <row r="315" spans="40:40" x14ac:dyDescent="0.2">
      <c r="AN315" s="2"/>
    </row>
    <row r="316" spans="40:40" x14ac:dyDescent="0.2">
      <c r="AN316" s="2"/>
    </row>
    <row r="317" spans="40:40" x14ac:dyDescent="0.2">
      <c r="AN317" s="2"/>
    </row>
    <row r="318" spans="40:40" x14ac:dyDescent="0.2">
      <c r="AN318" s="2"/>
    </row>
    <row r="319" spans="40:40" x14ac:dyDescent="0.2">
      <c r="AN319" s="2"/>
    </row>
    <row r="320" spans="40:40" x14ac:dyDescent="0.2">
      <c r="AN320" s="2"/>
    </row>
    <row r="321" spans="40:40" x14ac:dyDescent="0.2">
      <c r="AN321" s="2"/>
    </row>
    <row r="322" spans="40:40" x14ac:dyDescent="0.2">
      <c r="AN322" s="2"/>
    </row>
    <row r="323" spans="40:40" x14ac:dyDescent="0.2">
      <c r="AN323" s="2"/>
    </row>
    <row r="324" spans="40:40" x14ac:dyDescent="0.2">
      <c r="AN324" s="2"/>
    </row>
    <row r="325" spans="40:40" x14ac:dyDescent="0.2">
      <c r="AN325" s="2"/>
    </row>
    <row r="326" spans="40:40" x14ac:dyDescent="0.2">
      <c r="AN326" s="2"/>
    </row>
    <row r="327" spans="40:40" x14ac:dyDescent="0.2">
      <c r="AN327" s="2"/>
    </row>
    <row r="328" spans="40:40" x14ac:dyDescent="0.2">
      <c r="AN328" s="2"/>
    </row>
    <row r="329" spans="40:40" x14ac:dyDescent="0.2">
      <c r="AN329" s="2"/>
    </row>
    <row r="330" spans="40:40" x14ac:dyDescent="0.2">
      <c r="AN330" s="2"/>
    </row>
    <row r="331" spans="40:40" x14ac:dyDescent="0.2">
      <c r="AN331" s="2"/>
    </row>
    <row r="332" spans="40:40" x14ac:dyDescent="0.2">
      <c r="AN332" s="2"/>
    </row>
    <row r="333" spans="40:40" x14ac:dyDescent="0.2">
      <c r="AN333" s="2"/>
    </row>
    <row r="334" spans="40:40" x14ac:dyDescent="0.2">
      <c r="AN334" s="2"/>
    </row>
    <row r="335" spans="40:40" x14ac:dyDescent="0.2">
      <c r="AN335" s="2"/>
    </row>
    <row r="336" spans="40:40" x14ac:dyDescent="0.2">
      <c r="AN336" s="2"/>
    </row>
    <row r="337" spans="40:40" x14ac:dyDescent="0.2">
      <c r="AN337" s="2"/>
    </row>
    <row r="338" spans="40:40" x14ac:dyDescent="0.2">
      <c r="AN338" s="2"/>
    </row>
    <row r="339" spans="40:40" x14ac:dyDescent="0.2">
      <c r="AN339" s="2"/>
    </row>
    <row r="340" spans="40:40" x14ac:dyDescent="0.2">
      <c r="AN340" s="2"/>
    </row>
    <row r="341" spans="40:40" x14ac:dyDescent="0.2">
      <c r="AN341" s="2"/>
    </row>
    <row r="342" spans="40:40" x14ac:dyDescent="0.2">
      <c r="AN342" s="2"/>
    </row>
    <row r="343" spans="40:40" x14ac:dyDescent="0.2">
      <c r="AN343" s="2"/>
    </row>
    <row r="344" spans="40:40" x14ac:dyDescent="0.2">
      <c r="AN344" s="2"/>
    </row>
    <row r="345" spans="40:40" x14ac:dyDescent="0.2">
      <c r="AN345" s="2"/>
    </row>
    <row r="346" spans="40:40" x14ac:dyDescent="0.2">
      <c r="AN346" s="2"/>
    </row>
    <row r="347" spans="40:40" x14ac:dyDescent="0.2">
      <c r="AN347" s="2"/>
    </row>
    <row r="348" spans="40:40" x14ac:dyDescent="0.2">
      <c r="AN348" s="2"/>
    </row>
    <row r="349" spans="40:40" x14ac:dyDescent="0.2">
      <c r="AN349" s="2"/>
    </row>
    <row r="350" spans="40:40" x14ac:dyDescent="0.2">
      <c r="AN350" s="2"/>
    </row>
    <row r="351" spans="40:40" x14ac:dyDescent="0.2">
      <c r="AN351" s="2"/>
    </row>
    <row r="352" spans="40:40" x14ac:dyDescent="0.2">
      <c r="AN352" s="2"/>
    </row>
    <row r="353" spans="40:40" x14ac:dyDescent="0.2">
      <c r="AN353" s="2"/>
    </row>
    <row r="354" spans="40:40" x14ac:dyDescent="0.2">
      <c r="AN354" s="2"/>
    </row>
    <row r="355" spans="40:40" x14ac:dyDescent="0.2">
      <c r="AN355" s="2"/>
    </row>
    <row r="356" spans="40:40" x14ac:dyDescent="0.2">
      <c r="AN356" s="2"/>
    </row>
    <row r="357" spans="40:40" x14ac:dyDescent="0.2">
      <c r="AN357" s="2"/>
    </row>
    <row r="358" spans="40:40" x14ac:dyDescent="0.2">
      <c r="AN358" s="2"/>
    </row>
    <row r="359" spans="40:40" x14ac:dyDescent="0.2">
      <c r="AN359" s="2"/>
    </row>
    <row r="360" spans="40:40" x14ac:dyDescent="0.2">
      <c r="AN360" s="2"/>
    </row>
    <row r="361" spans="40:40" x14ac:dyDescent="0.2">
      <c r="AN361" s="2"/>
    </row>
    <row r="362" spans="40:40" x14ac:dyDescent="0.2">
      <c r="AN362" s="2"/>
    </row>
    <row r="363" spans="40:40" x14ac:dyDescent="0.2">
      <c r="AN363" s="2"/>
    </row>
    <row r="364" spans="40:40" x14ac:dyDescent="0.2">
      <c r="AN364" s="2"/>
    </row>
    <row r="365" spans="40:40" x14ac:dyDescent="0.2">
      <c r="AN365" s="2"/>
    </row>
    <row r="366" spans="40:40" x14ac:dyDescent="0.2">
      <c r="AN366" s="2"/>
    </row>
    <row r="367" spans="40:40" x14ac:dyDescent="0.2">
      <c r="AN367" s="2"/>
    </row>
    <row r="368" spans="40:40" x14ac:dyDescent="0.2">
      <c r="AN368" s="2"/>
    </row>
    <row r="369" spans="40:40" x14ac:dyDescent="0.2">
      <c r="AN369" s="2"/>
    </row>
    <row r="370" spans="40:40" x14ac:dyDescent="0.2">
      <c r="AN370" s="2"/>
    </row>
    <row r="371" spans="40:40" x14ac:dyDescent="0.2">
      <c r="AN371" s="2"/>
    </row>
    <row r="372" spans="40:40" x14ac:dyDescent="0.2">
      <c r="AN372" s="2"/>
    </row>
    <row r="373" spans="40:40" x14ac:dyDescent="0.2">
      <c r="AN373" s="2"/>
    </row>
    <row r="374" spans="40:40" x14ac:dyDescent="0.2">
      <c r="AN374" s="2"/>
    </row>
    <row r="375" spans="40:40" x14ac:dyDescent="0.2">
      <c r="AN375" s="2"/>
    </row>
    <row r="376" spans="40:40" x14ac:dyDescent="0.2">
      <c r="AN376" s="2"/>
    </row>
    <row r="377" spans="40:40" x14ac:dyDescent="0.2">
      <c r="AN377" s="2"/>
    </row>
    <row r="378" spans="40:40" x14ac:dyDescent="0.2">
      <c r="AN378" s="2"/>
    </row>
    <row r="379" spans="40:40" x14ac:dyDescent="0.2">
      <c r="AN379" s="2"/>
    </row>
    <row r="380" spans="40:40" x14ac:dyDescent="0.2">
      <c r="AN380" s="2"/>
    </row>
    <row r="381" spans="40:40" x14ac:dyDescent="0.2">
      <c r="AN381" s="2"/>
    </row>
    <row r="382" spans="40:40" x14ac:dyDescent="0.2">
      <c r="AN382" s="2"/>
    </row>
    <row r="383" spans="40:40" x14ac:dyDescent="0.2">
      <c r="AN383" s="2"/>
    </row>
    <row r="384" spans="40:40" x14ac:dyDescent="0.2">
      <c r="AN384" s="2"/>
    </row>
    <row r="385" spans="40:40" x14ac:dyDescent="0.2">
      <c r="AN385" s="2"/>
    </row>
    <row r="386" spans="40:40" x14ac:dyDescent="0.2">
      <c r="AN386" s="2"/>
    </row>
    <row r="387" spans="40:40" x14ac:dyDescent="0.2">
      <c r="AN387" s="2"/>
    </row>
    <row r="388" spans="40:40" x14ac:dyDescent="0.2">
      <c r="AN388" s="2"/>
    </row>
    <row r="389" spans="40:40" x14ac:dyDescent="0.2">
      <c r="AN389" s="2"/>
    </row>
    <row r="390" spans="40:40" x14ac:dyDescent="0.2">
      <c r="AN390" s="2"/>
    </row>
    <row r="391" spans="40:40" x14ac:dyDescent="0.2">
      <c r="AN391" s="2"/>
    </row>
    <row r="392" spans="40:40" x14ac:dyDescent="0.2">
      <c r="AN392" s="2"/>
    </row>
    <row r="393" spans="40:40" x14ac:dyDescent="0.2">
      <c r="AN393" s="2"/>
    </row>
    <row r="394" spans="40:40" x14ac:dyDescent="0.2">
      <c r="AN394" s="2"/>
    </row>
    <row r="395" spans="40:40" x14ac:dyDescent="0.2">
      <c r="AN395" s="2"/>
    </row>
    <row r="396" spans="40:40" x14ac:dyDescent="0.2">
      <c r="AN396" s="2"/>
    </row>
    <row r="397" spans="40:40" x14ac:dyDescent="0.2">
      <c r="AN397" s="2"/>
    </row>
    <row r="398" spans="40:40" x14ac:dyDescent="0.2">
      <c r="AN398" s="2"/>
    </row>
    <row r="399" spans="40:40" x14ac:dyDescent="0.2">
      <c r="AN399" s="2"/>
    </row>
    <row r="400" spans="40:40" x14ac:dyDescent="0.2">
      <c r="AN400" s="2"/>
    </row>
    <row r="401" spans="40:40" x14ac:dyDescent="0.2">
      <c r="AN401" s="2"/>
    </row>
    <row r="402" spans="40:40" x14ac:dyDescent="0.2">
      <c r="AN402" s="2"/>
    </row>
    <row r="403" spans="40:40" x14ac:dyDescent="0.2">
      <c r="AN403" s="2"/>
    </row>
    <row r="404" spans="40:40" x14ac:dyDescent="0.2">
      <c r="AN404" s="2"/>
    </row>
    <row r="405" spans="40:40" x14ac:dyDescent="0.2">
      <c r="AN405" s="2"/>
    </row>
    <row r="406" spans="40:40" x14ac:dyDescent="0.2">
      <c r="AN406" s="2"/>
    </row>
    <row r="407" spans="40:40" x14ac:dyDescent="0.2">
      <c r="AN407" s="2"/>
    </row>
    <row r="408" spans="40:40" x14ac:dyDescent="0.2">
      <c r="AN408" s="2"/>
    </row>
    <row r="409" spans="40:40" x14ac:dyDescent="0.2">
      <c r="AN409" s="2"/>
    </row>
    <row r="410" spans="40:40" x14ac:dyDescent="0.2">
      <c r="AN410" s="2"/>
    </row>
    <row r="411" spans="40:40" x14ac:dyDescent="0.2">
      <c r="AN411" s="2"/>
    </row>
    <row r="412" spans="40:40" x14ac:dyDescent="0.2">
      <c r="AN412" s="2"/>
    </row>
    <row r="413" spans="40:40" x14ac:dyDescent="0.2">
      <c r="AN413" s="2"/>
    </row>
    <row r="414" spans="40:40" x14ac:dyDescent="0.2">
      <c r="AN414" s="2"/>
    </row>
    <row r="415" spans="40:40" x14ac:dyDescent="0.2">
      <c r="AN415" s="2"/>
    </row>
    <row r="416" spans="40:40" x14ac:dyDescent="0.2">
      <c r="AN416" s="2"/>
    </row>
    <row r="417" spans="40:40" x14ac:dyDescent="0.2">
      <c r="AN417" s="2"/>
    </row>
    <row r="418" spans="40:40" x14ac:dyDescent="0.2">
      <c r="AN418" s="2"/>
    </row>
    <row r="419" spans="40:40" x14ac:dyDescent="0.2">
      <c r="AN419" s="2"/>
    </row>
    <row r="420" spans="40:40" x14ac:dyDescent="0.2">
      <c r="AN420" s="2"/>
    </row>
    <row r="421" spans="40:40" x14ac:dyDescent="0.2">
      <c r="AN421" s="2"/>
    </row>
    <row r="422" spans="40:40" x14ac:dyDescent="0.2">
      <c r="AN422" s="2"/>
    </row>
    <row r="423" spans="40:40" x14ac:dyDescent="0.2">
      <c r="AN423" s="2"/>
    </row>
    <row r="424" spans="40:40" x14ac:dyDescent="0.2">
      <c r="AN424" s="2"/>
    </row>
    <row r="425" spans="40:40" x14ac:dyDescent="0.2">
      <c r="AN425" s="2"/>
    </row>
    <row r="426" spans="40:40" x14ac:dyDescent="0.2">
      <c r="AN426" s="2"/>
    </row>
    <row r="427" spans="40:40" x14ac:dyDescent="0.2">
      <c r="AN427" s="2"/>
    </row>
    <row r="428" spans="40:40" x14ac:dyDescent="0.2">
      <c r="AN428" s="2"/>
    </row>
    <row r="429" spans="40:40" x14ac:dyDescent="0.2">
      <c r="AN429" s="2"/>
    </row>
    <row r="430" spans="40:40" x14ac:dyDescent="0.2">
      <c r="AN430" s="2"/>
    </row>
    <row r="431" spans="40:40" x14ac:dyDescent="0.2">
      <c r="AN431" s="2"/>
    </row>
    <row r="432" spans="40:40" x14ac:dyDescent="0.2">
      <c r="AN432" s="2"/>
    </row>
    <row r="433" spans="40:40" x14ac:dyDescent="0.2">
      <c r="AN433" s="2"/>
    </row>
    <row r="434" spans="40:40" x14ac:dyDescent="0.2">
      <c r="AN434" s="2"/>
    </row>
    <row r="435" spans="40:40" x14ac:dyDescent="0.2">
      <c r="AN435" s="2"/>
    </row>
    <row r="436" spans="40:40" x14ac:dyDescent="0.2">
      <c r="AN436" s="2"/>
    </row>
    <row r="437" spans="40:40" x14ac:dyDescent="0.2">
      <c r="AN437" s="2"/>
    </row>
    <row r="438" spans="40:40" x14ac:dyDescent="0.2">
      <c r="AN438" s="2"/>
    </row>
    <row r="439" spans="40:40" x14ac:dyDescent="0.2">
      <c r="AN439" s="2"/>
    </row>
    <row r="440" spans="40:40" x14ac:dyDescent="0.2">
      <c r="AN440" s="2"/>
    </row>
    <row r="441" spans="40:40" x14ac:dyDescent="0.2">
      <c r="AN441" s="2"/>
    </row>
    <row r="442" spans="40:40" x14ac:dyDescent="0.2">
      <c r="AN442" s="2"/>
    </row>
    <row r="443" spans="40:40" x14ac:dyDescent="0.2">
      <c r="AN443" s="2"/>
    </row>
    <row r="444" spans="40:40" x14ac:dyDescent="0.2">
      <c r="AN444" s="2"/>
    </row>
    <row r="445" spans="40:40" x14ac:dyDescent="0.2">
      <c r="AN445" s="2"/>
    </row>
    <row r="446" spans="40:40" x14ac:dyDescent="0.2">
      <c r="AN446" s="2"/>
    </row>
    <row r="447" spans="40:40" x14ac:dyDescent="0.2">
      <c r="AN447" s="2"/>
    </row>
    <row r="448" spans="40:40" x14ac:dyDescent="0.2">
      <c r="AN448" s="2"/>
    </row>
    <row r="449" spans="40:40" x14ac:dyDescent="0.2">
      <c r="AN449" s="2"/>
    </row>
    <row r="450" spans="40:40" x14ac:dyDescent="0.2">
      <c r="AN450" s="2"/>
    </row>
    <row r="451" spans="40:40" x14ac:dyDescent="0.2">
      <c r="AN451" s="2"/>
    </row>
    <row r="452" spans="40:40" x14ac:dyDescent="0.2">
      <c r="AN452" s="2"/>
    </row>
    <row r="453" spans="40:40" x14ac:dyDescent="0.2">
      <c r="AN453" s="2"/>
    </row>
    <row r="454" spans="40:40" x14ac:dyDescent="0.2">
      <c r="AN454" s="2"/>
    </row>
    <row r="455" spans="40:40" x14ac:dyDescent="0.2">
      <c r="AN455" s="2"/>
    </row>
    <row r="456" spans="40:40" x14ac:dyDescent="0.2">
      <c r="AN456" s="2"/>
    </row>
    <row r="457" spans="40:40" x14ac:dyDescent="0.2">
      <c r="AN457" s="2"/>
    </row>
    <row r="458" spans="40:40" x14ac:dyDescent="0.2">
      <c r="AN458" s="2"/>
    </row>
    <row r="459" spans="40:40" x14ac:dyDescent="0.2">
      <c r="AN459" s="2"/>
    </row>
    <row r="460" spans="40:40" x14ac:dyDescent="0.2">
      <c r="AN460" s="2"/>
    </row>
    <row r="461" spans="40:40" x14ac:dyDescent="0.2">
      <c r="AN461" s="2"/>
    </row>
    <row r="462" spans="40:40" x14ac:dyDescent="0.2">
      <c r="AN462" s="2"/>
    </row>
    <row r="463" spans="40:40" x14ac:dyDescent="0.2">
      <c r="AN463" s="2"/>
    </row>
    <row r="464" spans="40:40" x14ac:dyDescent="0.2">
      <c r="AN464" s="2"/>
    </row>
    <row r="465" spans="40:40" x14ac:dyDescent="0.2">
      <c r="AN465" s="2"/>
    </row>
    <row r="466" spans="40:40" x14ac:dyDescent="0.2">
      <c r="AN466" s="2"/>
    </row>
    <row r="467" spans="40:40" x14ac:dyDescent="0.2">
      <c r="AN467" s="2"/>
    </row>
    <row r="468" spans="40:40" x14ac:dyDescent="0.2">
      <c r="AN468" s="2"/>
    </row>
    <row r="469" spans="40:40" x14ac:dyDescent="0.2">
      <c r="AN469" s="2"/>
    </row>
    <row r="470" spans="40:40" x14ac:dyDescent="0.2">
      <c r="AN470" s="2"/>
    </row>
    <row r="471" spans="40:40" x14ac:dyDescent="0.2">
      <c r="AN471" s="2"/>
    </row>
    <row r="472" spans="40:40" x14ac:dyDescent="0.2">
      <c r="AN472" s="2"/>
    </row>
    <row r="473" spans="40:40" x14ac:dyDescent="0.2">
      <c r="AN473" s="2"/>
    </row>
    <row r="474" spans="40:40" x14ac:dyDescent="0.2">
      <c r="AN474" s="2"/>
    </row>
    <row r="475" spans="40:40" x14ac:dyDescent="0.2">
      <c r="AN475" s="2"/>
    </row>
    <row r="476" spans="40:40" x14ac:dyDescent="0.2">
      <c r="AN476" s="2"/>
    </row>
    <row r="477" spans="40:40" x14ac:dyDescent="0.2">
      <c r="AN477" s="2"/>
    </row>
    <row r="478" spans="40:40" x14ac:dyDescent="0.2">
      <c r="AN478" s="2"/>
    </row>
    <row r="479" spans="40:40" x14ac:dyDescent="0.2">
      <c r="AN479" s="2"/>
    </row>
    <row r="480" spans="40:40" x14ac:dyDescent="0.2">
      <c r="AN480" s="2"/>
    </row>
    <row r="481" spans="40:40" x14ac:dyDescent="0.2">
      <c r="AN481" s="2"/>
    </row>
    <row r="482" spans="40:40" x14ac:dyDescent="0.2">
      <c r="AN482" s="2"/>
    </row>
    <row r="483" spans="40:40" x14ac:dyDescent="0.2">
      <c r="AN483" s="2"/>
    </row>
    <row r="484" spans="40:40" x14ac:dyDescent="0.2">
      <c r="AN484" s="2"/>
    </row>
    <row r="485" spans="40:40" x14ac:dyDescent="0.2">
      <c r="AN485" s="2"/>
    </row>
    <row r="486" spans="40:40" x14ac:dyDescent="0.2">
      <c r="AN486" s="2"/>
    </row>
    <row r="487" spans="40:40" x14ac:dyDescent="0.2">
      <c r="AN487" s="2"/>
    </row>
    <row r="488" spans="40:40" x14ac:dyDescent="0.2">
      <c r="AN488" s="2"/>
    </row>
    <row r="489" spans="40:40" x14ac:dyDescent="0.2">
      <c r="AN489" s="2"/>
    </row>
    <row r="490" spans="40:40" x14ac:dyDescent="0.2">
      <c r="AN490" s="2"/>
    </row>
    <row r="491" spans="40:40" x14ac:dyDescent="0.2">
      <c r="AN491" s="2"/>
    </row>
    <row r="492" spans="40:40" x14ac:dyDescent="0.2">
      <c r="AN492" s="2"/>
    </row>
    <row r="493" spans="40:40" x14ac:dyDescent="0.2">
      <c r="AN493" s="2"/>
    </row>
    <row r="494" spans="40:40" x14ac:dyDescent="0.2">
      <c r="AN494" s="2"/>
    </row>
    <row r="495" spans="40:40" x14ac:dyDescent="0.2">
      <c r="AN495" s="2"/>
    </row>
    <row r="496" spans="40:40" x14ac:dyDescent="0.2">
      <c r="AN496" s="2"/>
    </row>
    <row r="497" spans="40:40" x14ac:dyDescent="0.2">
      <c r="AN497" s="2"/>
    </row>
    <row r="498" spans="40:40" x14ac:dyDescent="0.2">
      <c r="AN498" s="2"/>
    </row>
    <row r="499" spans="40:40" x14ac:dyDescent="0.2">
      <c r="AN499" s="2"/>
    </row>
    <row r="500" spans="40:40" x14ac:dyDescent="0.2">
      <c r="AN500" s="2"/>
    </row>
    <row r="501" spans="40:40" x14ac:dyDescent="0.2">
      <c r="AN501" s="2"/>
    </row>
    <row r="502" spans="40:40" x14ac:dyDescent="0.2">
      <c r="AN502" s="2"/>
    </row>
    <row r="503" spans="40:40" x14ac:dyDescent="0.2">
      <c r="AN503" s="2"/>
    </row>
    <row r="504" spans="40:40" x14ac:dyDescent="0.2">
      <c r="AN504" s="2"/>
    </row>
    <row r="505" spans="40:40" x14ac:dyDescent="0.2">
      <c r="AN505" s="2"/>
    </row>
    <row r="506" spans="40:40" x14ac:dyDescent="0.2">
      <c r="AN506" s="2"/>
    </row>
    <row r="507" spans="40:40" x14ac:dyDescent="0.2">
      <c r="AN507" s="2"/>
    </row>
    <row r="508" spans="40:40" x14ac:dyDescent="0.2">
      <c r="AN508" s="2"/>
    </row>
    <row r="509" spans="40:40" x14ac:dyDescent="0.2">
      <c r="AN509" s="2"/>
    </row>
    <row r="510" spans="40:40" x14ac:dyDescent="0.2">
      <c r="AN510" s="2"/>
    </row>
    <row r="511" spans="40:40" x14ac:dyDescent="0.2">
      <c r="AN511" s="2"/>
    </row>
    <row r="512" spans="40:40" x14ac:dyDescent="0.2">
      <c r="AN512" s="2"/>
    </row>
    <row r="513" spans="40:40" x14ac:dyDescent="0.2">
      <c r="AN513" s="2"/>
    </row>
    <row r="514" spans="40:40" x14ac:dyDescent="0.2">
      <c r="AN514" s="2"/>
    </row>
    <row r="515" spans="40:40" x14ac:dyDescent="0.2">
      <c r="AN515" s="2"/>
    </row>
    <row r="516" spans="40:40" x14ac:dyDescent="0.2">
      <c r="AN516" s="2"/>
    </row>
    <row r="517" spans="40:40" x14ac:dyDescent="0.2">
      <c r="AN517" s="2"/>
    </row>
    <row r="518" spans="40:40" x14ac:dyDescent="0.2">
      <c r="AN518" s="2"/>
    </row>
    <row r="519" spans="40:40" x14ac:dyDescent="0.2">
      <c r="AN519" s="2"/>
    </row>
    <row r="520" spans="40:40" x14ac:dyDescent="0.2">
      <c r="AN520" s="2"/>
    </row>
    <row r="521" spans="40:40" x14ac:dyDescent="0.2">
      <c r="AN521" s="2"/>
    </row>
    <row r="522" spans="40:40" x14ac:dyDescent="0.2">
      <c r="AN522" s="2"/>
    </row>
    <row r="523" spans="40:40" x14ac:dyDescent="0.2">
      <c r="AN523" s="2"/>
    </row>
    <row r="524" spans="40:40" x14ac:dyDescent="0.2">
      <c r="AN524" s="2"/>
    </row>
    <row r="525" spans="40:40" x14ac:dyDescent="0.2">
      <c r="AN525" s="2"/>
    </row>
    <row r="526" spans="40:40" x14ac:dyDescent="0.2">
      <c r="AN526" s="2"/>
    </row>
    <row r="527" spans="40:40" x14ac:dyDescent="0.2">
      <c r="AN527" s="2"/>
    </row>
    <row r="528" spans="40:40" x14ac:dyDescent="0.2">
      <c r="AN528" s="2"/>
    </row>
    <row r="529" spans="40:40" x14ac:dyDescent="0.2">
      <c r="AN529" s="2"/>
    </row>
    <row r="530" spans="40:40" x14ac:dyDescent="0.2">
      <c r="AN530" s="2"/>
    </row>
    <row r="531" spans="40:40" x14ac:dyDescent="0.2">
      <c r="AN531" s="2"/>
    </row>
    <row r="532" spans="40:40" x14ac:dyDescent="0.2">
      <c r="AN532" s="2"/>
    </row>
    <row r="533" spans="40:40" x14ac:dyDescent="0.2">
      <c r="AN533" s="2"/>
    </row>
    <row r="534" spans="40:40" x14ac:dyDescent="0.2">
      <c r="AN534" s="2"/>
    </row>
    <row r="535" spans="40:40" x14ac:dyDescent="0.2">
      <c r="AN535" s="2"/>
    </row>
    <row r="536" spans="40:40" x14ac:dyDescent="0.2">
      <c r="AN536" s="2"/>
    </row>
    <row r="537" spans="40:40" x14ac:dyDescent="0.2">
      <c r="AN537" s="2"/>
    </row>
    <row r="538" spans="40:40" x14ac:dyDescent="0.2">
      <c r="AN538" s="2"/>
    </row>
    <row r="539" spans="40:40" x14ac:dyDescent="0.2">
      <c r="AN539" s="2"/>
    </row>
    <row r="540" spans="40:40" x14ac:dyDescent="0.2">
      <c r="AN540" s="2"/>
    </row>
    <row r="541" spans="40:40" x14ac:dyDescent="0.2">
      <c r="AN541" s="2"/>
    </row>
    <row r="542" spans="40:40" x14ac:dyDescent="0.2">
      <c r="AN542" s="2"/>
    </row>
    <row r="543" spans="40:40" x14ac:dyDescent="0.2">
      <c r="AN543" s="2"/>
    </row>
    <row r="544" spans="40:40" x14ac:dyDescent="0.2">
      <c r="AN544" s="2"/>
    </row>
    <row r="545" spans="40:40" x14ac:dyDescent="0.2">
      <c r="AN545" s="2"/>
    </row>
    <row r="546" spans="40:40" x14ac:dyDescent="0.2">
      <c r="AN546" s="2"/>
    </row>
    <row r="547" spans="40:40" x14ac:dyDescent="0.2">
      <c r="AN547" s="2"/>
    </row>
    <row r="548" spans="40:40" x14ac:dyDescent="0.2">
      <c r="AN548" s="2"/>
    </row>
    <row r="549" spans="40:40" x14ac:dyDescent="0.2">
      <c r="AN549" s="2"/>
    </row>
    <row r="550" spans="40:40" x14ac:dyDescent="0.2">
      <c r="AN550" s="2"/>
    </row>
    <row r="551" spans="40:40" x14ac:dyDescent="0.2">
      <c r="AN551" s="2"/>
    </row>
    <row r="552" spans="40:40" x14ac:dyDescent="0.2">
      <c r="AN552" s="2"/>
    </row>
    <row r="553" spans="40:40" x14ac:dyDescent="0.2">
      <c r="AN553" s="2"/>
    </row>
    <row r="554" spans="40:40" x14ac:dyDescent="0.2">
      <c r="AN554" s="2"/>
    </row>
    <row r="555" spans="40:40" x14ac:dyDescent="0.2">
      <c r="AN555" s="2"/>
    </row>
    <row r="556" spans="40:40" x14ac:dyDescent="0.2">
      <c r="AN556" s="2"/>
    </row>
    <row r="557" spans="40:40" x14ac:dyDescent="0.2">
      <c r="AN557" s="2"/>
    </row>
    <row r="558" spans="40:40" x14ac:dyDescent="0.2">
      <c r="AN558" s="2"/>
    </row>
    <row r="559" spans="40:40" x14ac:dyDescent="0.2">
      <c r="AN559" s="2"/>
    </row>
    <row r="560" spans="40:40" x14ac:dyDescent="0.2">
      <c r="AN560" s="2"/>
    </row>
    <row r="561" spans="40:40" x14ac:dyDescent="0.2">
      <c r="AN561" s="2"/>
    </row>
    <row r="562" spans="40:40" x14ac:dyDescent="0.2">
      <c r="AN562" s="2"/>
    </row>
    <row r="563" spans="40:40" x14ac:dyDescent="0.2">
      <c r="AN563" s="2"/>
    </row>
    <row r="564" spans="40:40" x14ac:dyDescent="0.2">
      <c r="AN564" s="2"/>
    </row>
    <row r="565" spans="40:40" x14ac:dyDescent="0.2">
      <c r="AN565" s="2"/>
    </row>
    <row r="566" spans="40:40" x14ac:dyDescent="0.2">
      <c r="AN566" s="2"/>
    </row>
    <row r="567" spans="40:40" x14ac:dyDescent="0.2">
      <c r="AN567" s="2"/>
    </row>
    <row r="568" spans="40:40" x14ac:dyDescent="0.2">
      <c r="AN568" s="2"/>
    </row>
    <row r="569" spans="40:40" x14ac:dyDescent="0.2">
      <c r="AN569" s="2"/>
    </row>
    <row r="570" spans="40:40" x14ac:dyDescent="0.2">
      <c r="AN570" s="2"/>
    </row>
    <row r="571" spans="40:40" x14ac:dyDescent="0.2">
      <c r="AN571" s="2"/>
    </row>
    <row r="572" spans="40:40" x14ac:dyDescent="0.2">
      <c r="AN572" s="2"/>
    </row>
    <row r="573" spans="40:40" x14ac:dyDescent="0.2">
      <c r="AN573" s="2"/>
    </row>
    <row r="574" spans="40:40" x14ac:dyDescent="0.2">
      <c r="AN574" s="2"/>
    </row>
    <row r="575" spans="40:40" x14ac:dyDescent="0.2">
      <c r="AN575" s="2"/>
    </row>
    <row r="576" spans="40:40" x14ac:dyDescent="0.2">
      <c r="AN576" s="2"/>
    </row>
    <row r="577" spans="40:40" x14ac:dyDescent="0.2">
      <c r="AN577" s="2"/>
    </row>
    <row r="578" spans="40:40" x14ac:dyDescent="0.2">
      <c r="AN578" s="2"/>
    </row>
    <row r="579" spans="40:40" x14ac:dyDescent="0.2">
      <c r="AN579" s="2"/>
    </row>
    <row r="580" spans="40:40" x14ac:dyDescent="0.2">
      <c r="AN580" s="2"/>
    </row>
    <row r="581" spans="40:40" x14ac:dyDescent="0.2">
      <c r="AN581" s="2"/>
    </row>
    <row r="582" spans="40:40" x14ac:dyDescent="0.2">
      <c r="AN582" s="2"/>
    </row>
    <row r="583" spans="40:40" x14ac:dyDescent="0.2">
      <c r="AN583" s="2"/>
    </row>
    <row r="584" spans="40:40" x14ac:dyDescent="0.2">
      <c r="AN584" s="2"/>
    </row>
    <row r="585" spans="40:40" x14ac:dyDescent="0.2">
      <c r="AN585" s="2"/>
    </row>
    <row r="586" spans="40:40" x14ac:dyDescent="0.2">
      <c r="AN586" s="2"/>
    </row>
    <row r="587" spans="40:40" x14ac:dyDescent="0.2">
      <c r="AN587" s="2"/>
    </row>
    <row r="588" spans="40:40" x14ac:dyDescent="0.2">
      <c r="AN588" s="2"/>
    </row>
    <row r="589" spans="40:40" x14ac:dyDescent="0.2">
      <c r="AN589" s="2"/>
    </row>
    <row r="590" spans="40:40" x14ac:dyDescent="0.2">
      <c r="AN590" s="2"/>
    </row>
    <row r="591" spans="40:40" x14ac:dyDescent="0.2">
      <c r="AN591" s="2"/>
    </row>
    <row r="592" spans="40:40" x14ac:dyDescent="0.2">
      <c r="AN592" s="2"/>
    </row>
    <row r="593" spans="40:40" x14ac:dyDescent="0.2">
      <c r="AN593" s="2"/>
    </row>
    <row r="594" spans="40:40" x14ac:dyDescent="0.2">
      <c r="AN594" s="2"/>
    </row>
    <row r="595" spans="40:40" x14ac:dyDescent="0.2">
      <c r="AN595" s="2"/>
    </row>
    <row r="596" spans="40:40" x14ac:dyDescent="0.2">
      <c r="AN596" s="2"/>
    </row>
    <row r="597" spans="40:40" x14ac:dyDescent="0.2">
      <c r="AN597" s="2"/>
    </row>
    <row r="598" spans="40:40" x14ac:dyDescent="0.2">
      <c r="AN598" s="2"/>
    </row>
    <row r="599" spans="40:40" x14ac:dyDescent="0.2">
      <c r="AN599" s="2"/>
    </row>
    <row r="600" spans="40:40" x14ac:dyDescent="0.2">
      <c r="AN600" s="2"/>
    </row>
    <row r="601" spans="40:40" x14ac:dyDescent="0.2">
      <c r="AN601" s="2"/>
    </row>
    <row r="602" spans="40:40" x14ac:dyDescent="0.2">
      <c r="AN602" s="2"/>
    </row>
    <row r="603" spans="40:40" x14ac:dyDescent="0.2">
      <c r="AN603" s="2"/>
    </row>
    <row r="604" spans="40:40" x14ac:dyDescent="0.2">
      <c r="AN604" s="2"/>
    </row>
    <row r="605" spans="40:40" x14ac:dyDescent="0.2">
      <c r="AN605" s="2"/>
    </row>
    <row r="606" spans="40:40" x14ac:dyDescent="0.2">
      <c r="AN606" s="2"/>
    </row>
    <row r="607" spans="40:40" x14ac:dyDescent="0.2">
      <c r="AN607" s="2"/>
    </row>
    <row r="608" spans="40:40" x14ac:dyDescent="0.2">
      <c r="AN608" s="2"/>
    </row>
    <row r="609" spans="40:40" x14ac:dyDescent="0.2">
      <c r="AN609" s="2"/>
    </row>
    <row r="610" spans="40:40" x14ac:dyDescent="0.2">
      <c r="AN610" s="2"/>
    </row>
    <row r="611" spans="40:40" x14ac:dyDescent="0.2">
      <c r="AN611" s="2"/>
    </row>
    <row r="612" spans="40:40" x14ac:dyDescent="0.2">
      <c r="AN612" s="2"/>
    </row>
    <row r="613" spans="40:40" x14ac:dyDescent="0.2">
      <c r="AN613" s="2"/>
    </row>
    <row r="614" spans="40:40" x14ac:dyDescent="0.2">
      <c r="AN614" s="2"/>
    </row>
    <row r="615" spans="40:40" x14ac:dyDescent="0.2">
      <c r="AN615" s="2"/>
    </row>
    <row r="616" spans="40:40" x14ac:dyDescent="0.2">
      <c r="AN616" s="2"/>
    </row>
    <row r="617" spans="40:40" x14ac:dyDescent="0.2">
      <c r="AN617" s="2"/>
    </row>
    <row r="618" spans="40:40" x14ac:dyDescent="0.2">
      <c r="AN618" s="2"/>
    </row>
    <row r="619" spans="40:40" x14ac:dyDescent="0.2">
      <c r="AN619" s="2"/>
    </row>
    <row r="620" spans="40:40" x14ac:dyDescent="0.2">
      <c r="AN620" s="2"/>
    </row>
    <row r="621" spans="40:40" x14ac:dyDescent="0.2">
      <c r="AN621" s="2"/>
    </row>
    <row r="622" spans="40:40" x14ac:dyDescent="0.2">
      <c r="AN622" s="2"/>
    </row>
    <row r="623" spans="40:40" x14ac:dyDescent="0.2">
      <c r="AN623" s="2"/>
    </row>
    <row r="624" spans="40:40" x14ac:dyDescent="0.2">
      <c r="AN624" s="2"/>
    </row>
    <row r="625" spans="40:40" x14ac:dyDescent="0.2">
      <c r="AN625" s="2"/>
    </row>
    <row r="626" spans="40:40" x14ac:dyDescent="0.2">
      <c r="AN626" s="2"/>
    </row>
    <row r="627" spans="40:40" x14ac:dyDescent="0.2">
      <c r="AN627" s="2"/>
    </row>
    <row r="628" spans="40:40" x14ac:dyDescent="0.2">
      <c r="AN628" s="2"/>
    </row>
    <row r="629" spans="40:40" x14ac:dyDescent="0.2">
      <c r="AN629" s="2"/>
    </row>
    <row r="630" spans="40:40" x14ac:dyDescent="0.2">
      <c r="AN630" s="2"/>
    </row>
    <row r="631" spans="40:40" x14ac:dyDescent="0.2">
      <c r="AN631" s="2"/>
    </row>
    <row r="632" spans="40:40" x14ac:dyDescent="0.2">
      <c r="AN632" s="2"/>
    </row>
    <row r="633" spans="40:40" x14ac:dyDescent="0.2">
      <c r="AN633" s="2"/>
    </row>
    <row r="634" spans="40:40" x14ac:dyDescent="0.2">
      <c r="AN634" s="2"/>
    </row>
    <row r="635" spans="40:40" x14ac:dyDescent="0.2">
      <c r="AN635" s="2"/>
    </row>
    <row r="636" spans="40:40" x14ac:dyDescent="0.2">
      <c r="AN636" s="2"/>
    </row>
    <row r="637" spans="40:40" x14ac:dyDescent="0.2">
      <c r="AN637" s="2"/>
    </row>
    <row r="638" spans="40:40" x14ac:dyDescent="0.2">
      <c r="AN638" s="2"/>
    </row>
    <row r="639" spans="40:40" x14ac:dyDescent="0.2">
      <c r="AN639" s="2"/>
    </row>
    <row r="640" spans="40:40" x14ac:dyDescent="0.2">
      <c r="AN640" s="2"/>
    </row>
    <row r="641" spans="40:40" x14ac:dyDescent="0.2">
      <c r="AN641" s="2"/>
    </row>
    <row r="642" spans="40:40" x14ac:dyDescent="0.2">
      <c r="AN642" s="2"/>
    </row>
    <row r="643" spans="40:40" x14ac:dyDescent="0.2">
      <c r="AN643" s="2"/>
    </row>
    <row r="644" spans="40:40" x14ac:dyDescent="0.2">
      <c r="AN644" s="2"/>
    </row>
    <row r="645" spans="40:40" x14ac:dyDescent="0.2">
      <c r="AN645" s="2"/>
    </row>
    <row r="646" spans="40:40" x14ac:dyDescent="0.2">
      <c r="AN646" s="2"/>
    </row>
    <row r="647" spans="40:40" x14ac:dyDescent="0.2">
      <c r="AN647" s="2"/>
    </row>
    <row r="648" spans="40:40" x14ac:dyDescent="0.2">
      <c r="AN648" s="2"/>
    </row>
    <row r="649" spans="40:40" x14ac:dyDescent="0.2">
      <c r="AN649" s="2"/>
    </row>
    <row r="650" spans="40:40" x14ac:dyDescent="0.2">
      <c r="AN650" s="2"/>
    </row>
    <row r="651" spans="40:40" x14ac:dyDescent="0.2">
      <c r="AN651" s="2"/>
    </row>
    <row r="652" spans="40:40" x14ac:dyDescent="0.2">
      <c r="AN652" s="2"/>
    </row>
    <row r="653" spans="40:40" x14ac:dyDescent="0.2">
      <c r="AN653" s="2"/>
    </row>
    <row r="654" spans="40:40" x14ac:dyDescent="0.2">
      <c r="AN654" s="2"/>
    </row>
    <row r="655" spans="40:40" x14ac:dyDescent="0.2">
      <c r="AN655" s="2"/>
    </row>
    <row r="656" spans="40:40" x14ac:dyDescent="0.2">
      <c r="AN656" s="2"/>
    </row>
    <row r="657" spans="40:40" x14ac:dyDescent="0.2">
      <c r="AN657" s="2"/>
    </row>
    <row r="658" spans="40:40" x14ac:dyDescent="0.2">
      <c r="AN658" s="2"/>
    </row>
    <row r="659" spans="40:40" x14ac:dyDescent="0.2">
      <c r="AN659" s="2"/>
    </row>
    <row r="660" spans="40:40" x14ac:dyDescent="0.2">
      <c r="AN660" s="2"/>
    </row>
    <row r="661" spans="40:40" x14ac:dyDescent="0.2">
      <c r="AN661" s="2"/>
    </row>
    <row r="662" spans="40:40" x14ac:dyDescent="0.2">
      <c r="AN662" s="2"/>
    </row>
    <row r="663" spans="40:40" x14ac:dyDescent="0.2">
      <c r="AN663" s="2"/>
    </row>
    <row r="664" spans="40:40" x14ac:dyDescent="0.2">
      <c r="AN664" s="2"/>
    </row>
    <row r="665" spans="40:40" x14ac:dyDescent="0.2">
      <c r="AN665" s="2"/>
    </row>
    <row r="666" spans="40:40" x14ac:dyDescent="0.2">
      <c r="AN666" s="2"/>
    </row>
    <row r="667" spans="40:40" x14ac:dyDescent="0.2">
      <c r="AN667" s="2"/>
    </row>
    <row r="668" spans="40:40" x14ac:dyDescent="0.2">
      <c r="AN668" s="2"/>
    </row>
    <row r="669" spans="40:40" x14ac:dyDescent="0.2">
      <c r="AN669" s="2"/>
    </row>
    <row r="670" spans="40:40" x14ac:dyDescent="0.2">
      <c r="AN670" s="2"/>
    </row>
    <row r="671" spans="40:40" x14ac:dyDescent="0.2">
      <c r="AN671" s="2"/>
    </row>
    <row r="672" spans="40:40" x14ac:dyDescent="0.2">
      <c r="AN672" s="2"/>
    </row>
    <row r="673" spans="40:40" x14ac:dyDescent="0.2">
      <c r="AN673" s="2"/>
    </row>
    <row r="674" spans="40:40" x14ac:dyDescent="0.2">
      <c r="AN674" s="2"/>
    </row>
    <row r="675" spans="40:40" x14ac:dyDescent="0.2">
      <c r="AN675" s="2"/>
    </row>
    <row r="676" spans="40:40" x14ac:dyDescent="0.2">
      <c r="AN676" s="2"/>
    </row>
    <row r="677" spans="40:40" x14ac:dyDescent="0.2">
      <c r="AN677" s="2"/>
    </row>
    <row r="678" spans="40:40" x14ac:dyDescent="0.2">
      <c r="AN678" s="2"/>
    </row>
    <row r="679" spans="40:40" x14ac:dyDescent="0.2">
      <c r="AN679" s="2"/>
    </row>
    <row r="680" spans="40:40" x14ac:dyDescent="0.2">
      <c r="AN680" s="2"/>
    </row>
    <row r="681" spans="40:40" x14ac:dyDescent="0.2">
      <c r="AN681" s="2"/>
    </row>
    <row r="682" spans="40:40" x14ac:dyDescent="0.2">
      <c r="AN682" s="2"/>
    </row>
    <row r="683" spans="40:40" x14ac:dyDescent="0.2">
      <c r="AN683" s="2"/>
    </row>
    <row r="684" spans="40:40" x14ac:dyDescent="0.2">
      <c r="AN684" s="2"/>
    </row>
    <row r="685" spans="40:40" x14ac:dyDescent="0.2">
      <c r="AN685" s="2"/>
    </row>
    <row r="686" spans="40:40" x14ac:dyDescent="0.2">
      <c r="AN686" s="2"/>
    </row>
    <row r="687" spans="40:40" x14ac:dyDescent="0.2">
      <c r="AN687" s="2"/>
    </row>
    <row r="688" spans="40:40" x14ac:dyDescent="0.2">
      <c r="AN688" s="2"/>
    </row>
    <row r="689" spans="40:40" x14ac:dyDescent="0.2">
      <c r="AN689" s="2"/>
    </row>
    <row r="690" spans="40:40" x14ac:dyDescent="0.2">
      <c r="AN690" s="2"/>
    </row>
    <row r="691" spans="40:40" x14ac:dyDescent="0.2">
      <c r="AN691" s="2"/>
    </row>
    <row r="692" spans="40:40" x14ac:dyDescent="0.2">
      <c r="AN692" s="2"/>
    </row>
    <row r="693" spans="40:40" x14ac:dyDescent="0.2">
      <c r="AN693" s="2"/>
    </row>
    <row r="694" spans="40:40" x14ac:dyDescent="0.2">
      <c r="AN694" s="2"/>
    </row>
    <row r="695" spans="40:40" x14ac:dyDescent="0.2">
      <c r="AN695" s="2"/>
    </row>
    <row r="696" spans="40:40" x14ac:dyDescent="0.2">
      <c r="AN696" s="2"/>
    </row>
    <row r="697" spans="40:40" x14ac:dyDescent="0.2">
      <c r="AN697" s="2"/>
    </row>
    <row r="698" spans="40:40" x14ac:dyDescent="0.2">
      <c r="AN698" s="2"/>
    </row>
    <row r="699" spans="40:40" x14ac:dyDescent="0.2">
      <c r="AN699" s="2"/>
    </row>
    <row r="700" spans="40:40" x14ac:dyDescent="0.2">
      <c r="AN700" s="2"/>
    </row>
    <row r="701" spans="40:40" x14ac:dyDescent="0.2">
      <c r="AN701" s="2"/>
    </row>
    <row r="702" spans="40:40" x14ac:dyDescent="0.2">
      <c r="AN702" s="2"/>
    </row>
    <row r="703" spans="40:40" x14ac:dyDescent="0.2">
      <c r="AN703" s="2"/>
    </row>
    <row r="704" spans="40:40" x14ac:dyDescent="0.2">
      <c r="AN704" s="2"/>
    </row>
    <row r="705" spans="40:40" x14ac:dyDescent="0.2">
      <c r="AN705" s="2"/>
    </row>
    <row r="706" spans="40:40" x14ac:dyDescent="0.2">
      <c r="AN706" s="2"/>
    </row>
    <row r="707" spans="40:40" x14ac:dyDescent="0.2">
      <c r="AN707" s="2"/>
    </row>
    <row r="708" spans="40:40" x14ac:dyDescent="0.2">
      <c r="AN708" s="2"/>
    </row>
    <row r="709" spans="40:40" x14ac:dyDescent="0.2">
      <c r="AN709" s="2"/>
    </row>
    <row r="710" spans="40:40" x14ac:dyDescent="0.2">
      <c r="AN710" s="2"/>
    </row>
    <row r="711" spans="40:40" x14ac:dyDescent="0.2">
      <c r="AN711" s="2"/>
    </row>
    <row r="712" spans="40:40" x14ac:dyDescent="0.2">
      <c r="AN712" s="2"/>
    </row>
    <row r="713" spans="40:40" x14ac:dyDescent="0.2">
      <c r="AN713" s="2"/>
    </row>
    <row r="714" spans="40:40" x14ac:dyDescent="0.2">
      <c r="AN714" s="2"/>
    </row>
    <row r="715" spans="40:40" x14ac:dyDescent="0.2">
      <c r="AN715" s="2"/>
    </row>
    <row r="716" spans="40:40" x14ac:dyDescent="0.2">
      <c r="AN716" s="2"/>
    </row>
    <row r="717" spans="40:40" x14ac:dyDescent="0.2">
      <c r="AN717" s="2"/>
    </row>
    <row r="718" spans="40:40" x14ac:dyDescent="0.2">
      <c r="AN718" s="2"/>
    </row>
    <row r="719" spans="40:40" x14ac:dyDescent="0.2">
      <c r="AN719" s="2"/>
    </row>
    <row r="720" spans="40:40" x14ac:dyDescent="0.2">
      <c r="AN720" s="2"/>
    </row>
    <row r="721" spans="40:40" x14ac:dyDescent="0.2">
      <c r="AN721" s="2"/>
    </row>
    <row r="722" spans="40:40" x14ac:dyDescent="0.2">
      <c r="AN722" s="2"/>
    </row>
    <row r="723" spans="40:40" x14ac:dyDescent="0.2">
      <c r="AN723" s="2"/>
    </row>
    <row r="724" spans="40:40" x14ac:dyDescent="0.2">
      <c r="AN724" s="2"/>
    </row>
    <row r="725" spans="40:40" x14ac:dyDescent="0.2">
      <c r="AN725" s="2"/>
    </row>
    <row r="726" spans="40:40" x14ac:dyDescent="0.2">
      <c r="AN726" s="2"/>
    </row>
    <row r="727" spans="40:40" x14ac:dyDescent="0.2">
      <c r="AN727" s="2"/>
    </row>
    <row r="728" spans="40:40" x14ac:dyDescent="0.2">
      <c r="AN728" s="2"/>
    </row>
    <row r="729" spans="40:40" x14ac:dyDescent="0.2">
      <c r="AN729" s="2"/>
    </row>
    <row r="730" spans="40:40" x14ac:dyDescent="0.2">
      <c r="AN730" s="2"/>
    </row>
    <row r="731" spans="40:40" x14ac:dyDescent="0.2">
      <c r="AN731" s="2"/>
    </row>
    <row r="732" spans="40:40" x14ac:dyDescent="0.2">
      <c r="AN732" s="2"/>
    </row>
    <row r="733" spans="40:40" x14ac:dyDescent="0.2">
      <c r="AN733" s="2"/>
    </row>
    <row r="734" spans="40:40" x14ac:dyDescent="0.2">
      <c r="AN734" s="2"/>
    </row>
    <row r="735" spans="40:40" x14ac:dyDescent="0.2">
      <c r="AN735" s="2"/>
    </row>
    <row r="736" spans="40:40" x14ac:dyDescent="0.2">
      <c r="AN736" s="2"/>
    </row>
    <row r="737" spans="40:40" x14ac:dyDescent="0.2">
      <c r="AN737" s="2"/>
    </row>
    <row r="738" spans="40:40" x14ac:dyDescent="0.2">
      <c r="AN738" s="2"/>
    </row>
    <row r="739" spans="40:40" x14ac:dyDescent="0.2">
      <c r="AN739" s="2"/>
    </row>
    <row r="740" spans="40:40" x14ac:dyDescent="0.2">
      <c r="AN740" s="2"/>
    </row>
    <row r="741" spans="40:40" x14ac:dyDescent="0.2">
      <c r="AN741" s="2"/>
    </row>
    <row r="742" spans="40:40" x14ac:dyDescent="0.2">
      <c r="AN742" s="2"/>
    </row>
    <row r="743" spans="40:40" x14ac:dyDescent="0.2">
      <c r="AN743" s="2"/>
    </row>
    <row r="744" spans="40:40" x14ac:dyDescent="0.2">
      <c r="AN744" s="2"/>
    </row>
    <row r="745" spans="40:40" x14ac:dyDescent="0.2">
      <c r="AN745" s="2"/>
    </row>
    <row r="746" spans="40:40" x14ac:dyDescent="0.2">
      <c r="AN746" s="2"/>
    </row>
    <row r="747" spans="40:40" x14ac:dyDescent="0.2">
      <c r="AN747" s="2"/>
    </row>
    <row r="748" spans="40:40" x14ac:dyDescent="0.2">
      <c r="AN748" s="2"/>
    </row>
    <row r="749" spans="40:40" x14ac:dyDescent="0.2">
      <c r="AN749" s="2"/>
    </row>
    <row r="750" spans="40:40" x14ac:dyDescent="0.2">
      <c r="AN750" s="2"/>
    </row>
    <row r="751" spans="40:40" x14ac:dyDescent="0.2">
      <c r="AN751" s="2"/>
    </row>
    <row r="752" spans="40:40" x14ac:dyDescent="0.2">
      <c r="AN752" s="2"/>
    </row>
    <row r="753" spans="40:40" x14ac:dyDescent="0.2">
      <c r="AN753" s="2"/>
    </row>
    <row r="754" spans="40:40" x14ac:dyDescent="0.2">
      <c r="AN754" s="2"/>
    </row>
    <row r="755" spans="40:40" x14ac:dyDescent="0.2">
      <c r="AN755" s="2"/>
    </row>
    <row r="756" spans="40:40" x14ac:dyDescent="0.2">
      <c r="AN756" s="2"/>
    </row>
    <row r="757" spans="40:40" x14ac:dyDescent="0.2">
      <c r="AN757" s="2"/>
    </row>
    <row r="758" spans="40:40" x14ac:dyDescent="0.2">
      <c r="AN758" s="2"/>
    </row>
    <row r="759" spans="40:40" x14ac:dyDescent="0.2">
      <c r="AN759" s="2"/>
    </row>
    <row r="760" spans="40:40" x14ac:dyDescent="0.2">
      <c r="AN760" s="2"/>
    </row>
    <row r="761" spans="40:40" x14ac:dyDescent="0.2">
      <c r="AN761" s="2"/>
    </row>
    <row r="762" spans="40:40" x14ac:dyDescent="0.2">
      <c r="AN762" s="2"/>
    </row>
    <row r="763" spans="40:40" x14ac:dyDescent="0.2">
      <c r="AN763" s="2"/>
    </row>
    <row r="764" spans="40:40" x14ac:dyDescent="0.2">
      <c r="AN764" s="2"/>
    </row>
    <row r="765" spans="40:40" x14ac:dyDescent="0.2">
      <c r="AN765" s="2"/>
    </row>
    <row r="766" spans="40:40" x14ac:dyDescent="0.2">
      <c r="AN766" s="2"/>
    </row>
    <row r="767" spans="40:40" x14ac:dyDescent="0.2">
      <c r="AN767" s="2"/>
    </row>
    <row r="768" spans="40:40" x14ac:dyDescent="0.2">
      <c r="AN768" s="2"/>
    </row>
    <row r="769" spans="40:40" x14ac:dyDescent="0.2">
      <c r="AN769" s="2"/>
    </row>
    <row r="770" spans="40:40" x14ac:dyDescent="0.2">
      <c r="AN770" s="2"/>
    </row>
    <row r="771" spans="40:40" x14ac:dyDescent="0.2">
      <c r="AN771" s="2"/>
    </row>
    <row r="772" spans="40:40" x14ac:dyDescent="0.2">
      <c r="AN772" s="2"/>
    </row>
    <row r="773" spans="40:40" x14ac:dyDescent="0.2">
      <c r="AN773" s="2"/>
    </row>
    <row r="774" spans="40:40" x14ac:dyDescent="0.2">
      <c r="AN774" s="2"/>
    </row>
    <row r="775" spans="40:40" x14ac:dyDescent="0.2">
      <c r="AN775" s="2"/>
    </row>
    <row r="776" spans="40:40" x14ac:dyDescent="0.2">
      <c r="AN776" s="2"/>
    </row>
    <row r="777" spans="40:40" x14ac:dyDescent="0.2">
      <c r="AN777" s="2"/>
    </row>
    <row r="778" spans="40:40" x14ac:dyDescent="0.2">
      <c r="AN778" s="2"/>
    </row>
    <row r="779" spans="40:40" x14ac:dyDescent="0.2">
      <c r="AN779" s="2"/>
    </row>
    <row r="780" spans="40:40" x14ac:dyDescent="0.2">
      <c r="AN780" s="2"/>
    </row>
    <row r="781" spans="40:40" x14ac:dyDescent="0.2">
      <c r="AN781" s="2"/>
    </row>
    <row r="782" spans="40:40" x14ac:dyDescent="0.2">
      <c r="AN782" s="2"/>
    </row>
    <row r="783" spans="40:40" x14ac:dyDescent="0.2">
      <c r="AN783" s="2"/>
    </row>
    <row r="784" spans="40:40" x14ac:dyDescent="0.2">
      <c r="AN784" s="2"/>
    </row>
    <row r="785" spans="40:40" x14ac:dyDescent="0.2">
      <c r="AN785" s="2"/>
    </row>
    <row r="786" spans="40:40" x14ac:dyDescent="0.2">
      <c r="AN786" s="2"/>
    </row>
    <row r="787" spans="40:40" x14ac:dyDescent="0.2">
      <c r="AN787" s="2"/>
    </row>
    <row r="788" spans="40:40" x14ac:dyDescent="0.2">
      <c r="AN788" s="2"/>
    </row>
    <row r="789" spans="40:40" x14ac:dyDescent="0.2">
      <c r="AN789" s="2"/>
    </row>
    <row r="790" spans="40:40" x14ac:dyDescent="0.2">
      <c r="AN790" s="2"/>
    </row>
    <row r="791" spans="40:40" x14ac:dyDescent="0.2">
      <c r="AN791" s="2"/>
    </row>
    <row r="792" spans="40:40" x14ac:dyDescent="0.2">
      <c r="AN792" s="2"/>
    </row>
    <row r="793" spans="40:40" x14ac:dyDescent="0.2">
      <c r="AN793" s="2"/>
    </row>
    <row r="794" spans="40:40" x14ac:dyDescent="0.2">
      <c r="AN794" s="2"/>
    </row>
    <row r="795" spans="40:40" x14ac:dyDescent="0.2">
      <c r="AN795" s="2"/>
    </row>
    <row r="796" spans="40:40" x14ac:dyDescent="0.2">
      <c r="AN796" s="2"/>
    </row>
    <row r="797" spans="40:40" x14ac:dyDescent="0.2">
      <c r="AN797" s="2"/>
    </row>
    <row r="798" spans="40:40" x14ac:dyDescent="0.2">
      <c r="AN798" s="2"/>
    </row>
    <row r="799" spans="40:40" x14ac:dyDescent="0.2">
      <c r="AN799" s="2"/>
    </row>
    <row r="800" spans="40:40" x14ac:dyDescent="0.2">
      <c r="AN800" s="2"/>
    </row>
    <row r="801" spans="40:40" x14ac:dyDescent="0.2">
      <c r="AN801" s="2"/>
    </row>
    <row r="802" spans="40:40" x14ac:dyDescent="0.2">
      <c r="AN802" s="2"/>
    </row>
    <row r="803" spans="40:40" x14ac:dyDescent="0.2">
      <c r="AN803" s="2"/>
    </row>
    <row r="804" spans="40:40" x14ac:dyDescent="0.2">
      <c r="AN804" s="2"/>
    </row>
    <row r="805" spans="40:40" x14ac:dyDescent="0.2">
      <c r="AN805" s="2"/>
    </row>
    <row r="806" spans="40:40" x14ac:dyDescent="0.2">
      <c r="AN806" s="2"/>
    </row>
    <row r="807" spans="40:40" x14ac:dyDescent="0.2">
      <c r="AN807" s="2"/>
    </row>
    <row r="808" spans="40:40" x14ac:dyDescent="0.2">
      <c r="AN808" s="2"/>
    </row>
    <row r="809" spans="40:40" x14ac:dyDescent="0.2">
      <c r="AN809" s="2"/>
    </row>
    <row r="810" spans="40:40" x14ac:dyDescent="0.2">
      <c r="AN810" s="2"/>
    </row>
    <row r="811" spans="40:40" x14ac:dyDescent="0.2">
      <c r="AN811" s="2"/>
    </row>
    <row r="812" spans="40:40" x14ac:dyDescent="0.2">
      <c r="AN812" s="2"/>
    </row>
    <row r="813" spans="40:40" x14ac:dyDescent="0.2">
      <c r="AN813" s="2"/>
    </row>
    <row r="814" spans="40:40" x14ac:dyDescent="0.2">
      <c r="AN814" s="2"/>
    </row>
    <row r="815" spans="40:40" x14ac:dyDescent="0.2">
      <c r="AN815" s="2"/>
    </row>
    <row r="816" spans="40:40" x14ac:dyDescent="0.2">
      <c r="AN816" s="2"/>
    </row>
    <row r="817" spans="40:40" x14ac:dyDescent="0.2">
      <c r="AN817" s="2"/>
    </row>
    <row r="818" spans="40:40" x14ac:dyDescent="0.2">
      <c r="AN818" s="2"/>
    </row>
    <row r="819" spans="40:40" x14ac:dyDescent="0.2">
      <c r="AN819" s="2"/>
    </row>
    <row r="820" spans="40:40" x14ac:dyDescent="0.2">
      <c r="AN820" s="2"/>
    </row>
    <row r="821" spans="40:40" x14ac:dyDescent="0.2">
      <c r="AN821" s="2"/>
    </row>
    <row r="822" spans="40:40" x14ac:dyDescent="0.2">
      <c r="AN822" s="2"/>
    </row>
    <row r="823" spans="40:40" x14ac:dyDescent="0.2">
      <c r="AN823" s="2"/>
    </row>
    <row r="824" spans="40:40" x14ac:dyDescent="0.2">
      <c r="AN824" s="2"/>
    </row>
    <row r="825" spans="40:40" x14ac:dyDescent="0.2">
      <c r="AN825" s="2"/>
    </row>
    <row r="826" spans="40:40" x14ac:dyDescent="0.2">
      <c r="AN826" s="2"/>
    </row>
    <row r="827" spans="40:40" x14ac:dyDescent="0.2">
      <c r="AN827" s="2"/>
    </row>
    <row r="828" spans="40:40" x14ac:dyDescent="0.2">
      <c r="AN828" s="2"/>
    </row>
    <row r="829" spans="40:40" x14ac:dyDescent="0.2">
      <c r="AN829" s="2"/>
    </row>
    <row r="830" spans="40:40" x14ac:dyDescent="0.2">
      <c r="AN830" s="2"/>
    </row>
    <row r="831" spans="40:40" x14ac:dyDescent="0.2">
      <c r="AN831" s="2"/>
    </row>
    <row r="832" spans="40:40" x14ac:dyDescent="0.2">
      <c r="AN832" s="2"/>
    </row>
    <row r="833" spans="40:40" x14ac:dyDescent="0.2">
      <c r="AN833" s="2"/>
    </row>
    <row r="834" spans="40:40" x14ac:dyDescent="0.2">
      <c r="AN834" s="2"/>
    </row>
    <row r="835" spans="40:40" x14ac:dyDescent="0.2">
      <c r="AN835" s="2"/>
    </row>
    <row r="836" spans="40:40" x14ac:dyDescent="0.2">
      <c r="AN836" s="2"/>
    </row>
    <row r="837" spans="40:40" x14ac:dyDescent="0.2">
      <c r="AN837" s="2"/>
    </row>
    <row r="838" spans="40:40" x14ac:dyDescent="0.2">
      <c r="AN838" s="2"/>
    </row>
    <row r="839" spans="40:40" x14ac:dyDescent="0.2">
      <c r="AN839" s="2"/>
    </row>
    <row r="840" spans="40:40" x14ac:dyDescent="0.2">
      <c r="AN840" s="2"/>
    </row>
    <row r="841" spans="40:40" x14ac:dyDescent="0.2">
      <c r="AN841" s="2"/>
    </row>
    <row r="842" spans="40:40" x14ac:dyDescent="0.2">
      <c r="AN842" s="2"/>
    </row>
    <row r="843" spans="40:40" x14ac:dyDescent="0.2">
      <c r="AN843" s="2"/>
    </row>
    <row r="844" spans="40:40" x14ac:dyDescent="0.2">
      <c r="AN844" s="2"/>
    </row>
    <row r="845" spans="40:40" x14ac:dyDescent="0.2">
      <c r="AN845" s="2"/>
    </row>
    <row r="846" spans="40:40" x14ac:dyDescent="0.2">
      <c r="AN846" s="2"/>
    </row>
    <row r="847" spans="40:40" x14ac:dyDescent="0.2">
      <c r="AN847" s="2"/>
    </row>
    <row r="848" spans="40:40" x14ac:dyDescent="0.2">
      <c r="AN848" s="2"/>
    </row>
    <row r="849" spans="40:40" x14ac:dyDescent="0.2">
      <c r="AN849" s="2"/>
    </row>
    <row r="850" spans="40:40" x14ac:dyDescent="0.2">
      <c r="AN850" s="2"/>
    </row>
    <row r="851" spans="40:40" x14ac:dyDescent="0.2">
      <c r="AN851" s="2"/>
    </row>
    <row r="852" spans="40:40" x14ac:dyDescent="0.2">
      <c r="AN852" s="2"/>
    </row>
    <row r="853" spans="40:40" x14ac:dyDescent="0.2">
      <c r="AN853" s="2"/>
    </row>
    <row r="854" spans="40:40" x14ac:dyDescent="0.2">
      <c r="AN854" s="2"/>
    </row>
    <row r="855" spans="40:40" x14ac:dyDescent="0.2">
      <c r="AN855" s="2"/>
    </row>
    <row r="856" spans="40:40" x14ac:dyDescent="0.2">
      <c r="AN856" s="2"/>
    </row>
    <row r="857" spans="40:40" x14ac:dyDescent="0.2">
      <c r="AN857" s="2"/>
    </row>
    <row r="858" spans="40:40" x14ac:dyDescent="0.2">
      <c r="AN858" s="2"/>
    </row>
    <row r="859" spans="40:40" x14ac:dyDescent="0.2">
      <c r="AN859" s="2"/>
    </row>
    <row r="860" spans="40:40" x14ac:dyDescent="0.2">
      <c r="AN860" s="2"/>
    </row>
    <row r="861" spans="40:40" x14ac:dyDescent="0.2">
      <c r="AN861" s="2"/>
    </row>
    <row r="862" spans="40:40" x14ac:dyDescent="0.2">
      <c r="AN862" s="2"/>
    </row>
    <row r="863" spans="40:40" x14ac:dyDescent="0.2">
      <c r="AN863" s="2"/>
    </row>
    <row r="864" spans="40:40" x14ac:dyDescent="0.2">
      <c r="AN864" s="2"/>
    </row>
    <row r="865" spans="40:40" x14ac:dyDescent="0.2">
      <c r="AN865" s="2"/>
    </row>
    <row r="866" spans="40:40" x14ac:dyDescent="0.2">
      <c r="AN866" s="2"/>
    </row>
    <row r="867" spans="40:40" x14ac:dyDescent="0.2">
      <c r="AN867" s="2"/>
    </row>
    <row r="868" spans="40:40" x14ac:dyDescent="0.2">
      <c r="AN868" s="2"/>
    </row>
    <row r="869" spans="40:40" x14ac:dyDescent="0.2">
      <c r="AN869" s="2"/>
    </row>
    <row r="870" spans="40:40" x14ac:dyDescent="0.2">
      <c r="AN870" s="2"/>
    </row>
    <row r="871" spans="40:40" x14ac:dyDescent="0.2">
      <c r="AN871" s="2"/>
    </row>
    <row r="872" spans="40:40" x14ac:dyDescent="0.2">
      <c r="AN872" s="2"/>
    </row>
    <row r="873" spans="40:40" x14ac:dyDescent="0.2">
      <c r="AN873" s="2"/>
    </row>
    <row r="874" spans="40:40" x14ac:dyDescent="0.2">
      <c r="AN874" s="2"/>
    </row>
    <row r="875" spans="40:40" x14ac:dyDescent="0.2">
      <c r="AN875" s="2"/>
    </row>
    <row r="876" spans="40:40" x14ac:dyDescent="0.2">
      <c r="AN876" s="2"/>
    </row>
    <row r="877" spans="40:40" x14ac:dyDescent="0.2">
      <c r="AN877" s="2"/>
    </row>
    <row r="878" spans="40:40" x14ac:dyDescent="0.2">
      <c r="AN878" s="2"/>
    </row>
    <row r="879" spans="40:40" x14ac:dyDescent="0.2">
      <c r="AN879" s="2"/>
    </row>
    <row r="880" spans="40:40" x14ac:dyDescent="0.2">
      <c r="AN880" s="2"/>
    </row>
    <row r="881" spans="40:40" x14ac:dyDescent="0.2">
      <c r="AN881" s="2"/>
    </row>
    <row r="882" spans="40:40" x14ac:dyDescent="0.2">
      <c r="AN882" s="2"/>
    </row>
    <row r="883" spans="40:40" x14ac:dyDescent="0.2">
      <c r="AN883" s="2"/>
    </row>
    <row r="884" spans="40:40" x14ac:dyDescent="0.2">
      <c r="AN884" s="2"/>
    </row>
    <row r="885" spans="40:40" x14ac:dyDescent="0.2">
      <c r="AN885" s="2"/>
    </row>
    <row r="886" spans="40:40" x14ac:dyDescent="0.2">
      <c r="AN886" s="2"/>
    </row>
    <row r="887" spans="40:40" x14ac:dyDescent="0.2">
      <c r="AN887" s="2"/>
    </row>
    <row r="888" spans="40:40" x14ac:dyDescent="0.2">
      <c r="AN888" s="2"/>
    </row>
    <row r="889" spans="40:40" x14ac:dyDescent="0.2">
      <c r="AN889" s="2"/>
    </row>
    <row r="890" spans="40:40" x14ac:dyDescent="0.2">
      <c r="AN890" s="2"/>
    </row>
    <row r="891" spans="40:40" x14ac:dyDescent="0.2">
      <c r="AN891" s="2"/>
    </row>
    <row r="892" spans="40:40" x14ac:dyDescent="0.2">
      <c r="AN892" s="2"/>
    </row>
    <row r="893" spans="40:40" x14ac:dyDescent="0.2">
      <c r="AN893" s="2"/>
    </row>
    <row r="894" spans="40:40" x14ac:dyDescent="0.2">
      <c r="AN894" s="2"/>
    </row>
    <row r="895" spans="40:40" x14ac:dyDescent="0.2">
      <c r="AN895" s="2"/>
    </row>
    <row r="896" spans="40:40" x14ac:dyDescent="0.2">
      <c r="AN896" s="2"/>
    </row>
    <row r="897" spans="40:40" x14ac:dyDescent="0.2">
      <c r="AN897" s="2"/>
    </row>
    <row r="898" spans="40:40" x14ac:dyDescent="0.2">
      <c r="AN898" s="2"/>
    </row>
    <row r="899" spans="40:40" x14ac:dyDescent="0.2">
      <c r="AN899" s="2"/>
    </row>
    <row r="900" spans="40:40" x14ac:dyDescent="0.2">
      <c r="AN900" s="2"/>
    </row>
    <row r="901" spans="40:40" x14ac:dyDescent="0.2">
      <c r="AN901" s="2"/>
    </row>
    <row r="902" spans="40:40" x14ac:dyDescent="0.2">
      <c r="AN902" s="2"/>
    </row>
    <row r="903" spans="40:40" x14ac:dyDescent="0.2">
      <c r="AN903" s="2"/>
    </row>
    <row r="904" spans="40:40" x14ac:dyDescent="0.2">
      <c r="AN904" s="2"/>
    </row>
    <row r="905" spans="40:40" x14ac:dyDescent="0.2">
      <c r="AN905" s="2"/>
    </row>
    <row r="906" spans="40:40" x14ac:dyDescent="0.2">
      <c r="AN906" s="2"/>
    </row>
    <row r="907" spans="40:40" x14ac:dyDescent="0.2">
      <c r="AN907" s="2"/>
    </row>
    <row r="908" spans="40:40" x14ac:dyDescent="0.2">
      <c r="AN908" s="2"/>
    </row>
    <row r="909" spans="40:40" x14ac:dyDescent="0.2">
      <c r="AN909" s="2"/>
    </row>
    <row r="910" spans="40:40" x14ac:dyDescent="0.2">
      <c r="AN910" s="2"/>
    </row>
    <row r="911" spans="40:40" x14ac:dyDescent="0.2">
      <c r="AN911" s="2"/>
    </row>
    <row r="912" spans="40:40" x14ac:dyDescent="0.2">
      <c r="AN912" s="2"/>
    </row>
    <row r="913" spans="40:40" x14ac:dyDescent="0.2">
      <c r="AN913" s="2"/>
    </row>
    <row r="914" spans="40:40" x14ac:dyDescent="0.2">
      <c r="AN914" s="2"/>
    </row>
    <row r="915" spans="40:40" x14ac:dyDescent="0.2">
      <c r="AN915" s="2"/>
    </row>
    <row r="916" spans="40:40" x14ac:dyDescent="0.2">
      <c r="AN916" s="2"/>
    </row>
    <row r="917" spans="40:40" x14ac:dyDescent="0.2">
      <c r="AN917" s="2"/>
    </row>
    <row r="918" spans="40:40" x14ac:dyDescent="0.2">
      <c r="AN918" s="2"/>
    </row>
    <row r="919" spans="40:40" x14ac:dyDescent="0.2">
      <c r="AN919" s="2"/>
    </row>
    <row r="920" spans="40:40" x14ac:dyDescent="0.2">
      <c r="AN920" s="2"/>
    </row>
    <row r="921" spans="40:40" x14ac:dyDescent="0.2">
      <c r="AN921" s="2"/>
    </row>
    <row r="922" spans="40:40" x14ac:dyDescent="0.2">
      <c r="AN922" s="2"/>
    </row>
    <row r="923" spans="40:40" x14ac:dyDescent="0.2">
      <c r="AN923" s="2"/>
    </row>
    <row r="924" spans="40:40" x14ac:dyDescent="0.2">
      <c r="AN924" s="2"/>
    </row>
    <row r="925" spans="40:40" x14ac:dyDescent="0.2">
      <c r="AN925" s="2"/>
    </row>
    <row r="926" spans="40:40" x14ac:dyDescent="0.2">
      <c r="AN926" s="2"/>
    </row>
    <row r="927" spans="40:40" x14ac:dyDescent="0.2">
      <c r="AN927" s="2"/>
    </row>
    <row r="928" spans="40:40" x14ac:dyDescent="0.2">
      <c r="AN928" s="2"/>
    </row>
    <row r="929" spans="40:40" x14ac:dyDescent="0.2">
      <c r="AN929" s="2"/>
    </row>
    <row r="930" spans="40:40" x14ac:dyDescent="0.2">
      <c r="AN930" s="2"/>
    </row>
    <row r="931" spans="40:40" x14ac:dyDescent="0.2">
      <c r="AN931" s="2"/>
    </row>
    <row r="932" spans="40:40" x14ac:dyDescent="0.2">
      <c r="AN932" s="2"/>
    </row>
    <row r="933" spans="40:40" x14ac:dyDescent="0.2">
      <c r="AN933" s="2"/>
    </row>
    <row r="934" spans="40:40" x14ac:dyDescent="0.2">
      <c r="AN934" s="2"/>
    </row>
    <row r="935" spans="40:40" x14ac:dyDescent="0.2">
      <c r="AN935" s="2"/>
    </row>
    <row r="936" spans="40:40" x14ac:dyDescent="0.2">
      <c r="AN936" s="2"/>
    </row>
    <row r="937" spans="40:40" x14ac:dyDescent="0.2">
      <c r="AN937" s="2"/>
    </row>
    <row r="938" spans="40:40" x14ac:dyDescent="0.2">
      <c r="AN938" s="2"/>
    </row>
    <row r="939" spans="40:40" x14ac:dyDescent="0.2">
      <c r="AN939" s="2"/>
    </row>
    <row r="940" spans="40:40" x14ac:dyDescent="0.2">
      <c r="AN940" s="2"/>
    </row>
    <row r="941" spans="40:40" x14ac:dyDescent="0.2">
      <c r="AN941" s="2"/>
    </row>
    <row r="942" spans="40:40" x14ac:dyDescent="0.2">
      <c r="AN942" s="2"/>
    </row>
    <row r="943" spans="40:40" x14ac:dyDescent="0.2">
      <c r="AN943" s="2"/>
    </row>
    <row r="944" spans="40:40" x14ac:dyDescent="0.2">
      <c r="AN944" s="2"/>
    </row>
    <row r="945" spans="40:40" x14ac:dyDescent="0.2">
      <c r="AN945" s="2"/>
    </row>
    <row r="946" spans="40:40" x14ac:dyDescent="0.2">
      <c r="AN946" s="2"/>
    </row>
    <row r="947" spans="40:40" x14ac:dyDescent="0.2">
      <c r="AN947" s="2"/>
    </row>
    <row r="948" spans="40:40" x14ac:dyDescent="0.2">
      <c r="AN948" s="2"/>
    </row>
    <row r="949" spans="40:40" x14ac:dyDescent="0.2">
      <c r="AN949" s="2"/>
    </row>
    <row r="950" spans="40:40" x14ac:dyDescent="0.2">
      <c r="AN950" s="2"/>
    </row>
    <row r="951" spans="40:40" x14ac:dyDescent="0.2">
      <c r="AN951" s="2"/>
    </row>
    <row r="952" spans="40:40" x14ac:dyDescent="0.2">
      <c r="AN952" s="2"/>
    </row>
    <row r="953" spans="40:40" x14ac:dyDescent="0.2">
      <c r="AN953" s="2"/>
    </row>
    <row r="954" spans="40:40" x14ac:dyDescent="0.2">
      <c r="AN954" s="2"/>
    </row>
    <row r="955" spans="40:40" x14ac:dyDescent="0.2">
      <c r="AN955" s="2"/>
    </row>
    <row r="956" spans="40:40" x14ac:dyDescent="0.2">
      <c r="AN956" s="2"/>
    </row>
    <row r="957" spans="40:40" x14ac:dyDescent="0.2">
      <c r="AN957" s="2"/>
    </row>
    <row r="958" spans="40:40" x14ac:dyDescent="0.2">
      <c r="AN958" s="2"/>
    </row>
    <row r="959" spans="40:40" x14ac:dyDescent="0.2">
      <c r="AN959" s="2"/>
    </row>
    <row r="960" spans="40:40" x14ac:dyDescent="0.2">
      <c r="AN960" s="2"/>
    </row>
    <row r="961" spans="40:40" x14ac:dyDescent="0.2">
      <c r="AN961" s="2"/>
    </row>
    <row r="962" spans="40:40" x14ac:dyDescent="0.2">
      <c r="AN962" s="2"/>
    </row>
    <row r="963" spans="40:40" x14ac:dyDescent="0.2">
      <c r="AN963" s="2"/>
    </row>
    <row r="964" spans="40:40" x14ac:dyDescent="0.2">
      <c r="AN964" s="2"/>
    </row>
    <row r="965" spans="40:40" x14ac:dyDescent="0.2">
      <c r="AN965" s="2"/>
    </row>
    <row r="966" spans="40:40" x14ac:dyDescent="0.2">
      <c r="AN966" s="2"/>
    </row>
    <row r="967" spans="40:40" x14ac:dyDescent="0.2">
      <c r="AN967" s="2"/>
    </row>
    <row r="968" spans="40:40" x14ac:dyDescent="0.2">
      <c r="AN968" s="2"/>
    </row>
    <row r="969" spans="40:40" x14ac:dyDescent="0.2">
      <c r="AN969" s="2"/>
    </row>
    <row r="970" spans="40:40" x14ac:dyDescent="0.2">
      <c r="AN970" s="2"/>
    </row>
    <row r="971" spans="40:40" x14ac:dyDescent="0.2">
      <c r="AN971" s="2"/>
    </row>
    <row r="972" spans="40:40" x14ac:dyDescent="0.2">
      <c r="AN972" s="2"/>
    </row>
    <row r="973" spans="40:40" x14ac:dyDescent="0.2">
      <c r="AN973" s="2"/>
    </row>
    <row r="974" spans="40:40" x14ac:dyDescent="0.2">
      <c r="AN974" s="2"/>
    </row>
    <row r="975" spans="40:40" x14ac:dyDescent="0.2">
      <c r="AN975" s="2"/>
    </row>
    <row r="976" spans="40:40" x14ac:dyDescent="0.2">
      <c r="AN976" s="2"/>
    </row>
    <row r="977" spans="40:40" x14ac:dyDescent="0.2">
      <c r="AN977" s="2"/>
    </row>
    <row r="978" spans="40:40" x14ac:dyDescent="0.2">
      <c r="AN978" s="2"/>
    </row>
    <row r="979" spans="40:40" x14ac:dyDescent="0.2">
      <c r="AN979" s="2"/>
    </row>
    <row r="980" spans="40:40" x14ac:dyDescent="0.2">
      <c r="AN980" s="2"/>
    </row>
    <row r="981" spans="40:40" x14ac:dyDescent="0.2">
      <c r="AN981" s="2"/>
    </row>
    <row r="982" spans="40:40" x14ac:dyDescent="0.2">
      <c r="AN982" s="2"/>
    </row>
    <row r="983" spans="40:40" x14ac:dyDescent="0.2">
      <c r="AN983" s="2"/>
    </row>
    <row r="984" spans="40:40" x14ac:dyDescent="0.2">
      <c r="AN984" s="2"/>
    </row>
    <row r="985" spans="40:40" x14ac:dyDescent="0.2">
      <c r="AN985" s="2"/>
    </row>
    <row r="986" spans="40:40" x14ac:dyDescent="0.2">
      <c r="AN986" s="2"/>
    </row>
    <row r="987" spans="40:40" x14ac:dyDescent="0.2">
      <c r="AN987" s="2"/>
    </row>
    <row r="988" spans="40:40" x14ac:dyDescent="0.2">
      <c r="AN988" s="2"/>
    </row>
    <row r="989" spans="40:40" x14ac:dyDescent="0.2">
      <c r="AN989" s="2"/>
    </row>
    <row r="990" spans="40:40" x14ac:dyDescent="0.2">
      <c r="AN990" s="2"/>
    </row>
    <row r="991" spans="40:40" x14ac:dyDescent="0.2">
      <c r="AN991" s="2"/>
    </row>
    <row r="992" spans="40:40" x14ac:dyDescent="0.2">
      <c r="AN992" s="2"/>
    </row>
    <row r="993" spans="40:40" x14ac:dyDescent="0.2">
      <c r="AN993" s="2"/>
    </row>
    <row r="994" spans="40:40" x14ac:dyDescent="0.2">
      <c r="AN994" s="2"/>
    </row>
    <row r="995" spans="40:40" x14ac:dyDescent="0.2">
      <c r="AN995" s="2"/>
    </row>
    <row r="996" spans="40:40" x14ac:dyDescent="0.2">
      <c r="AN996" s="2"/>
    </row>
    <row r="997" spans="40:40" x14ac:dyDescent="0.2">
      <c r="AN997" s="2"/>
    </row>
    <row r="998" spans="40:40" x14ac:dyDescent="0.2">
      <c r="AN998" s="2"/>
    </row>
    <row r="999" spans="40:40" x14ac:dyDescent="0.2">
      <c r="AN999" s="2"/>
    </row>
    <row r="1000" spans="40:40" x14ac:dyDescent="0.2">
      <c r="AN100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B1000"/>
  <sheetViews>
    <sheetView workbookViewId="0">
      <selection activeCell="AJ3" sqref="AB1:AJ3"/>
    </sheetView>
  </sheetViews>
  <sheetFormatPr baseColWidth="10" defaultColWidth="11.5" defaultRowHeight="15" x14ac:dyDescent="0.2"/>
  <cols>
    <col min="1" max="1" width="21.33203125" bestFit="1" customWidth="1"/>
    <col min="2" max="2" width="7.1640625" bestFit="1" customWidth="1"/>
    <col min="3" max="3" width="11.33203125" bestFit="1" customWidth="1"/>
    <col min="4" max="4" width="11.6640625" bestFit="1" customWidth="1"/>
    <col min="5" max="5" width="14.1640625" bestFit="1" customWidth="1"/>
    <col min="6" max="6" width="11" bestFit="1" customWidth="1"/>
    <col min="7" max="7" width="13.83203125" bestFit="1" customWidth="1"/>
    <col min="8" max="8" width="12" bestFit="1" customWidth="1"/>
    <col min="9" max="9" width="13.33203125" bestFit="1" customWidth="1"/>
    <col min="10" max="10" width="12.33203125" bestFit="1" customWidth="1"/>
    <col min="11" max="11" width="4.1640625" bestFit="1" customWidth="1"/>
    <col min="12" max="12" width="10.5" bestFit="1" customWidth="1"/>
    <col min="13" max="13" width="10.83203125" bestFit="1" customWidth="1"/>
    <col min="14" max="14" width="15.1640625" bestFit="1" customWidth="1"/>
    <col min="15" max="15" width="10.5" bestFit="1" customWidth="1"/>
    <col min="16" max="16" width="7.83203125" bestFit="1" customWidth="1"/>
    <col min="17" max="17" width="11.1640625" bestFit="1" customWidth="1"/>
    <col min="18" max="18" width="10.33203125" bestFit="1" customWidth="1"/>
    <col min="19" max="19" width="12.6640625" bestFit="1" customWidth="1"/>
    <col min="20" max="20" width="11" bestFit="1" customWidth="1"/>
    <col min="21" max="21" width="10.5" bestFit="1" customWidth="1"/>
    <col min="22" max="22" width="11.33203125" bestFit="1" customWidth="1"/>
    <col min="23" max="23" width="14.5" bestFit="1" customWidth="1"/>
    <col min="24" max="24" width="10.1640625" bestFit="1" customWidth="1"/>
    <col min="25" max="25" width="8" bestFit="1" customWidth="1"/>
    <col min="26" max="26" width="10.6640625" bestFit="1" customWidth="1"/>
  </cols>
  <sheetData>
    <row r="1" spans="1:28" x14ac:dyDescent="0.2">
      <c r="A1" t="s">
        <v>8</v>
      </c>
      <c r="B1" t="s">
        <v>35</v>
      </c>
      <c r="C1" t="s">
        <v>33</v>
      </c>
      <c r="D1" t="s">
        <v>34</v>
      </c>
      <c r="E1" t="s">
        <v>36</v>
      </c>
      <c r="F1" t="s">
        <v>38</v>
      </c>
      <c r="G1" t="s">
        <v>39</v>
      </c>
      <c r="H1" t="s">
        <v>40</v>
      </c>
      <c r="I1" t="s">
        <v>41</v>
      </c>
      <c r="J1" t="s">
        <v>37</v>
      </c>
      <c r="K1" t="s">
        <v>57</v>
      </c>
      <c r="L1" t="s">
        <v>42</v>
      </c>
      <c r="M1" t="s">
        <v>49</v>
      </c>
      <c r="N1" t="s">
        <v>53</v>
      </c>
      <c r="O1" t="s">
        <v>43</v>
      </c>
      <c r="P1" t="s">
        <v>50</v>
      </c>
      <c r="Q1" t="s">
        <v>54</v>
      </c>
      <c r="R1" t="s">
        <v>44</v>
      </c>
      <c r="S1" t="s">
        <v>51</v>
      </c>
      <c r="T1" t="s">
        <v>55</v>
      </c>
      <c r="U1" t="s">
        <v>46</v>
      </c>
      <c r="V1" t="s">
        <v>52</v>
      </c>
      <c r="W1" t="s">
        <v>56</v>
      </c>
      <c r="X1" t="s">
        <v>48</v>
      </c>
      <c r="Y1" t="s">
        <v>59</v>
      </c>
      <c r="Z1" t="s">
        <v>58</v>
      </c>
      <c r="AB1" s="12"/>
    </row>
    <row r="2" spans="1:28" x14ac:dyDescent="0.2">
      <c r="A2" t="s">
        <v>60</v>
      </c>
      <c r="C2" s="3" t="str">
        <f>IF(C3="N/A","N/A",AVERAGE(C3:C1000))</f>
        <v>N/A</v>
      </c>
      <c r="D2" s="3" t="str">
        <f t="shared" ref="D2:Z2" si="0">IF(D3="N/A","N/A",AVERAGE(D3:D1000))</f>
        <v>N/A</v>
      </c>
      <c r="E2" s="3" t="str">
        <f t="shared" si="0"/>
        <v>N/A</v>
      </c>
      <c r="F2" s="13" t="str">
        <f t="shared" si="0"/>
        <v>N/A</v>
      </c>
      <c r="G2" s="13" t="str">
        <f t="shared" si="0"/>
        <v>N/A</v>
      </c>
      <c r="H2" s="13" t="str">
        <f t="shared" si="0"/>
        <v>N/A</v>
      </c>
      <c r="I2" s="13" t="str">
        <f t="shared" si="0"/>
        <v>N/A</v>
      </c>
      <c r="J2" s="13" t="str">
        <f t="shared" si="0"/>
        <v>N/A</v>
      </c>
      <c r="K2" s="3" t="e">
        <f t="shared" si="0"/>
        <v>#DIV/0!</v>
      </c>
      <c r="L2" s="13" t="str">
        <f t="shared" si="0"/>
        <v>N/A</v>
      </c>
      <c r="M2" s="13" t="str">
        <f t="shared" si="0"/>
        <v>N/A</v>
      </c>
      <c r="N2" s="13" t="str">
        <f t="shared" si="0"/>
        <v>N/A</v>
      </c>
      <c r="O2" s="13" t="str">
        <f t="shared" si="0"/>
        <v>N/A</v>
      </c>
      <c r="P2" s="13" t="str">
        <f t="shared" si="0"/>
        <v>N/A</v>
      </c>
      <c r="Q2" s="13" t="str">
        <f t="shared" si="0"/>
        <v>N/A</v>
      </c>
      <c r="R2" s="13" t="str">
        <f t="shared" si="0"/>
        <v>N/A</v>
      </c>
      <c r="S2" s="13" t="str">
        <f t="shared" si="0"/>
        <v>N/A</v>
      </c>
      <c r="T2" s="13" t="str">
        <f t="shared" si="0"/>
        <v>N/A</v>
      </c>
      <c r="U2" s="13" t="str">
        <f t="shared" si="0"/>
        <v>N/A</v>
      </c>
      <c r="V2" s="13" t="str">
        <f t="shared" si="0"/>
        <v>N/A</v>
      </c>
      <c r="W2" s="13" t="str">
        <f t="shared" si="0"/>
        <v>N/A</v>
      </c>
      <c r="X2" s="13" t="str">
        <f t="shared" si="0"/>
        <v>N/A</v>
      </c>
      <c r="Y2" s="13" t="str">
        <f t="shared" si="0"/>
        <v>N/A</v>
      </c>
      <c r="Z2" s="13" t="str">
        <f t="shared" si="0"/>
        <v>N/A</v>
      </c>
    </row>
    <row r="3" spans="1:28" x14ac:dyDescent="0.2">
      <c r="A3" t="str">
        <f>IF(DataTable[[#This Row],[Tm.]]="","N/A",DataTable[[#This Row],[Tm.]])</f>
        <v>N/A</v>
      </c>
      <c r="B3" t="str">
        <f>IF(DataTable[[#This Row],[Match Nr.]]="","N/A",DataTable[[#This Row],[Match Nr.]])</f>
        <v>N/A</v>
      </c>
      <c r="C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" t="str">
        <f>IF(AND(DataTable[[#This Row],[Successful Lo. G. S]]="",DataTable[[#This Row],[Successful Hi. G. S.]]=""),"N/A",DataTable[[#This Row],[Successful Lo. G. S]]*2+DataTable[[#This Row],[Successful Hi. G. S.]]*10)</f>
        <v>N/A</v>
      </c>
      <c r="H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" s="11" t="str">
        <f>IF(OR(DataTable[[#This Row],[Opp. Cat. B Def.]]="",DataTable[[#This Row],[Opp. Cat. B Def.]]="Ramparts"),"N/A",SUM(ProcessedData[[#This Row],[Cat. B Ti.]],DataTable[[#This Row],[Cat. B Successful Xings.]]+1))</f>
        <v>N/A</v>
      </c>
      <c r="Q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" s="11" t="str">
        <f>IF(DataTable[[#This Row],[Lo. B. Successful Xings.]]="","N/A",SUM(ProcessedData[[#This Row],[Lo. B. Ti.]],DataTable[[#This Row],[Lo. B. Successful Xings.]]+1))</f>
        <v>N/A</v>
      </c>
      <c r="Z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" spans="1:28" x14ac:dyDescent="0.2">
      <c r="A4" t="str">
        <f>IF(DataTable[[#This Row],[Tm.]]="","N/A",DataTable[[#This Row],[Tm.]])</f>
        <v>N/A</v>
      </c>
      <c r="B4" t="str">
        <f>IF(DataTable[[#This Row],[Match Nr.]]="","N/A",DataTable[[#This Row],[Match Nr.]])</f>
        <v>N/A</v>
      </c>
      <c r="C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" t="str">
        <f>IF(AND(DataTable[[#This Row],[Successful Lo. G. S]]="",DataTable[[#This Row],[Successful Hi. G. S.]]=""),"N/A",DataTable[[#This Row],[Successful Lo. G. S]]*2+DataTable[[#This Row],[Successful Hi. G. S.]]*10)</f>
        <v>N/A</v>
      </c>
      <c r="H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" s="11" t="str">
        <f>IF(DataTable[[#This Row],[Lo. B. Successful Xings.]]="","N/A",SUM(ProcessedData[[#This Row],[Lo. B. Ti.]],DataTable[[#This Row],[Lo. B. Successful Xings.]]+1))</f>
        <v>N/A</v>
      </c>
      <c r="Z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" spans="1:28" x14ac:dyDescent="0.2">
      <c r="A5" t="str">
        <f>IF(DataTable[[#This Row],[Tm.]]="","N/A",DataTable[[#This Row],[Tm.]])</f>
        <v>N/A</v>
      </c>
      <c r="B5" t="str">
        <f>IF(DataTable[[#This Row],[Match Nr.]]="","N/A",DataTable[[#This Row],[Match Nr.]])</f>
        <v>N/A</v>
      </c>
      <c r="C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" t="str">
        <f>IF(AND(DataTable[[#This Row],[Successful Lo. G. S]]="",DataTable[[#This Row],[Successful Hi. G. S.]]=""),"N/A",DataTable[[#This Row],[Successful Lo. G. S]]*2+DataTable[[#This Row],[Successful Hi. G. S.]]*10)</f>
        <v>N/A</v>
      </c>
      <c r="H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" s="11" t="str">
        <f>IF(DataTable[[#This Row],[Lo. B. Successful Xings.]]="","N/A",SUM(ProcessedData[[#This Row],[Lo. B. Ti.]],DataTable[[#This Row],[Lo. B. Successful Xings.]]+1))</f>
        <v>N/A</v>
      </c>
      <c r="Z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" spans="1:28" x14ac:dyDescent="0.2">
      <c r="A6" t="str">
        <f>IF(DataTable[[#This Row],[Tm.]]="","N/A",DataTable[[#This Row],[Tm.]])</f>
        <v>N/A</v>
      </c>
      <c r="B6" t="str">
        <f>IF(DataTable[[#This Row],[Match Nr.]]="","N/A",DataTable[[#This Row],[Match Nr.]])</f>
        <v>N/A</v>
      </c>
      <c r="C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" t="str">
        <f>IF(AND(DataTable[[#This Row],[Successful Lo. G. S]]="",DataTable[[#This Row],[Successful Hi. G. S.]]=""),"N/A",DataTable[[#This Row],[Successful Lo. G. S]]*2+DataTable[[#This Row],[Successful Hi. G. S.]]*10)</f>
        <v>N/A</v>
      </c>
      <c r="H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" s="11" t="str">
        <f>IF(DataTable[[#This Row],[Lo. B. Successful Xings.]]="","N/A",SUM(ProcessedData[[#This Row],[Lo. B. Ti.]],DataTable[[#This Row],[Lo. B. Successful Xings.]]+1))</f>
        <v>N/A</v>
      </c>
      <c r="Z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" spans="1:28" x14ac:dyDescent="0.2">
      <c r="A7" t="str">
        <f>IF(DataTable[[#This Row],[Tm.]]="","N/A",DataTable[[#This Row],[Tm.]])</f>
        <v>N/A</v>
      </c>
      <c r="B7" t="str">
        <f>IF(DataTable[[#This Row],[Match Nr.]]="","N/A",DataTable[[#This Row],[Match Nr.]])</f>
        <v>N/A</v>
      </c>
      <c r="C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" t="str">
        <f>IF(AND(DataTable[[#This Row],[Successful Lo. G. S]]="",DataTable[[#This Row],[Successful Hi. G. S.]]=""),"N/A",DataTable[[#This Row],[Successful Lo. G. S]]*2+DataTable[[#This Row],[Successful Hi. G. S.]]*10)</f>
        <v>N/A</v>
      </c>
      <c r="H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" s="11" t="str">
        <f>IF(DataTable[[#This Row],[Lo. B. Successful Xings.]]="","N/A",SUM(ProcessedData[[#This Row],[Lo. B. Ti.]],DataTable[[#This Row],[Lo. B. Successful Xings.]]+1))</f>
        <v>N/A</v>
      </c>
      <c r="Z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" spans="1:28" x14ac:dyDescent="0.2">
      <c r="A8" t="str">
        <f>IF(DataTable[[#This Row],[Tm.]]="","N/A",DataTable[[#This Row],[Tm.]])</f>
        <v>N/A</v>
      </c>
      <c r="B8" t="str">
        <f>IF(DataTable[[#This Row],[Match Nr.]]="","N/A",DataTable[[#This Row],[Match Nr.]])</f>
        <v>N/A</v>
      </c>
      <c r="C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" t="str">
        <f>IF(AND(DataTable[[#This Row],[Successful Lo. G. S]]="",DataTable[[#This Row],[Successful Hi. G. S.]]=""),"N/A",DataTable[[#This Row],[Successful Lo. G. S]]*2+DataTable[[#This Row],[Successful Hi. G. S.]]*10)</f>
        <v>N/A</v>
      </c>
      <c r="H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" s="11" t="str">
        <f>IF(DataTable[[#This Row],[Lo. B. Successful Xings.]]="","N/A",SUM(ProcessedData[[#This Row],[Lo. B. Ti.]],DataTable[[#This Row],[Lo. B. Successful Xings.]]+1))</f>
        <v>N/A</v>
      </c>
      <c r="Z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" spans="1:28" x14ac:dyDescent="0.2">
      <c r="A9" t="str">
        <f>IF(DataTable[[#This Row],[Tm.]]="","N/A",DataTable[[#This Row],[Tm.]])</f>
        <v>N/A</v>
      </c>
      <c r="B9" t="str">
        <f>IF(DataTable[[#This Row],[Match Nr.]]="","N/A",DataTable[[#This Row],[Match Nr.]])</f>
        <v>N/A</v>
      </c>
      <c r="C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" t="str">
        <f>IF(AND(DataTable[[#This Row],[Successful Lo. G. S]]="",DataTable[[#This Row],[Successful Hi. G. S.]]=""),"N/A",DataTable[[#This Row],[Successful Lo. G. S]]*2+DataTable[[#This Row],[Successful Hi. G. S.]]*10)</f>
        <v>N/A</v>
      </c>
      <c r="H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" s="11" t="str">
        <f>IF(DataTable[[#This Row],[Lo. B. Successful Xings.]]="","N/A",SUM(ProcessedData[[#This Row],[Lo. B. Ti.]],DataTable[[#This Row],[Lo. B. Successful Xings.]]+1))</f>
        <v>N/A</v>
      </c>
      <c r="Z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" spans="1:28" x14ac:dyDescent="0.2">
      <c r="A10" t="str">
        <f>IF(DataTable[[#This Row],[Tm.]]="","N/A",DataTable[[#This Row],[Tm.]])</f>
        <v>N/A</v>
      </c>
      <c r="B10" t="str">
        <f>IF(DataTable[[#This Row],[Match Nr.]]="","N/A",DataTable[[#This Row],[Match Nr.]])</f>
        <v>N/A</v>
      </c>
      <c r="C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" t="str">
        <f>IF(AND(DataTable[[#This Row],[Successful Lo. G. S]]="",DataTable[[#This Row],[Successful Hi. G. S.]]=""),"N/A",DataTable[[#This Row],[Successful Lo. G. S]]*2+DataTable[[#This Row],[Successful Hi. G. S.]]*10)</f>
        <v>N/A</v>
      </c>
      <c r="H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" s="11" t="str">
        <f>IF(DataTable[[#This Row],[Lo. B. Successful Xings.]]="","N/A",SUM(ProcessedData[[#This Row],[Lo. B. Ti.]],DataTable[[#This Row],[Lo. B. Successful Xings.]]+1))</f>
        <v>N/A</v>
      </c>
      <c r="Z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" spans="1:28" x14ac:dyDescent="0.2">
      <c r="A11" t="str">
        <f>IF(DataTable[[#This Row],[Tm.]]="","N/A",DataTable[[#This Row],[Tm.]])</f>
        <v>N/A</v>
      </c>
      <c r="B11" t="str">
        <f>IF(DataTable[[#This Row],[Match Nr.]]="","N/A",DataTable[[#This Row],[Match Nr.]])</f>
        <v>N/A</v>
      </c>
      <c r="C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" t="str">
        <f>IF(AND(DataTable[[#This Row],[Successful Lo. G. S]]="",DataTable[[#This Row],[Successful Hi. G. S.]]=""),"N/A",DataTable[[#This Row],[Successful Lo. G. S]]*2+DataTable[[#This Row],[Successful Hi. G. S.]]*10)</f>
        <v>N/A</v>
      </c>
      <c r="H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" s="11" t="str">
        <f>IF(DataTable[[#This Row],[Lo. B. Successful Xings.]]="","N/A",SUM(ProcessedData[[#This Row],[Lo. B. Ti.]],DataTable[[#This Row],[Lo. B. Successful Xings.]]+1))</f>
        <v>N/A</v>
      </c>
      <c r="Z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" spans="1:28" x14ac:dyDescent="0.2">
      <c r="A12" t="str">
        <f>IF(DataTable[[#This Row],[Tm.]]="","N/A",DataTable[[#This Row],[Tm.]])</f>
        <v>N/A</v>
      </c>
      <c r="B12" t="str">
        <f>IF(DataTable[[#This Row],[Match Nr.]]="","N/A",DataTable[[#This Row],[Match Nr.]])</f>
        <v>N/A</v>
      </c>
      <c r="C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" t="str">
        <f>IF(AND(DataTable[[#This Row],[Successful Lo. G. S]]="",DataTable[[#This Row],[Successful Hi. G. S.]]=""),"N/A",DataTable[[#This Row],[Successful Lo. G. S]]*2+DataTable[[#This Row],[Successful Hi. G. S.]]*10)</f>
        <v>N/A</v>
      </c>
      <c r="H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" s="11" t="str">
        <f>IF(DataTable[[#This Row],[Lo. B. Successful Xings.]]="","N/A",SUM(ProcessedData[[#This Row],[Lo. B. Ti.]],DataTable[[#This Row],[Lo. B. Successful Xings.]]+1))</f>
        <v>N/A</v>
      </c>
      <c r="Z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" spans="1:28" x14ac:dyDescent="0.2">
      <c r="A13" t="str">
        <f>IF(DataTable[[#This Row],[Tm.]]="","N/A",DataTable[[#This Row],[Tm.]])</f>
        <v>N/A</v>
      </c>
      <c r="B13" t="str">
        <f>IF(DataTable[[#This Row],[Match Nr.]]="","N/A",DataTable[[#This Row],[Match Nr.]])</f>
        <v>N/A</v>
      </c>
      <c r="C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" t="str">
        <f>IF(AND(DataTable[[#This Row],[Successful Lo. G. S]]="",DataTable[[#This Row],[Successful Hi. G. S.]]=""),"N/A",DataTable[[#This Row],[Successful Lo. G. S]]*2+DataTable[[#This Row],[Successful Hi. G. S.]]*10)</f>
        <v>N/A</v>
      </c>
      <c r="H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" s="11" t="str">
        <f>IF(DataTable[[#This Row],[Lo. B. Successful Xings.]]="","N/A",SUM(ProcessedData[[#This Row],[Lo. B. Ti.]],DataTable[[#This Row],[Lo. B. Successful Xings.]]+1))</f>
        <v>N/A</v>
      </c>
      <c r="Z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" spans="1:28" x14ac:dyDescent="0.2">
      <c r="A14" t="str">
        <f>IF(DataTable[[#This Row],[Tm.]]="","N/A",DataTable[[#This Row],[Tm.]])</f>
        <v>N/A</v>
      </c>
      <c r="B14" t="str">
        <f>IF(DataTable[[#This Row],[Match Nr.]]="","N/A",DataTable[[#This Row],[Match Nr.]])</f>
        <v>N/A</v>
      </c>
      <c r="C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" t="str">
        <f>IF(AND(DataTable[[#This Row],[Successful Lo. G. S]]="",DataTable[[#This Row],[Successful Hi. G. S.]]=""),"N/A",DataTable[[#This Row],[Successful Lo. G. S]]*2+DataTable[[#This Row],[Successful Hi. G. S.]]*10)</f>
        <v>N/A</v>
      </c>
      <c r="H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" s="11" t="str">
        <f>IF(DataTable[[#This Row],[Lo. B. Successful Xings.]]="","N/A",SUM(ProcessedData[[#This Row],[Lo. B. Ti.]],DataTable[[#This Row],[Lo. B. Successful Xings.]]+1))</f>
        <v>N/A</v>
      </c>
      <c r="Z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" spans="1:28" x14ac:dyDescent="0.2">
      <c r="A15" t="str">
        <f>IF(DataTable[[#This Row],[Tm.]]="","N/A",DataTable[[#This Row],[Tm.]])</f>
        <v>N/A</v>
      </c>
      <c r="B15" t="str">
        <f>IF(DataTable[[#This Row],[Match Nr.]]="","N/A",DataTable[[#This Row],[Match Nr.]])</f>
        <v>N/A</v>
      </c>
      <c r="C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" t="str">
        <f>IF(AND(DataTable[[#This Row],[Successful Lo. G. S]]="",DataTable[[#This Row],[Successful Hi. G. S.]]=""),"N/A",DataTable[[#This Row],[Successful Lo. G. S]]*2+DataTable[[#This Row],[Successful Hi. G. S.]]*10)</f>
        <v>N/A</v>
      </c>
      <c r="H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" s="11" t="str">
        <f>IF(DataTable[[#This Row],[Lo. B. Successful Xings.]]="","N/A",SUM(ProcessedData[[#This Row],[Lo. B. Ti.]],DataTable[[#This Row],[Lo. B. Successful Xings.]]+1))</f>
        <v>N/A</v>
      </c>
      <c r="Z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" spans="1:28" x14ac:dyDescent="0.2">
      <c r="A16" t="str">
        <f>IF(DataTable[[#This Row],[Tm.]]="","N/A",DataTable[[#This Row],[Tm.]])</f>
        <v>N/A</v>
      </c>
      <c r="B16" t="str">
        <f>IF(DataTable[[#This Row],[Match Nr.]]="","N/A",DataTable[[#This Row],[Match Nr.]])</f>
        <v>N/A</v>
      </c>
      <c r="C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" t="str">
        <f>IF(AND(DataTable[[#This Row],[Successful Lo. G. S]]="",DataTable[[#This Row],[Successful Hi. G. S.]]=""),"N/A",DataTable[[#This Row],[Successful Lo. G. S]]*2+DataTable[[#This Row],[Successful Hi. G. S.]]*10)</f>
        <v>N/A</v>
      </c>
      <c r="H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" s="11" t="str">
        <f>IF(DataTable[[#This Row],[Lo. B. Successful Xings.]]="","N/A",SUM(ProcessedData[[#This Row],[Lo. B. Ti.]],DataTable[[#This Row],[Lo. B. Successful Xings.]]+1))</f>
        <v>N/A</v>
      </c>
      <c r="Z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" spans="1:26" x14ac:dyDescent="0.2">
      <c r="A17" t="str">
        <f>IF(DataTable[[#This Row],[Tm.]]="","N/A",DataTable[[#This Row],[Tm.]])</f>
        <v>N/A</v>
      </c>
      <c r="B17" t="str">
        <f>IF(DataTable[[#This Row],[Match Nr.]]="","N/A",DataTable[[#This Row],[Match Nr.]])</f>
        <v>N/A</v>
      </c>
      <c r="C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" t="str">
        <f>IF(AND(DataTable[[#This Row],[Successful Lo. G. S]]="",DataTable[[#This Row],[Successful Hi. G. S.]]=""),"N/A",DataTable[[#This Row],[Successful Lo. G. S]]*2+DataTable[[#This Row],[Successful Hi. G. S.]]*10)</f>
        <v>N/A</v>
      </c>
      <c r="H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" s="11" t="str">
        <f>IF(DataTable[[#This Row],[Lo. B. Successful Xings.]]="","N/A",SUM(ProcessedData[[#This Row],[Lo. B. Ti.]],DataTable[[#This Row],[Lo. B. Successful Xings.]]+1))</f>
        <v>N/A</v>
      </c>
      <c r="Z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" spans="1:26" x14ac:dyDescent="0.2">
      <c r="A18" t="str">
        <f>IF(DataTable[[#This Row],[Tm.]]="","N/A",DataTable[[#This Row],[Tm.]])</f>
        <v>N/A</v>
      </c>
      <c r="B18" t="str">
        <f>IF(DataTable[[#This Row],[Match Nr.]]="","N/A",DataTable[[#This Row],[Match Nr.]])</f>
        <v>N/A</v>
      </c>
      <c r="C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" t="str">
        <f>IF(AND(DataTable[[#This Row],[Successful Lo. G. S]]="",DataTable[[#This Row],[Successful Hi. G. S.]]=""),"N/A",DataTable[[#This Row],[Successful Lo. G. S]]*2+DataTable[[#This Row],[Successful Hi. G. S.]]*10)</f>
        <v>N/A</v>
      </c>
      <c r="H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" s="11" t="str">
        <f>IF(DataTable[[#This Row],[Lo. B. Successful Xings.]]="","N/A",SUM(ProcessedData[[#This Row],[Lo. B. Ti.]],DataTable[[#This Row],[Lo. B. Successful Xings.]]+1))</f>
        <v>N/A</v>
      </c>
      <c r="Z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" spans="1:26" x14ac:dyDescent="0.2">
      <c r="A19" t="str">
        <f>IF(DataTable[[#This Row],[Tm.]]="","N/A",DataTable[[#This Row],[Tm.]])</f>
        <v>N/A</v>
      </c>
      <c r="B19" t="str">
        <f>IF(DataTable[[#This Row],[Match Nr.]]="","N/A",DataTable[[#This Row],[Match Nr.]])</f>
        <v>N/A</v>
      </c>
      <c r="C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" t="str">
        <f>IF(AND(DataTable[[#This Row],[Successful Lo. G. S]]="",DataTable[[#This Row],[Successful Hi. G. S.]]=""),"N/A",DataTable[[#This Row],[Successful Lo. G. S]]*2+DataTable[[#This Row],[Successful Hi. G. S.]]*10)</f>
        <v>N/A</v>
      </c>
      <c r="H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" s="11" t="str">
        <f>IF(DataTable[[#This Row],[Lo. B. Successful Xings.]]="","N/A",SUM(ProcessedData[[#This Row],[Lo. B. Ti.]],DataTable[[#This Row],[Lo. B. Successful Xings.]]+1))</f>
        <v>N/A</v>
      </c>
      <c r="Z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" spans="1:26" x14ac:dyDescent="0.2">
      <c r="A20" t="str">
        <f>IF(DataTable[[#This Row],[Tm.]]="","N/A",DataTable[[#This Row],[Tm.]])</f>
        <v>N/A</v>
      </c>
      <c r="B20" t="str">
        <f>IF(DataTable[[#This Row],[Match Nr.]]="","N/A",DataTable[[#This Row],[Match Nr.]])</f>
        <v>N/A</v>
      </c>
      <c r="C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" t="str">
        <f>IF(AND(DataTable[[#This Row],[Successful Lo. G. S]]="",DataTable[[#This Row],[Successful Hi. G. S.]]=""),"N/A",DataTable[[#This Row],[Successful Lo. G. S]]*2+DataTable[[#This Row],[Successful Hi. G. S.]]*10)</f>
        <v>N/A</v>
      </c>
      <c r="H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" s="11" t="str">
        <f>IF(DataTable[[#This Row],[Lo. B. Successful Xings.]]="","N/A",SUM(ProcessedData[[#This Row],[Lo. B. Ti.]],DataTable[[#This Row],[Lo. B. Successful Xings.]]+1))</f>
        <v>N/A</v>
      </c>
      <c r="Z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" spans="1:26" x14ac:dyDescent="0.2">
      <c r="A21" t="str">
        <f>IF(DataTable[[#This Row],[Tm.]]="","N/A",DataTable[[#This Row],[Tm.]])</f>
        <v>N/A</v>
      </c>
      <c r="B21" t="str">
        <f>IF(DataTable[[#This Row],[Match Nr.]]="","N/A",DataTable[[#This Row],[Match Nr.]])</f>
        <v>N/A</v>
      </c>
      <c r="C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" t="str">
        <f>IF(AND(DataTable[[#This Row],[Successful Lo. G. S]]="",DataTable[[#This Row],[Successful Hi. G. S.]]=""),"N/A",DataTable[[#This Row],[Successful Lo. G. S]]*2+DataTable[[#This Row],[Successful Hi. G. S.]]*10)</f>
        <v>N/A</v>
      </c>
      <c r="H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" s="11" t="str">
        <f>IF(DataTable[[#This Row],[Lo. B. Successful Xings.]]="","N/A",SUM(ProcessedData[[#This Row],[Lo. B. Ti.]],DataTable[[#This Row],[Lo. B. Successful Xings.]]+1))</f>
        <v>N/A</v>
      </c>
      <c r="Z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" spans="1:26" x14ac:dyDescent="0.2">
      <c r="A22" t="str">
        <f>IF(DataTable[[#This Row],[Tm.]]="","N/A",DataTable[[#This Row],[Tm.]])</f>
        <v>N/A</v>
      </c>
      <c r="B22" t="str">
        <f>IF(DataTable[[#This Row],[Match Nr.]]="","N/A",DataTable[[#This Row],[Match Nr.]])</f>
        <v>N/A</v>
      </c>
      <c r="C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" t="str">
        <f>IF(AND(DataTable[[#This Row],[Successful Lo. G. S]]="",DataTable[[#This Row],[Successful Hi. G. S.]]=""),"N/A",DataTable[[#This Row],[Successful Lo. G. S]]*2+DataTable[[#This Row],[Successful Hi. G. S.]]*10)</f>
        <v>N/A</v>
      </c>
      <c r="H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" s="11" t="str">
        <f>IF(DataTable[[#This Row],[Lo. B. Successful Xings.]]="","N/A",SUM(ProcessedData[[#This Row],[Lo. B. Ti.]],DataTable[[#This Row],[Lo. B. Successful Xings.]]+1))</f>
        <v>N/A</v>
      </c>
      <c r="Z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" spans="1:26" x14ac:dyDescent="0.2">
      <c r="A23" t="str">
        <f>IF(DataTable[[#This Row],[Tm.]]="","N/A",DataTable[[#This Row],[Tm.]])</f>
        <v>N/A</v>
      </c>
      <c r="B23" t="str">
        <f>IF(DataTable[[#This Row],[Match Nr.]]="","N/A",DataTable[[#This Row],[Match Nr.]])</f>
        <v>N/A</v>
      </c>
      <c r="C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" t="str">
        <f>IF(AND(DataTable[[#This Row],[Successful Lo. G. S]]="",DataTable[[#This Row],[Successful Hi. G. S.]]=""),"N/A",DataTable[[#This Row],[Successful Lo. G. S]]*2+DataTable[[#This Row],[Successful Hi. G. S.]]*10)</f>
        <v>N/A</v>
      </c>
      <c r="H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" s="11" t="str">
        <f>IF(DataTable[[#This Row],[Lo. B. Successful Xings.]]="","N/A",SUM(ProcessedData[[#This Row],[Lo. B. Ti.]],DataTable[[#This Row],[Lo. B. Successful Xings.]]+1))</f>
        <v>N/A</v>
      </c>
      <c r="Z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" spans="1:26" x14ac:dyDescent="0.2">
      <c r="A24" t="str">
        <f>IF(DataTable[[#This Row],[Tm.]]="","N/A",DataTable[[#This Row],[Tm.]])</f>
        <v>N/A</v>
      </c>
      <c r="B24" t="str">
        <f>IF(DataTable[[#This Row],[Match Nr.]]="","N/A",DataTable[[#This Row],[Match Nr.]])</f>
        <v>N/A</v>
      </c>
      <c r="C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" t="str">
        <f>IF(AND(DataTable[[#This Row],[Successful Lo. G. S]]="",DataTable[[#This Row],[Successful Hi. G. S.]]=""),"N/A",DataTable[[#This Row],[Successful Lo. G. S]]*2+DataTable[[#This Row],[Successful Hi. G. S.]]*10)</f>
        <v>N/A</v>
      </c>
      <c r="H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" s="11" t="str">
        <f>IF(DataTable[[#This Row],[Lo. B. Successful Xings.]]="","N/A",SUM(ProcessedData[[#This Row],[Lo. B. Ti.]],DataTable[[#This Row],[Lo. B. Successful Xings.]]+1))</f>
        <v>N/A</v>
      </c>
      <c r="Z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" spans="1:26" x14ac:dyDescent="0.2">
      <c r="A25" t="str">
        <f>IF(DataTable[[#This Row],[Tm.]]="","N/A",DataTable[[#This Row],[Tm.]])</f>
        <v>N/A</v>
      </c>
      <c r="B25" t="str">
        <f>IF(DataTable[[#This Row],[Match Nr.]]="","N/A",DataTable[[#This Row],[Match Nr.]])</f>
        <v>N/A</v>
      </c>
      <c r="C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" t="str">
        <f>IF(AND(DataTable[[#This Row],[Successful Lo. G. S]]="",DataTable[[#This Row],[Successful Hi. G. S.]]=""),"N/A",DataTable[[#This Row],[Successful Lo. G. S]]*2+DataTable[[#This Row],[Successful Hi. G. S.]]*10)</f>
        <v>N/A</v>
      </c>
      <c r="H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" s="11" t="str">
        <f>IF(DataTable[[#This Row],[Lo. B. Successful Xings.]]="","N/A",SUM(ProcessedData[[#This Row],[Lo. B. Ti.]],DataTable[[#This Row],[Lo. B. Successful Xings.]]+1))</f>
        <v>N/A</v>
      </c>
      <c r="Z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" spans="1:26" x14ac:dyDescent="0.2">
      <c r="A26" t="str">
        <f>IF(DataTable[[#This Row],[Tm.]]="","N/A",DataTable[[#This Row],[Tm.]])</f>
        <v>N/A</v>
      </c>
      <c r="B26" t="str">
        <f>IF(DataTable[[#This Row],[Match Nr.]]="","N/A",DataTable[[#This Row],[Match Nr.]])</f>
        <v>N/A</v>
      </c>
      <c r="C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" t="str">
        <f>IF(AND(DataTable[[#This Row],[Successful Lo. G. S]]="",DataTable[[#This Row],[Successful Hi. G. S.]]=""),"N/A",DataTable[[#This Row],[Successful Lo. G. S]]*2+DataTable[[#This Row],[Successful Hi. G. S.]]*10)</f>
        <v>N/A</v>
      </c>
      <c r="H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" s="11" t="str">
        <f>IF(DataTable[[#This Row],[Lo. B. Successful Xings.]]="","N/A",SUM(ProcessedData[[#This Row],[Lo. B. Ti.]],DataTable[[#This Row],[Lo. B. Successful Xings.]]+1))</f>
        <v>N/A</v>
      </c>
      <c r="Z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" spans="1:26" x14ac:dyDescent="0.2">
      <c r="A27" t="str">
        <f>IF(DataTable[[#This Row],[Tm.]]="","N/A",DataTable[[#This Row],[Tm.]])</f>
        <v>N/A</v>
      </c>
      <c r="B27" t="str">
        <f>IF(DataTable[[#This Row],[Match Nr.]]="","N/A",DataTable[[#This Row],[Match Nr.]])</f>
        <v>N/A</v>
      </c>
      <c r="C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" t="str">
        <f>IF(AND(DataTable[[#This Row],[Successful Lo. G. S]]="",DataTable[[#This Row],[Successful Hi. G. S.]]=""),"N/A",DataTable[[#This Row],[Successful Lo. G. S]]*2+DataTable[[#This Row],[Successful Hi. G. S.]]*10)</f>
        <v>N/A</v>
      </c>
      <c r="H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" s="11" t="str">
        <f>IF(DataTable[[#This Row],[Lo. B. Successful Xings.]]="","N/A",SUM(ProcessedData[[#This Row],[Lo. B. Ti.]],DataTable[[#This Row],[Lo. B. Successful Xings.]]+1))</f>
        <v>N/A</v>
      </c>
      <c r="Z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" spans="1:26" x14ac:dyDescent="0.2">
      <c r="A28" t="str">
        <f>IF(DataTable[[#This Row],[Tm.]]="","N/A",DataTable[[#This Row],[Tm.]])</f>
        <v>N/A</v>
      </c>
      <c r="B28" t="str">
        <f>IF(DataTable[[#This Row],[Match Nr.]]="","N/A",DataTable[[#This Row],[Match Nr.]])</f>
        <v>N/A</v>
      </c>
      <c r="C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" t="str">
        <f>IF(AND(DataTable[[#This Row],[Successful Lo. G. S]]="",DataTable[[#This Row],[Successful Hi. G. S.]]=""),"N/A",DataTable[[#This Row],[Successful Lo. G. S]]*2+DataTable[[#This Row],[Successful Hi. G. S.]]*10)</f>
        <v>N/A</v>
      </c>
      <c r="H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" s="11" t="str">
        <f>IF(DataTable[[#This Row],[Lo. B. Successful Xings.]]="","N/A",SUM(ProcessedData[[#This Row],[Lo. B. Ti.]],DataTable[[#This Row],[Lo. B. Successful Xings.]]+1))</f>
        <v>N/A</v>
      </c>
      <c r="Z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" spans="1:26" x14ac:dyDescent="0.2">
      <c r="A29" t="str">
        <f>IF(DataTable[[#This Row],[Tm.]]="","N/A",DataTable[[#This Row],[Tm.]])</f>
        <v>N/A</v>
      </c>
      <c r="B29" t="str">
        <f>IF(DataTable[[#This Row],[Match Nr.]]="","N/A",DataTable[[#This Row],[Match Nr.]])</f>
        <v>N/A</v>
      </c>
      <c r="C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" t="str">
        <f>IF(AND(DataTable[[#This Row],[Successful Lo. G. S]]="",DataTable[[#This Row],[Successful Hi. G. S.]]=""),"N/A",DataTable[[#This Row],[Successful Lo. G. S]]*2+DataTable[[#This Row],[Successful Hi. G. S.]]*10)</f>
        <v>N/A</v>
      </c>
      <c r="H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" s="11" t="str">
        <f>IF(DataTable[[#This Row],[Lo. B. Successful Xings.]]="","N/A",SUM(ProcessedData[[#This Row],[Lo. B. Ti.]],DataTable[[#This Row],[Lo. B. Successful Xings.]]+1))</f>
        <v>N/A</v>
      </c>
      <c r="Z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" spans="1:26" x14ac:dyDescent="0.2">
      <c r="A30" t="str">
        <f>IF(DataTable[[#This Row],[Tm.]]="","N/A",DataTable[[#This Row],[Tm.]])</f>
        <v>N/A</v>
      </c>
      <c r="B30" t="str">
        <f>IF(DataTable[[#This Row],[Match Nr.]]="","N/A",DataTable[[#This Row],[Match Nr.]])</f>
        <v>N/A</v>
      </c>
      <c r="C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" t="str">
        <f>IF(AND(DataTable[[#This Row],[Successful Lo. G. S]]="",DataTable[[#This Row],[Successful Hi. G. S.]]=""),"N/A",DataTable[[#This Row],[Successful Lo. G. S]]*2+DataTable[[#This Row],[Successful Hi. G. S.]]*10)</f>
        <v>N/A</v>
      </c>
      <c r="H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" s="11" t="str">
        <f>IF(DataTable[[#This Row],[Lo. B. Successful Xings.]]="","N/A",SUM(ProcessedData[[#This Row],[Lo. B. Ti.]],DataTable[[#This Row],[Lo. B. Successful Xings.]]+1))</f>
        <v>N/A</v>
      </c>
      <c r="Z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" spans="1:26" x14ac:dyDescent="0.2">
      <c r="A31" t="str">
        <f>IF(DataTable[[#This Row],[Tm.]]="","N/A",DataTable[[#This Row],[Tm.]])</f>
        <v>N/A</v>
      </c>
      <c r="B31" t="str">
        <f>IF(DataTable[[#This Row],[Match Nr.]]="","N/A",DataTable[[#This Row],[Match Nr.]])</f>
        <v>N/A</v>
      </c>
      <c r="C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" t="str">
        <f>IF(AND(DataTable[[#This Row],[Successful Lo. G. S]]="",DataTable[[#This Row],[Successful Hi. G. S.]]=""),"N/A",DataTable[[#This Row],[Successful Lo. G. S]]*2+DataTable[[#This Row],[Successful Hi. G. S.]]*10)</f>
        <v>N/A</v>
      </c>
      <c r="H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" s="11" t="str">
        <f>IF(DataTable[[#This Row],[Lo. B. Successful Xings.]]="","N/A",SUM(ProcessedData[[#This Row],[Lo. B. Ti.]],DataTable[[#This Row],[Lo. B. Successful Xings.]]+1))</f>
        <v>N/A</v>
      </c>
      <c r="Z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" spans="1:26" x14ac:dyDescent="0.2">
      <c r="A32" t="str">
        <f>IF(DataTable[[#This Row],[Tm.]]="","N/A",DataTable[[#This Row],[Tm.]])</f>
        <v>N/A</v>
      </c>
      <c r="B32" t="str">
        <f>IF(DataTable[[#This Row],[Match Nr.]]="","N/A",DataTable[[#This Row],[Match Nr.]])</f>
        <v>N/A</v>
      </c>
      <c r="C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" t="str">
        <f>IF(AND(DataTable[[#This Row],[Successful Lo. G. S]]="",DataTable[[#This Row],[Successful Hi. G. S.]]=""),"N/A",DataTable[[#This Row],[Successful Lo. G. S]]*2+DataTable[[#This Row],[Successful Hi. G. S.]]*10)</f>
        <v>N/A</v>
      </c>
      <c r="H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" s="11" t="str">
        <f>IF(DataTable[[#This Row],[Lo. B. Successful Xings.]]="","N/A",SUM(ProcessedData[[#This Row],[Lo. B. Ti.]],DataTable[[#This Row],[Lo. B. Successful Xings.]]+1))</f>
        <v>N/A</v>
      </c>
      <c r="Z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" spans="1:26" x14ac:dyDescent="0.2">
      <c r="A33" t="str">
        <f>IF(DataTable[[#This Row],[Tm.]]="","N/A",DataTable[[#This Row],[Tm.]])</f>
        <v>N/A</v>
      </c>
      <c r="B33" t="str">
        <f>IF(DataTable[[#This Row],[Match Nr.]]="","N/A",DataTable[[#This Row],[Match Nr.]])</f>
        <v>N/A</v>
      </c>
      <c r="C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" t="str">
        <f>IF(AND(DataTable[[#This Row],[Successful Lo. G. S]]="",DataTable[[#This Row],[Successful Hi. G. S.]]=""),"N/A",DataTable[[#This Row],[Successful Lo. G. S]]*2+DataTable[[#This Row],[Successful Hi. G. S.]]*10)</f>
        <v>N/A</v>
      </c>
      <c r="H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" s="11" t="str">
        <f>IF(DataTable[[#This Row],[Lo. B. Successful Xings.]]="","N/A",SUM(ProcessedData[[#This Row],[Lo. B. Ti.]],DataTable[[#This Row],[Lo. B. Successful Xings.]]+1))</f>
        <v>N/A</v>
      </c>
      <c r="Z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" spans="1:26" x14ac:dyDescent="0.2">
      <c r="A34" t="str">
        <f>IF(DataTable[[#This Row],[Tm.]]="","N/A",DataTable[[#This Row],[Tm.]])</f>
        <v>N/A</v>
      </c>
      <c r="B34" t="str">
        <f>IF(DataTable[[#This Row],[Match Nr.]]="","N/A",DataTable[[#This Row],[Match Nr.]])</f>
        <v>N/A</v>
      </c>
      <c r="C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" t="str">
        <f>IF(AND(DataTable[[#This Row],[Successful Lo. G. S]]="",DataTable[[#This Row],[Successful Hi. G. S.]]=""),"N/A",DataTable[[#This Row],[Successful Lo. G. S]]*2+DataTable[[#This Row],[Successful Hi. G. S.]]*10)</f>
        <v>N/A</v>
      </c>
      <c r="H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" s="11" t="str">
        <f>IF(DataTable[[#This Row],[Lo. B. Successful Xings.]]="","N/A",SUM(ProcessedData[[#This Row],[Lo. B. Ti.]],DataTable[[#This Row],[Lo. B. Successful Xings.]]+1))</f>
        <v>N/A</v>
      </c>
      <c r="Z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" spans="1:26" x14ac:dyDescent="0.2">
      <c r="A35" t="str">
        <f>IF(DataTable[[#This Row],[Tm.]]="","N/A",DataTable[[#This Row],[Tm.]])</f>
        <v>N/A</v>
      </c>
      <c r="B35" t="str">
        <f>IF(DataTable[[#This Row],[Match Nr.]]="","N/A",DataTable[[#This Row],[Match Nr.]])</f>
        <v>N/A</v>
      </c>
      <c r="C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" t="str">
        <f>IF(AND(DataTable[[#This Row],[Successful Lo. G. S]]="",DataTable[[#This Row],[Successful Hi. G. S.]]=""),"N/A",DataTable[[#This Row],[Successful Lo. G. S]]*2+DataTable[[#This Row],[Successful Hi. G. S.]]*10)</f>
        <v>N/A</v>
      </c>
      <c r="H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" s="11" t="str">
        <f>IF(DataTable[[#This Row],[Lo. B. Successful Xings.]]="","N/A",SUM(ProcessedData[[#This Row],[Lo. B. Ti.]],DataTable[[#This Row],[Lo. B. Successful Xings.]]+1))</f>
        <v>N/A</v>
      </c>
      <c r="Z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" spans="1:26" x14ac:dyDescent="0.2">
      <c r="A36" t="str">
        <f>IF(DataTable[[#This Row],[Tm.]]="","N/A",DataTable[[#This Row],[Tm.]])</f>
        <v>N/A</v>
      </c>
      <c r="B36" t="str">
        <f>IF(DataTable[[#This Row],[Match Nr.]]="","N/A",DataTable[[#This Row],[Match Nr.]])</f>
        <v>N/A</v>
      </c>
      <c r="C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" t="str">
        <f>IF(AND(DataTable[[#This Row],[Successful Lo. G. S]]="",DataTable[[#This Row],[Successful Hi. G. S.]]=""),"N/A",DataTable[[#This Row],[Successful Lo. G. S]]*2+DataTable[[#This Row],[Successful Hi. G. S.]]*10)</f>
        <v>N/A</v>
      </c>
      <c r="H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" s="11" t="str">
        <f>IF(DataTable[[#This Row],[Lo. B. Successful Xings.]]="","N/A",SUM(ProcessedData[[#This Row],[Lo. B. Ti.]],DataTable[[#This Row],[Lo. B. Successful Xings.]]+1))</f>
        <v>N/A</v>
      </c>
      <c r="Z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" spans="1:26" x14ac:dyDescent="0.2">
      <c r="A37" t="str">
        <f>IF(DataTable[[#This Row],[Tm.]]="","N/A",DataTable[[#This Row],[Tm.]])</f>
        <v>N/A</v>
      </c>
      <c r="B37" t="str">
        <f>IF(DataTable[[#This Row],[Match Nr.]]="","N/A",DataTable[[#This Row],[Match Nr.]])</f>
        <v>N/A</v>
      </c>
      <c r="C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" t="str">
        <f>IF(AND(DataTable[[#This Row],[Successful Lo. G. S]]="",DataTable[[#This Row],[Successful Hi. G. S.]]=""),"N/A",DataTable[[#This Row],[Successful Lo. G. S]]*2+DataTable[[#This Row],[Successful Hi. G. S.]]*10)</f>
        <v>N/A</v>
      </c>
      <c r="H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" s="11" t="str">
        <f>IF(DataTable[[#This Row],[Lo. B. Successful Xings.]]="","N/A",SUM(ProcessedData[[#This Row],[Lo. B. Ti.]],DataTable[[#This Row],[Lo. B. Successful Xings.]]+1))</f>
        <v>N/A</v>
      </c>
      <c r="Z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" spans="1:26" x14ac:dyDescent="0.2">
      <c r="A38" t="str">
        <f>IF(DataTable[[#This Row],[Tm.]]="","N/A",DataTable[[#This Row],[Tm.]])</f>
        <v>N/A</v>
      </c>
      <c r="B38" t="str">
        <f>IF(DataTable[[#This Row],[Match Nr.]]="","N/A",DataTable[[#This Row],[Match Nr.]])</f>
        <v>N/A</v>
      </c>
      <c r="C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" t="str">
        <f>IF(AND(DataTable[[#This Row],[Successful Lo. G. S]]="",DataTable[[#This Row],[Successful Hi. G. S.]]=""),"N/A",DataTable[[#This Row],[Successful Lo. G. S]]*2+DataTable[[#This Row],[Successful Hi. G. S.]]*10)</f>
        <v>N/A</v>
      </c>
      <c r="H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" s="11" t="str">
        <f>IF(DataTable[[#This Row],[Lo. B. Successful Xings.]]="","N/A",SUM(ProcessedData[[#This Row],[Lo. B. Ti.]],DataTable[[#This Row],[Lo. B. Successful Xings.]]+1))</f>
        <v>N/A</v>
      </c>
      <c r="Z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" spans="1:26" x14ac:dyDescent="0.2">
      <c r="A39" t="str">
        <f>IF(DataTable[[#This Row],[Tm.]]="","N/A",DataTable[[#This Row],[Tm.]])</f>
        <v>N/A</v>
      </c>
      <c r="B39" t="str">
        <f>IF(DataTable[[#This Row],[Match Nr.]]="","N/A",DataTable[[#This Row],[Match Nr.]])</f>
        <v>N/A</v>
      </c>
      <c r="C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" t="str">
        <f>IF(AND(DataTable[[#This Row],[Successful Lo. G. S]]="",DataTable[[#This Row],[Successful Hi. G. S.]]=""),"N/A",DataTable[[#This Row],[Successful Lo. G. S]]*2+DataTable[[#This Row],[Successful Hi. G. S.]]*10)</f>
        <v>N/A</v>
      </c>
      <c r="H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" s="11" t="str">
        <f>IF(DataTable[[#This Row],[Lo. B. Successful Xings.]]="","N/A",SUM(ProcessedData[[#This Row],[Lo. B. Ti.]],DataTable[[#This Row],[Lo. B. Successful Xings.]]+1))</f>
        <v>N/A</v>
      </c>
      <c r="Z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" spans="1:26" x14ac:dyDescent="0.2">
      <c r="A40" t="str">
        <f>IF(DataTable[[#This Row],[Tm.]]="","N/A",DataTable[[#This Row],[Tm.]])</f>
        <v>N/A</v>
      </c>
      <c r="B40" t="str">
        <f>IF(DataTable[[#This Row],[Match Nr.]]="","N/A",DataTable[[#This Row],[Match Nr.]])</f>
        <v>N/A</v>
      </c>
      <c r="C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" t="str">
        <f>IF(AND(DataTable[[#This Row],[Successful Lo. G. S]]="",DataTable[[#This Row],[Successful Hi. G. S.]]=""),"N/A",DataTable[[#This Row],[Successful Lo. G. S]]*2+DataTable[[#This Row],[Successful Hi. G. S.]]*10)</f>
        <v>N/A</v>
      </c>
      <c r="H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" s="11" t="str">
        <f>IF(DataTable[[#This Row],[Lo. B. Successful Xings.]]="","N/A",SUM(ProcessedData[[#This Row],[Lo. B. Ti.]],DataTable[[#This Row],[Lo. B. Successful Xings.]]+1))</f>
        <v>N/A</v>
      </c>
      <c r="Z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" spans="1:26" x14ac:dyDescent="0.2">
      <c r="A41" t="str">
        <f>IF(DataTable[[#This Row],[Tm.]]="","N/A",DataTable[[#This Row],[Tm.]])</f>
        <v>N/A</v>
      </c>
      <c r="B41" t="str">
        <f>IF(DataTable[[#This Row],[Match Nr.]]="","N/A",DataTable[[#This Row],[Match Nr.]])</f>
        <v>N/A</v>
      </c>
      <c r="C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" t="str">
        <f>IF(AND(DataTable[[#This Row],[Successful Lo. G. S]]="",DataTable[[#This Row],[Successful Hi. G. S.]]=""),"N/A",DataTable[[#This Row],[Successful Lo. G. S]]*2+DataTable[[#This Row],[Successful Hi. G. S.]]*10)</f>
        <v>N/A</v>
      </c>
      <c r="H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" s="11" t="str">
        <f>IF(DataTable[[#This Row],[Lo. B. Successful Xings.]]="","N/A",SUM(ProcessedData[[#This Row],[Lo. B. Ti.]],DataTable[[#This Row],[Lo. B. Successful Xings.]]+1))</f>
        <v>N/A</v>
      </c>
      <c r="Z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" spans="1:26" x14ac:dyDescent="0.2">
      <c r="A42" t="str">
        <f>IF(DataTable[[#This Row],[Tm.]]="","N/A",DataTable[[#This Row],[Tm.]])</f>
        <v>N/A</v>
      </c>
      <c r="B42" t="str">
        <f>IF(DataTable[[#This Row],[Match Nr.]]="","N/A",DataTable[[#This Row],[Match Nr.]])</f>
        <v>N/A</v>
      </c>
      <c r="C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" t="str">
        <f>IF(AND(DataTable[[#This Row],[Successful Lo. G. S]]="",DataTable[[#This Row],[Successful Hi. G. S.]]=""),"N/A",DataTable[[#This Row],[Successful Lo. G. S]]*2+DataTable[[#This Row],[Successful Hi. G. S.]]*10)</f>
        <v>N/A</v>
      </c>
      <c r="H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" s="11" t="str">
        <f>IF(DataTable[[#This Row],[Lo. B. Successful Xings.]]="","N/A",SUM(ProcessedData[[#This Row],[Lo. B. Ti.]],DataTable[[#This Row],[Lo. B. Successful Xings.]]+1))</f>
        <v>N/A</v>
      </c>
      <c r="Z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" spans="1:26" x14ac:dyDescent="0.2">
      <c r="A43" t="str">
        <f>IF(DataTable[[#This Row],[Tm.]]="","N/A",DataTable[[#This Row],[Tm.]])</f>
        <v>N/A</v>
      </c>
      <c r="B43" t="str">
        <f>IF(DataTable[[#This Row],[Match Nr.]]="","N/A",DataTable[[#This Row],[Match Nr.]])</f>
        <v>N/A</v>
      </c>
      <c r="C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" t="str">
        <f>IF(AND(DataTable[[#This Row],[Successful Lo. G. S]]="",DataTable[[#This Row],[Successful Hi. G. S.]]=""),"N/A",DataTable[[#This Row],[Successful Lo. G. S]]*2+DataTable[[#This Row],[Successful Hi. G. S.]]*10)</f>
        <v>N/A</v>
      </c>
      <c r="H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" s="11" t="str">
        <f>IF(DataTable[[#This Row],[Lo. B. Successful Xings.]]="","N/A",SUM(ProcessedData[[#This Row],[Lo. B. Ti.]],DataTable[[#This Row],[Lo. B. Successful Xings.]]+1))</f>
        <v>N/A</v>
      </c>
      <c r="Z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" spans="1:26" x14ac:dyDescent="0.2">
      <c r="A44" t="str">
        <f>IF(DataTable[[#This Row],[Tm.]]="","N/A",DataTable[[#This Row],[Tm.]])</f>
        <v>N/A</v>
      </c>
      <c r="B44" t="str">
        <f>IF(DataTable[[#This Row],[Match Nr.]]="","N/A",DataTable[[#This Row],[Match Nr.]])</f>
        <v>N/A</v>
      </c>
      <c r="C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" t="str">
        <f>IF(AND(DataTable[[#This Row],[Successful Lo. G. S]]="",DataTable[[#This Row],[Successful Hi. G. S.]]=""),"N/A",DataTable[[#This Row],[Successful Lo. G. S]]*2+DataTable[[#This Row],[Successful Hi. G. S.]]*10)</f>
        <v>N/A</v>
      </c>
      <c r="H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" s="11" t="str">
        <f>IF(DataTable[[#This Row],[Lo. B. Successful Xings.]]="","N/A",SUM(ProcessedData[[#This Row],[Lo. B. Ti.]],DataTable[[#This Row],[Lo. B. Successful Xings.]]+1))</f>
        <v>N/A</v>
      </c>
      <c r="Z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" spans="1:26" x14ac:dyDescent="0.2">
      <c r="A45" t="str">
        <f>IF(DataTable[[#This Row],[Tm.]]="","N/A",DataTable[[#This Row],[Tm.]])</f>
        <v>N/A</v>
      </c>
      <c r="B45" t="str">
        <f>IF(DataTable[[#This Row],[Match Nr.]]="","N/A",DataTable[[#This Row],[Match Nr.]])</f>
        <v>N/A</v>
      </c>
      <c r="C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" t="str">
        <f>IF(AND(DataTable[[#This Row],[Successful Lo. G. S]]="",DataTable[[#This Row],[Successful Hi. G. S.]]=""),"N/A",DataTable[[#This Row],[Successful Lo. G. S]]*2+DataTable[[#This Row],[Successful Hi. G. S.]]*10)</f>
        <v>N/A</v>
      </c>
      <c r="H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" s="11" t="str">
        <f>IF(DataTable[[#This Row],[Lo. B. Successful Xings.]]="","N/A",SUM(ProcessedData[[#This Row],[Lo. B. Ti.]],DataTable[[#This Row],[Lo. B. Successful Xings.]]+1))</f>
        <v>N/A</v>
      </c>
      <c r="Z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" spans="1:26" x14ac:dyDescent="0.2">
      <c r="A46" t="str">
        <f>IF(DataTable[[#This Row],[Tm.]]="","N/A",DataTable[[#This Row],[Tm.]])</f>
        <v>N/A</v>
      </c>
      <c r="B46" t="str">
        <f>IF(DataTable[[#This Row],[Match Nr.]]="","N/A",DataTable[[#This Row],[Match Nr.]])</f>
        <v>N/A</v>
      </c>
      <c r="C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" t="str">
        <f>IF(AND(DataTable[[#This Row],[Successful Lo. G. S]]="",DataTable[[#This Row],[Successful Hi. G. S.]]=""),"N/A",DataTable[[#This Row],[Successful Lo. G. S]]*2+DataTable[[#This Row],[Successful Hi. G. S.]]*10)</f>
        <v>N/A</v>
      </c>
      <c r="H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" s="11" t="str">
        <f>IF(DataTable[[#This Row],[Lo. B. Successful Xings.]]="","N/A",SUM(ProcessedData[[#This Row],[Lo. B. Ti.]],DataTable[[#This Row],[Lo. B. Successful Xings.]]+1))</f>
        <v>N/A</v>
      </c>
      <c r="Z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" spans="1:26" x14ac:dyDescent="0.2">
      <c r="A47" t="str">
        <f>IF(DataTable[[#This Row],[Tm.]]="","N/A",DataTable[[#This Row],[Tm.]])</f>
        <v>N/A</v>
      </c>
      <c r="B47" t="str">
        <f>IF(DataTable[[#This Row],[Match Nr.]]="","N/A",DataTable[[#This Row],[Match Nr.]])</f>
        <v>N/A</v>
      </c>
      <c r="C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" t="str">
        <f>IF(AND(DataTable[[#This Row],[Successful Lo. G. S]]="",DataTable[[#This Row],[Successful Hi. G. S.]]=""),"N/A",DataTable[[#This Row],[Successful Lo. G. S]]*2+DataTable[[#This Row],[Successful Hi. G. S.]]*10)</f>
        <v>N/A</v>
      </c>
      <c r="H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" s="11" t="str">
        <f>IF(DataTable[[#This Row],[Lo. B. Successful Xings.]]="","N/A",SUM(ProcessedData[[#This Row],[Lo. B. Ti.]],DataTable[[#This Row],[Lo. B. Successful Xings.]]+1))</f>
        <v>N/A</v>
      </c>
      <c r="Z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" spans="1:26" x14ac:dyDescent="0.2">
      <c r="A48" t="str">
        <f>IF(DataTable[[#This Row],[Tm.]]="","N/A",DataTable[[#This Row],[Tm.]])</f>
        <v>N/A</v>
      </c>
      <c r="B48" t="str">
        <f>IF(DataTable[[#This Row],[Match Nr.]]="","N/A",DataTable[[#This Row],[Match Nr.]])</f>
        <v>N/A</v>
      </c>
      <c r="C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" t="str">
        <f>IF(AND(DataTable[[#This Row],[Successful Lo. G. S]]="",DataTable[[#This Row],[Successful Hi. G. S.]]=""),"N/A",DataTable[[#This Row],[Successful Lo. G. S]]*2+DataTable[[#This Row],[Successful Hi. G. S.]]*10)</f>
        <v>N/A</v>
      </c>
      <c r="H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" s="11" t="str">
        <f>IF(DataTable[[#This Row],[Lo. B. Successful Xings.]]="","N/A",SUM(ProcessedData[[#This Row],[Lo. B. Ti.]],DataTable[[#This Row],[Lo. B. Successful Xings.]]+1))</f>
        <v>N/A</v>
      </c>
      <c r="Z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" spans="1:26" x14ac:dyDescent="0.2">
      <c r="A49" t="str">
        <f>IF(DataTable[[#This Row],[Tm.]]="","N/A",DataTable[[#This Row],[Tm.]])</f>
        <v>N/A</v>
      </c>
      <c r="B49" t="str">
        <f>IF(DataTable[[#This Row],[Match Nr.]]="","N/A",DataTable[[#This Row],[Match Nr.]])</f>
        <v>N/A</v>
      </c>
      <c r="C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" t="str">
        <f>IF(AND(DataTable[[#This Row],[Successful Lo. G. S]]="",DataTable[[#This Row],[Successful Hi. G. S.]]=""),"N/A",DataTable[[#This Row],[Successful Lo. G. S]]*2+DataTable[[#This Row],[Successful Hi. G. S.]]*10)</f>
        <v>N/A</v>
      </c>
      <c r="H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" s="11" t="str">
        <f>IF(DataTable[[#This Row],[Lo. B. Successful Xings.]]="","N/A",SUM(ProcessedData[[#This Row],[Lo. B. Ti.]],DataTable[[#This Row],[Lo. B. Successful Xings.]]+1))</f>
        <v>N/A</v>
      </c>
      <c r="Z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" spans="1:26" x14ac:dyDescent="0.2">
      <c r="A50" t="str">
        <f>IF(DataTable[[#This Row],[Tm.]]="","N/A",DataTable[[#This Row],[Tm.]])</f>
        <v>N/A</v>
      </c>
      <c r="B50" t="str">
        <f>IF(DataTable[[#This Row],[Match Nr.]]="","N/A",DataTable[[#This Row],[Match Nr.]])</f>
        <v>N/A</v>
      </c>
      <c r="C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" t="str">
        <f>IF(AND(DataTable[[#This Row],[Successful Lo. G. S]]="",DataTable[[#This Row],[Successful Hi. G. S.]]=""),"N/A",DataTable[[#This Row],[Successful Lo. G. S]]*2+DataTable[[#This Row],[Successful Hi. G. S.]]*10)</f>
        <v>N/A</v>
      </c>
      <c r="H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" s="11" t="str">
        <f>IF(DataTable[[#This Row],[Lo. B. Successful Xings.]]="","N/A",SUM(ProcessedData[[#This Row],[Lo. B. Ti.]],DataTable[[#This Row],[Lo. B. Successful Xings.]]+1))</f>
        <v>N/A</v>
      </c>
      <c r="Z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" spans="1:26" x14ac:dyDescent="0.2">
      <c r="A51" t="str">
        <f>IF(DataTable[[#This Row],[Tm.]]="","N/A",DataTable[[#This Row],[Tm.]])</f>
        <v>N/A</v>
      </c>
      <c r="B51" t="str">
        <f>IF(DataTable[[#This Row],[Match Nr.]]="","N/A",DataTable[[#This Row],[Match Nr.]])</f>
        <v>N/A</v>
      </c>
      <c r="C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" t="str">
        <f>IF(AND(DataTable[[#This Row],[Successful Lo. G. S]]="",DataTable[[#This Row],[Successful Hi. G. S.]]=""),"N/A",DataTable[[#This Row],[Successful Lo. G. S]]*2+DataTable[[#This Row],[Successful Hi. G. S.]]*10)</f>
        <v>N/A</v>
      </c>
      <c r="H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" s="11" t="str">
        <f>IF(DataTable[[#This Row],[Lo. B. Successful Xings.]]="","N/A",SUM(ProcessedData[[#This Row],[Lo. B. Ti.]],DataTable[[#This Row],[Lo. B. Successful Xings.]]+1))</f>
        <v>N/A</v>
      </c>
      <c r="Z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" spans="1:26" x14ac:dyDescent="0.2">
      <c r="A52" t="str">
        <f>IF(DataTable[[#This Row],[Tm.]]="","N/A",DataTable[[#This Row],[Tm.]])</f>
        <v>N/A</v>
      </c>
      <c r="B52" t="str">
        <f>IF(DataTable[[#This Row],[Match Nr.]]="","N/A",DataTable[[#This Row],[Match Nr.]])</f>
        <v>N/A</v>
      </c>
      <c r="C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" t="str">
        <f>IF(AND(DataTable[[#This Row],[Successful Lo. G. S]]="",DataTable[[#This Row],[Successful Hi. G. S.]]=""),"N/A",DataTable[[#This Row],[Successful Lo. G. S]]*2+DataTable[[#This Row],[Successful Hi. G. S.]]*10)</f>
        <v>N/A</v>
      </c>
      <c r="H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" s="11" t="str">
        <f>IF(DataTable[[#This Row],[Lo. B. Successful Xings.]]="","N/A",SUM(ProcessedData[[#This Row],[Lo. B. Ti.]],DataTable[[#This Row],[Lo. B. Successful Xings.]]+1))</f>
        <v>N/A</v>
      </c>
      <c r="Z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" spans="1:26" x14ac:dyDescent="0.2">
      <c r="A53" t="str">
        <f>IF(DataTable[[#This Row],[Tm.]]="","N/A",DataTable[[#This Row],[Tm.]])</f>
        <v>N/A</v>
      </c>
      <c r="B53" t="str">
        <f>IF(DataTable[[#This Row],[Match Nr.]]="","N/A",DataTable[[#This Row],[Match Nr.]])</f>
        <v>N/A</v>
      </c>
      <c r="C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" t="str">
        <f>IF(AND(DataTable[[#This Row],[Successful Lo. G. S]]="",DataTable[[#This Row],[Successful Hi. G. S.]]=""),"N/A",DataTable[[#This Row],[Successful Lo. G. S]]*2+DataTable[[#This Row],[Successful Hi. G. S.]]*10)</f>
        <v>N/A</v>
      </c>
      <c r="H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" s="11" t="str">
        <f>IF(DataTable[[#This Row],[Lo. B. Successful Xings.]]="","N/A",SUM(ProcessedData[[#This Row],[Lo. B. Ti.]],DataTable[[#This Row],[Lo. B. Successful Xings.]]+1))</f>
        <v>N/A</v>
      </c>
      <c r="Z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" spans="1:26" x14ac:dyDescent="0.2">
      <c r="A54" t="str">
        <f>IF(DataTable[[#This Row],[Tm.]]="","N/A",DataTable[[#This Row],[Tm.]])</f>
        <v>N/A</v>
      </c>
      <c r="B54" t="str">
        <f>IF(DataTable[[#This Row],[Match Nr.]]="","N/A",DataTable[[#This Row],[Match Nr.]])</f>
        <v>N/A</v>
      </c>
      <c r="C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" t="str">
        <f>IF(AND(DataTable[[#This Row],[Successful Lo. G. S]]="",DataTable[[#This Row],[Successful Hi. G. S.]]=""),"N/A",DataTable[[#This Row],[Successful Lo. G. S]]*2+DataTable[[#This Row],[Successful Hi. G. S.]]*10)</f>
        <v>N/A</v>
      </c>
      <c r="H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" s="11" t="str">
        <f>IF(DataTable[[#This Row],[Lo. B. Successful Xings.]]="","N/A",SUM(ProcessedData[[#This Row],[Lo. B. Ti.]],DataTable[[#This Row],[Lo. B. Successful Xings.]]+1))</f>
        <v>N/A</v>
      </c>
      <c r="Z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" spans="1:26" x14ac:dyDescent="0.2">
      <c r="A55" t="str">
        <f>IF(DataTable[[#This Row],[Tm.]]="","N/A",DataTable[[#This Row],[Tm.]])</f>
        <v>N/A</v>
      </c>
      <c r="B55" t="str">
        <f>IF(DataTable[[#This Row],[Match Nr.]]="","N/A",DataTable[[#This Row],[Match Nr.]])</f>
        <v>N/A</v>
      </c>
      <c r="C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" t="str">
        <f>IF(AND(DataTable[[#This Row],[Successful Lo. G. S]]="",DataTable[[#This Row],[Successful Hi. G. S.]]=""),"N/A",DataTable[[#This Row],[Successful Lo. G. S]]*2+DataTable[[#This Row],[Successful Hi. G. S.]]*10)</f>
        <v>N/A</v>
      </c>
      <c r="H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" s="11" t="str">
        <f>IF(DataTable[[#This Row],[Lo. B. Successful Xings.]]="","N/A",SUM(ProcessedData[[#This Row],[Lo. B. Ti.]],DataTable[[#This Row],[Lo. B. Successful Xings.]]+1))</f>
        <v>N/A</v>
      </c>
      <c r="Z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" spans="1:26" x14ac:dyDescent="0.2">
      <c r="A56" t="str">
        <f>IF(DataTable[[#This Row],[Tm.]]="","N/A",DataTable[[#This Row],[Tm.]])</f>
        <v>N/A</v>
      </c>
      <c r="B56" t="str">
        <f>IF(DataTable[[#This Row],[Match Nr.]]="","N/A",DataTable[[#This Row],[Match Nr.]])</f>
        <v>N/A</v>
      </c>
      <c r="C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" t="str">
        <f>IF(AND(DataTable[[#This Row],[Successful Lo. G. S]]="",DataTable[[#This Row],[Successful Hi. G. S.]]=""),"N/A",DataTable[[#This Row],[Successful Lo. G. S]]*2+DataTable[[#This Row],[Successful Hi. G. S.]]*10)</f>
        <v>N/A</v>
      </c>
      <c r="H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" s="11" t="str">
        <f>IF(DataTable[[#This Row],[Lo. B. Successful Xings.]]="","N/A",SUM(ProcessedData[[#This Row],[Lo. B. Ti.]],DataTable[[#This Row],[Lo. B. Successful Xings.]]+1))</f>
        <v>N/A</v>
      </c>
      <c r="Z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" spans="1:26" x14ac:dyDescent="0.2">
      <c r="A57" t="str">
        <f>IF(DataTable[[#This Row],[Tm.]]="","N/A",DataTable[[#This Row],[Tm.]])</f>
        <v>N/A</v>
      </c>
      <c r="B57" t="str">
        <f>IF(DataTable[[#This Row],[Match Nr.]]="","N/A",DataTable[[#This Row],[Match Nr.]])</f>
        <v>N/A</v>
      </c>
      <c r="C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" t="str">
        <f>IF(AND(DataTable[[#This Row],[Successful Lo. G. S]]="",DataTable[[#This Row],[Successful Hi. G. S.]]=""),"N/A",DataTable[[#This Row],[Successful Lo. G. S]]*2+DataTable[[#This Row],[Successful Hi. G. S.]]*10)</f>
        <v>N/A</v>
      </c>
      <c r="H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" s="11" t="str">
        <f>IF(DataTable[[#This Row],[Lo. B. Successful Xings.]]="","N/A",SUM(ProcessedData[[#This Row],[Lo. B. Ti.]],DataTable[[#This Row],[Lo. B. Successful Xings.]]+1))</f>
        <v>N/A</v>
      </c>
      <c r="Z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" spans="1:26" x14ac:dyDescent="0.2">
      <c r="A58" t="str">
        <f>IF(DataTable[[#This Row],[Tm.]]="","N/A",DataTable[[#This Row],[Tm.]])</f>
        <v>N/A</v>
      </c>
      <c r="B58" t="str">
        <f>IF(DataTable[[#This Row],[Match Nr.]]="","N/A",DataTable[[#This Row],[Match Nr.]])</f>
        <v>N/A</v>
      </c>
      <c r="C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" t="str">
        <f>IF(AND(DataTable[[#This Row],[Successful Lo. G. S]]="",DataTable[[#This Row],[Successful Hi. G. S.]]=""),"N/A",DataTable[[#This Row],[Successful Lo. G. S]]*2+DataTable[[#This Row],[Successful Hi. G. S.]]*10)</f>
        <v>N/A</v>
      </c>
      <c r="H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" s="11" t="str">
        <f>IF(DataTable[[#This Row],[Lo. B. Successful Xings.]]="","N/A",SUM(ProcessedData[[#This Row],[Lo. B. Ti.]],DataTable[[#This Row],[Lo. B. Successful Xings.]]+1))</f>
        <v>N/A</v>
      </c>
      <c r="Z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" spans="1:26" x14ac:dyDescent="0.2">
      <c r="A59" t="str">
        <f>IF(DataTable[[#This Row],[Tm.]]="","N/A",DataTable[[#This Row],[Tm.]])</f>
        <v>N/A</v>
      </c>
      <c r="B59" t="str">
        <f>IF(DataTable[[#This Row],[Match Nr.]]="","N/A",DataTable[[#This Row],[Match Nr.]])</f>
        <v>N/A</v>
      </c>
      <c r="C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" t="str">
        <f>IF(AND(DataTable[[#This Row],[Successful Lo. G. S]]="",DataTable[[#This Row],[Successful Hi. G. S.]]=""),"N/A",DataTable[[#This Row],[Successful Lo. G. S]]*2+DataTable[[#This Row],[Successful Hi. G. S.]]*10)</f>
        <v>N/A</v>
      </c>
      <c r="H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" s="11" t="str">
        <f>IF(DataTable[[#This Row],[Lo. B. Successful Xings.]]="","N/A",SUM(ProcessedData[[#This Row],[Lo. B. Ti.]],DataTable[[#This Row],[Lo. B. Successful Xings.]]+1))</f>
        <v>N/A</v>
      </c>
      <c r="Z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" spans="1:26" x14ac:dyDescent="0.2">
      <c r="A60" t="str">
        <f>IF(DataTable[[#This Row],[Tm.]]="","N/A",DataTable[[#This Row],[Tm.]])</f>
        <v>N/A</v>
      </c>
      <c r="B60" t="str">
        <f>IF(DataTable[[#This Row],[Match Nr.]]="","N/A",DataTable[[#This Row],[Match Nr.]])</f>
        <v>N/A</v>
      </c>
      <c r="C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" t="str">
        <f>IF(AND(DataTable[[#This Row],[Successful Lo. G. S]]="",DataTable[[#This Row],[Successful Hi. G. S.]]=""),"N/A",DataTable[[#This Row],[Successful Lo. G. S]]*2+DataTable[[#This Row],[Successful Hi. G. S.]]*10)</f>
        <v>N/A</v>
      </c>
      <c r="H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" s="11" t="str">
        <f>IF(DataTable[[#This Row],[Lo. B. Successful Xings.]]="","N/A",SUM(ProcessedData[[#This Row],[Lo. B. Ti.]],DataTable[[#This Row],[Lo. B. Successful Xings.]]+1))</f>
        <v>N/A</v>
      </c>
      <c r="Z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" spans="1:26" x14ac:dyDescent="0.2">
      <c r="A61" t="str">
        <f>IF(DataTable[[#This Row],[Tm.]]="","N/A",DataTable[[#This Row],[Tm.]])</f>
        <v>N/A</v>
      </c>
      <c r="B61" t="str">
        <f>IF(DataTable[[#This Row],[Match Nr.]]="","N/A",DataTable[[#This Row],[Match Nr.]])</f>
        <v>N/A</v>
      </c>
      <c r="C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" t="str">
        <f>IF(AND(DataTable[[#This Row],[Successful Lo. G. S]]="",DataTable[[#This Row],[Successful Hi. G. S.]]=""),"N/A",DataTable[[#This Row],[Successful Lo. G. S]]*2+DataTable[[#This Row],[Successful Hi. G. S.]]*10)</f>
        <v>N/A</v>
      </c>
      <c r="H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" s="11" t="str">
        <f>IF(DataTable[[#This Row],[Lo. B. Successful Xings.]]="","N/A",SUM(ProcessedData[[#This Row],[Lo. B. Ti.]],DataTable[[#This Row],[Lo. B. Successful Xings.]]+1))</f>
        <v>N/A</v>
      </c>
      <c r="Z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" spans="1:26" x14ac:dyDescent="0.2">
      <c r="A62" t="str">
        <f>IF(DataTable[[#This Row],[Tm.]]="","N/A",DataTable[[#This Row],[Tm.]])</f>
        <v>N/A</v>
      </c>
      <c r="B62" t="str">
        <f>IF(DataTable[[#This Row],[Match Nr.]]="","N/A",DataTable[[#This Row],[Match Nr.]])</f>
        <v>N/A</v>
      </c>
      <c r="C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" t="str">
        <f>IF(AND(DataTable[[#This Row],[Successful Lo. G. S]]="",DataTable[[#This Row],[Successful Hi. G. S.]]=""),"N/A",DataTable[[#This Row],[Successful Lo. G. S]]*2+DataTable[[#This Row],[Successful Hi. G. S.]]*10)</f>
        <v>N/A</v>
      </c>
      <c r="H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" s="11" t="str">
        <f>IF(DataTable[[#This Row],[Lo. B. Successful Xings.]]="","N/A",SUM(ProcessedData[[#This Row],[Lo. B. Ti.]],DataTable[[#This Row],[Lo. B. Successful Xings.]]+1))</f>
        <v>N/A</v>
      </c>
      <c r="Z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" spans="1:26" x14ac:dyDescent="0.2">
      <c r="A63" t="str">
        <f>IF(DataTable[[#This Row],[Tm.]]="","N/A",DataTable[[#This Row],[Tm.]])</f>
        <v>N/A</v>
      </c>
      <c r="B63" t="str">
        <f>IF(DataTable[[#This Row],[Match Nr.]]="","N/A",DataTable[[#This Row],[Match Nr.]])</f>
        <v>N/A</v>
      </c>
      <c r="C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" t="str">
        <f>IF(AND(DataTable[[#This Row],[Successful Lo. G. S]]="",DataTable[[#This Row],[Successful Hi. G. S.]]=""),"N/A",DataTable[[#This Row],[Successful Lo. G. S]]*2+DataTable[[#This Row],[Successful Hi. G. S.]]*10)</f>
        <v>N/A</v>
      </c>
      <c r="H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" s="11" t="str">
        <f>IF(DataTable[[#This Row],[Lo. B. Successful Xings.]]="","N/A",SUM(ProcessedData[[#This Row],[Lo. B. Ti.]],DataTable[[#This Row],[Lo. B. Successful Xings.]]+1))</f>
        <v>N/A</v>
      </c>
      <c r="Z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" spans="1:26" x14ac:dyDescent="0.2">
      <c r="A64" t="str">
        <f>IF(DataTable[[#This Row],[Tm.]]="","N/A",DataTable[[#This Row],[Tm.]])</f>
        <v>N/A</v>
      </c>
      <c r="B64" t="str">
        <f>IF(DataTable[[#This Row],[Match Nr.]]="","N/A",DataTable[[#This Row],[Match Nr.]])</f>
        <v>N/A</v>
      </c>
      <c r="C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" t="str">
        <f>IF(AND(DataTable[[#This Row],[Successful Lo. G. S]]="",DataTable[[#This Row],[Successful Hi. G. S.]]=""),"N/A",DataTable[[#This Row],[Successful Lo. G. S]]*2+DataTable[[#This Row],[Successful Hi. G. S.]]*10)</f>
        <v>N/A</v>
      </c>
      <c r="H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" s="11" t="str">
        <f>IF(DataTable[[#This Row],[Lo. B. Successful Xings.]]="","N/A",SUM(ProcessedData[[#This Row],[Lo. B. Ti.]],DataTable[[#This Row],[Lo. B. Successful Xings.]]+1))</f>
        <v>N/A</v>
      </c>
      <c r="Z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" spans="1:26" x14ac:dyDescent="0.2">
      <c r="A65" t="str">
        <f>IF(DataTable[[#This Row],[Tm.]]="","N/A",DataTable[[#This Row],[Tm.]])</f>
        <v>N/A</v>
      </c>
      <c r="B65" t="str">
        <f>IF(DataTable[[#This Row],[Match Nr.]]="","N/A",DataTable[[#This Row],[Match Nr.]])</f>
        <v>N/A</v>
      </c>
      <c r="C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" t="str">
        <f>IF(AND(DataTable[[#This Row],[Successful Lo. G. S]]="",DataTable[[#This Row],[Successful Hi. G. S.]]=""),"N/A",DataTable[[#This Row],[Successful Lo. G. S]]*2+DataTable[[#This Row],[Successful Hi. G. S.]]*10)</f>
        <v>N/A</v>
      </c>
      <c r="H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" s="11" t="str">
        <f>IF(DataTable[[#This Row],[Lo. B. Successful Xings.]]="","N/A",SUM(ProcessedData[[#This Row],[Lo. B. Ti.]],DataTable[[#This Row],[Lo. B. Successful Xings.]]+1))</f>
        <v>N/A</v>
      </c>
      <c r="Z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" spans="1:26" x14ac:dyDescent="0.2">
      <c r="A66" t="str">
        <f>IF(DataTable[[#This Row],[Tm.]]="","N/A",DataTable[[#This Row],[Tm.]])</f>
        <v>N/A</v>
      </c>
      <c r="B66" t="str">
        <f>IF(DataTable[[#This Row],[Match Nr.]]="","N/A",DataTable[[#This Row],[Match Nr.]])</f>
        <v>N/A</v>
      </c>
      <c r="C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" t="str">
        <f>IF(AND(DataTable[[#This Row],[Successful Lo. G. S]]="",DataTable[[#This Row],[Successful Hi. G. S.]]=""),"N/A",DataTable[[#This Row],[Successful Lo. G. S]]*2+DataTable[[#This Row],[Successful Hi. G. S.]]*10)</f>
        <v>N/A</v>
      </c>
      <c r="H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" s="11" t="str">
        <f>IF(DataTable[[#This Row],[Lo. B. Successful Xings.]]="","N/A",SUM(ProcessedData[[#This Row],[Lo. B. Ti.]],DataTable[[#This Row],[Lo. B. Successful Xings.]]+1))</f>
        <v>N/A</v>
      </c>
      <c r="Z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" spans="1:26" x14ac:dyDescent="0.2">
      <c r="A67" t="str">
        <f>IF(DataTable[[#This Row],[Tm.]]="","N/A",DataTable[[#This Row],[Tm.]])</f>
        <v>N/A</v>
      </c>
      <c r="B67" t="str">
        <f>IF(DataTable[[#This Row],[Match Nr.]]="","N/A",DataTable[[#This Row],[Match Nr.]])</f>
        <v>N/A</v>
      </c>
      <c r="C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" t="str">
        <f>IF(AND(DataTable[[#This Row],[Successful Lo. G. S]]="",DataTable[[#This Row],[Successful Hi. G. S.]]=""),"N/A",DataTable[[#This Row],[Successful Lo. G. S]]*2+DataTable[[#This Row],[Successful Hi. G. S.]]*10)</f>
        <v>N/A</v>
      </c>
      <c r="H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" s="11" t="str">
        <f>IF(DataTable[[#This Row],[Lo. B. Successful Xings.]]="","N/A",SUM(ProcessedData[[#This Row],[Lo. B. Ti.]],DataTable[[#This Row],[Lo. B. Successful Xings.]]+1))</f>
        <v>N/A</v>
      </c>
      <c r="Z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" spans="1:26" x14ac:dyDescent="0.2">
      <c r="A68" t="str">
        <f>IF(DataTable[[#This Row],[Tm.]]="","N/A",DataTable[[#This Row],[Tm.]])</f>
        <v>N/A</v>
      </c>
      <c r="B68" t="str">
        <f>IF(DataTable[[#This Row],[Match Nr.]]="","N/A",DataTable[[#This Row],[Match Nr.]])</f>
        <v>N/A</v>
      </c>
      <c r="C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" t="str">
        <f>IF(AND(DataTable[[#This Row],[Successful Lo. G. S]]="",DataTable[[#This Row],[Successful Hi. G. S.]]=""),"N/A",DataTable[[#This Row],[Successful Lo. G. S]]*2+DataTable[[#This Row],[Successful Hi. G. S.]]*10)</f>
        <v>N/A</v>
      </c>
      <c r="H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" s="11" t="str">
        <f>IF(DataTable[[#This Row],[Lo. B. Successful Xings.]]="","N/A",SUM(ProcessedData[[#This Row],[Lo. B. Ti.]],DataTable[[#This Row],[Lo. B. Successful Xings.]]+1))</f>
        <v>N/A</v>
      </c>
      <c r="Z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" spans="1:26" x14ac:dyDescent="0.2">
      <c r="A69" t="str">
        <f>IF(DataTable[[#This Row],[Tm.]]="","N/A",DataTable[[#This Row],[Tm.]])</f>
        <v>N/A</v>
      </c>
      <c r="B69" t="str">
        <f>IF(DataTable[[#This Row],[Match Nr.]]="","N/A",DataTable[[#This Row],[Match Nr.]])</f>
        <v>N/A</v>
      </c>
      <c r="C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" t="str">
        <f>IF(AND(DataTable[[#This Row],[Successful Lo. G. S]]="",DataTable[[#This Row],[Successful Hi. G. S.]]=""),"N/A",DataTable[[#This Row],[Successful Lo. G. S]]*2+DataTable[[#This Row],[Successful Hi. G. S.]]*10)</f>
        <v>N/A</v>
      </c>
      <c r="H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" s="11" t="str">
        <f>IF(DataTable[[#This Row],[Lo. B. Successful Xings.]]="","N/A",SUM(ProcessedData[[#This Row],[Lo. B. Ti.]],DataTable[[#This Row],[Lo. B. Successful Xings.]]+1))</f>
        <v>N/A</v>
      </c>
      <c r="Z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" spans="1:26" x14ac:dyDescent="0.2">
      <c r="A70" t="str">
        <f>IF(DataTable[[#This Row],[Tm.]]="","N/A",DataTable[[#This Row],[Tm.]])</f>
        <v>N/A</v>
      </c>
      <c r="B70" t="str">
        <f>IF(DataTable[[#This Row],[Match Nr.]]="","N/A",DataTable[[#This Row],[Match Nr.]])</f>
        <v>N/A</v>
      </c>
      <c r="C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" t="str">
        <f>IF(AND(DataTable[[#This Row],[Successful Lo. G. S]]="",DataTable[[#This Row],[Successful Hi. G. S.]]=""),"N/A",DataTable[[#This Row],[Successful Lo. G. S]]*2+DataTable[[#This Row],[Successful Hi. G. S.]]*10)</f>
        <v>N/A</v>
      </c>
      <c r="H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" s="11" t="str">
        <f>IF(DataTable[[#This Row],[Lo. B. Successful Xings.]]="","N/A",SUM(ProcessedData[[#This Row],[Lo. B. Ti.]],DataTable[[#This Row],[Lo. B. Successful Xings.]]+1))</f>
        <v>N/A</v>
      </c>
      <c r="Z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" spans="1:26" x14ac:dyDescent="0.2">
      <c r="A71" t="str">
        <f>IF(DataTable[[#This Row],[Tm.]]="","N/A",DataTable[[#This Row],[Tm.]])</f>
        <v>N/A</v>
      </c>
      <c r="B71" t="str">
        <f>IF(DataTable[[#This Row],[Match Nr.]]="","N/A",DataTable[[#This Row],[Match Nr.]])</f>
        <v>N/A</v>
      </c>
      <c r="C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" t="str">
        <f>IF(AND(DataTable[[#This Row],[Successful Lo. G. S]]="",DataTable[[#This Row],[Successful Hi. G. S.]]=""),"N/A",DataTable[[#This Row],[Successful Lo. G. S]]*2+DataTable[[#This Row],[Successful Hi. G. S.]]*10)</f>
        <v>N/A</v>
      </c>
      <c r="H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" s="11" t="str">
        <f>IF(DataTable[[#This Row],[Lo. B. Successful Xings.]]="","N/A",SUM(ProcessedData[[#This Row],[Lo. B. Ti.]],DataTable[[#This Row],[Lo. B. Successful Xings.]]+1))</f>
        <v>N/A</v>
      </c>
      <c r="Z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" spans="1:26" x14ac:dyDescent="0.2">
      <c r="A72" t="str">
        <f>IF(DataTable[[#This Row],[Tm.]]="","N/A",DataTable[[#This Row],[Tm.]])</f>
        <v>N/A</v>
      </c>
      <c r="B72" t="str">
        <f>IF(DataTable[[#This Row],[Match Nr.]]="","N/A",DataTable[[#This Row],[Match Nr.]])</f>
        <v>N/A</v>
      </c>
      <c r="C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" t="str">
        <f>IF(AND(DataTable[[#This Row],[Successful Lo. G. S]]="",DataTable[[#This Row],[Successful Hi. G. S.]]=""),"N/A",DataTable[[#This Row],[Successful Lo. G. S]]*2+DataTable[[#This Row],[Successful Hi. G. S.]]*10)</f>
        <v>N/A</v>
      </c>
      <c r="H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" s="11" t="str">
        <f>IF(DataTable[[#This Row],[Lo. B. Successful Xings.]]="","N/A",SUM(ProcessedData[[#This Row],[Lo. B. Ti.]],DataTable[[#This Row],[Lo. B. Successful Xings.]]+1))</f>
        <v>N/A</v>
      </c>
      <c r="Z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" spans="1:26" x14ac:dyDescent="0.2">
      <c r="A73" t="str">
        <f>IF(DataTable[[#This Row],[Tm.]]="","N/A",DataTable[[#This Row],[Tm.]])</f>
        <v>N/A</v>
      </c>
      <c r="B73" t="str">
        <f>IF(DataTable[[#This Row],[Match Nr.]]="","N/A",DataTable[[#This Row],[Match Nr.]])</f>
        <v>N/A</v>
      </c>
      <c r="C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" t="str">
        <f>IF(AND(DataTable[[#This Row],[Successful Lo. G. S]]="",DataTable[[#This Row],[Successful Hi. G. S.]]=""),"N/A",DataTable[[#This Row],[Successful Lo. G. S]]*2+DataTable[[#This Row],[Successful Hi. G. S.]]*10)</f>
        <v>N/A</v>
      </c>
      <c r="H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" s="11" t="str">
        <f>IF(DataTable[[#This Row],[Lo. B. Successful Xings.]]="","N/A",SUM(ProcessedData[[#This Row],[Lo. B. Ti.]],DataTable[[#This Row],[Lo. B. Successful Xings.]]+1))</f>
        <v>N/A</v>
      </c>
      <c r="Z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" spans="1:26" x14ac:dyDescent="0.2">
      <c r="A74" t="str">
        <f>IF(DataTable[[#This Row],[Tm.]]="","N/A",DataTable[[#This Row],[Tm.]])</f>
        <v>N/A</v>
      </c>
      <c r="B74" t="str">
        <f>IF(DataTable[[#This Row],[Match Nr.]]="","N/A",DataTable[[#This Row],[Match Nr.]])</f>
        <v>N/A</v>
      </c>
      <c r="C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" t="str">
        <f>IF(AND(DataTable[[#This Row],[Successful Lo. G. S]]="",DataTable[[#This Row],[Successful Hi. G. S.]]=""),"N/A",DataTable[[#This Row],[Successful Lo. G. S]]*2+DataTable[[#This Row],[Successful Hi. G. S.]]*10)</f>
        <v>N/A</v>
      </c>
      <c r="H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" s="11" t="str">
        <f>IF(DataTable[[#This Row],[Lo. B. Successful Xings.]]="","N/A",SUM(ProcessedData[[#This Row],[Lo. B. Ti.]],DataTable[[#This Row],[Lo. B. Successful Xings.]]+1))</f>
        <v>N/A</v>
      </c>
      <c r="Z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" spans="1:26" x14ac:dyDescent="0.2">
      <c r="A75" t="str">
        <f>IF(DataTable[[#This Row],[Tm.]]="","N/A",DataTable[[#This Row],[Tm.]])</f>
        <v>N/A</v>
      </c>
      <c r="B75" t="str">
        <f>IF(DataTable[[#This Row],[Match Nr.]]="","N/A",DataTable[[#This Row],[Match Nr.]])</f>
        <v>N/A</v>
      </c>
      <c r="C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" t="str">
        <f>IF(AND(DataTable[[#This Row],[Successful Lo. G. S]]="",DataTable[[#This Row],[Successful Hi. G. S.]]=""),"N/A",DataTable[[#This Row],[Successful Lo. G. S]]*2+DataTable[[#This Row],[Successful Hi. G. S.]]*10)</f>
        <v>N/A</v>
      </c>
      <c r="H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" s="11" t="str">
        <f>IF(DataTable[[#This Row],[Lo. B. Successful Xings.]]="","N/A",SUM(ProcessedData[[#This Row],[Lo. B. Ti.]],DataTable[[#This Row],[Lo. B. Successful Xings.]]+1))</f>
        <v>N/A</v>
      </c>
      <c r="Z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" spans="1:26" x14ac:dyDescent="0.2">
      <c r="A76" t="str">
        <f>IF(DataTable[[#This Row],[Tm.]]="","N/A",DataTable[[#This Row],[Tm.]])</f>
        <v>N/A</v>
      </c>
      <c r="B76" t="str">
        <f>IF(DataTable[[#This Row],[Match Nr.]]="","N/A",DataTable[[#This Row],[Match Nr.]])</f>
        <v>N/A</v>
      </c>
      <c r="C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" t="str">
        <f>IF(AND(DataTable[[#This Row],[Successful Lo. G. S]]="",DataTable[[#This Row],[Successful Hi. G. S.]]=""),"N/A",DataTable[[#This Row],[Successful Lo. G. S]]*2+DataTable[[#This Row],[Successful Hi. G. S.]]*10)</f>
        <v>N/A</v>
      </c>
      <c r="H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" s="11" t="str">
        <f>IF(DataTable[[#This Row],[Lo. B. Successful Xings.]]="","N/A",SUM(ProcessedData[[#This Row],[Lo. B. Ti.]],DataTable[[#This Row],[Lo. B. Successful Xings.]]+1))</f>
        <v>N/A</v>
      </c>
      <c r="Z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" spans="1:26" x14ac:dyDescent="0.2">
      <c r="A77" t="str">
        <f>IF(DataTable[[#This Row],[Tm.]]="","N/A",DataTable[[#This Row],[Tm.]])</f>
        <v>N/A</v>
      </c>
      <c r="B77" t="str">
        <f>IF(DataTable[[#This Row],[Match Nr.]]="","N/A",DataTable[[#This Row],[Match Nr.]])</f>
        <v>N/A</v>
      </c>
      <c r="C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" t="str">
        <f>IF(AND(DataTable[[#This Row],[Successful Lo. G. S]]="",DataTable[[#This Row],[Successful Hi. G. S.]]=""),"N/A",DataTable[[#This Row],[Successful Lo. G. S]]*2+DataTable[[#This Row],[Successful Hi. G. S.]]*10)</f>
        <v>N/A</v>
      </c>
      <c r="H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" s="11" t="str">
        <f>IF(DataTable[[#This Row],[Lo. B. Successful Xings.]]="","N/A",SUM(ProcessedData[[#This Row],[Lo. B. Ti.]],DataTable[[#This Row],[Lo. B. Successful Xings.]]+1))</f>
        <v>N/A</v>
      </c>
      <c r="Z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" spans="1:26" x14ac:dyDescent="0.2">
      <c r="A78" t="str">
        <f>IF(DataTable[[#This Row],[Tm.]]="","N/A",DataTable[[#This Row],[Tm.]])</f>
        <v>N/A</v>
      </c>
      <c r="B78" t="str">
        <f>IF(DataTable[[#This Row],[Match Nr.]]="","N/A",DataTable[[#This Row],[Match Nr.]])</f>
        <v>N/A</v>
      </c>
      <c r="C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" t="str">
        <f>IF(AND(DataTable[[#This Row],[Successful Lo. G. S]]="",DataTable[[#This Row],[Successful Hi. G. S.]]=""),"N/A",DataTable[[#This Row],[Successful Lo. G. S]]*2+DataTable[[#This Row],[Successful Hi. G. S.]]*10)</f>
        <v>N/A</v>
      </c>
      <c r="H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" s="11" t="str">
        <f>IF(DataTable[[#This Row],[Lo. B. Successful Xings.]]="","N/A",SUM(ProcessedData[[#This Row],[Lo. B. Ti.]],DataTable[[#This Row],[Lo. B. Successful Xings.]]+1))</f>
        <v>N/A</v>
      </c>
      <c r="Z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" spans="1:26" x14ac:dyDescent="0.2">
      <c r="A79" t="str">
        <f>IF(DataTable[[#This Row],[Tm.]]="","N/A",DataTable[[#This Row],[Tm.]])</f>
        <v>N/A</v>
      </c>
      <c r="B79" t="str">
        <f>IF(DataTable[[#This Row],[Match Nr.]]="","N/A",DataTable[[#This Row],[Match Nr.]])</f>
        <v>N/A</v>
      </c>
      <c r="C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" t="str">
        <f>IF(AND(DataTable[[#This Row],[Successful Lo. G. S]]="",DataTable[[#This Row],[Successful Hi. G. S.]]=""),"N/A",DataTable[[#This Row],[Successful Lo. G. S]]*2+DataTable[[#This Row],[Successful Hi. G. S.]]*10)</f>
        <v>N/A</v>
      </c>
      <c r="H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" s="11" t="str">
        <f>IF(DataTable[[#This Row],[Lo. B. Successful Xings.]]="","N/A",SUM(ProcessedData[[#This Row],[Lo. B. Ti.]],DataTable[[#This Row],[Lo. B. Successful Xings.]]+1))</f>
        <v>N/A</v>
      </c>
      <c r="Z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" spans="1:26" x14ac:dyDescent="0.2">
      <c r="A80" t="str">
        <f>IF(DataTable[[#This Row],[Tm.]]="","N/A",DataTable[[#This Row],[Tm.]])</f>
        <v>N/A</v>
      </c>
      <c r="B80" t="str">
        <f>IF(DataTable[[#This Row],[Match Nr.]]="","N/A",DataTable[[#This Row],[Match Nr.]])</f>
        <v>N/A</v>
      </c>
      <c r="C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" t="str">
        <f>IF(AND(DataTable[[#This Row],[Successful Lo. G. S]]="",DataTable[[#This Row],[Successful Hi. G. S.]]=""),"N/A",DataTable[[#This Row],[Successful Lo. G. S]]*2+DataTable[[#This Row],[Successful Hi. G. S.]]*10)</f>
        <v>N/A</v>
      </c>
      <c r="H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" s="11" t="str">
        <f>IF(DataTable[[#This Row],[Lo. B. Successful Xings.]]="","N/A",SUM(ProcessedData[[#This Row],[Lo. B. Ti.]],DataTable[[#This Row],[Lo. B. Successful Xings.]]+1))</f>
        <v>N/A</v>
      </c>
      <c r="Z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" spans="1:26" x14ac:dyDescent="0.2">
      <c r="A81" t="str">
        <f>IF(DataTable[[#This Row],[Tm.]]="","N/A",DataTable[[#This Row],[Tm.]])</f>
        <v>N/A</v>
      </c>
      <c r="B81" t="str">
        <f>IF(DataTable[[#This Row],[Match Nr.]]="","N/A",DataTable[[#This Row],[Match Nr.]])</f>
        <v>N/A</v>
      </c>
      <c r="C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" t="str">
        <f>IF(AND(DataTable[[#This Row],[Successful Lo. G. S]]="",DataTable[[#This Row],[Successful Hi. G. S.]]=""),"N/A",DataTable[[#This Row],[Successful Lo. G. S]]*2+DataTable[[#This Row],[Successful Hi. G. S.]]*10)</f>
        <v>N/A</v>
      </c>
      <c r="H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" s="11" t="str">
        <f>IF(DataTable[[#This Row],[Lo. B. Successful Xings.]]="","N/A",SUM(ProcessedData[[#This Row],[Lo. B. Ti.]],DataTable[[#This Row],[Lo. B. Successful Xings.]]+1))</f>
        <v>N/A</v>
      </c>
      <c r="Z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" spans="1:26" x14ac:dyDescent="0.2">
      <c r="A82" t="str">
        <f>IF(DataTable[[#This Row],[Tm.]]="","N/A",DataTable[[#This Row],[Tm.]])</f>
        <v>N/A</v>
      </c>
      <c r="B82" t="str">
        <f>IF(DataTable[[#This Row],[Match Nr.]]="","N/A",DataTable[[#This Row],[Match Nr.]])</f>
        <v>N/A</v>
      </c>
      <c r="C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" t="str">
        <f>IF(AND(DataTable[[#This Row],[Successful Lo. G. S]]="",DataTable[[#This Row],[Successful Hi. G. S.]]=""),"N/A",DataTable[[#This Row],[Successful Lo. G. S]]*2+DataTable[[#This Row],[Successful Hi. G. S.]]*10)</f>
        <v>N/A</v>
      </c>
      <c r="H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" s="11" t="str">
        <f>IF(DataTable[[#This Row],[Lo. B. Successful Xings.]]="","N/A",SUM(ProcessedData[[#This Row],[Lo. B. Ti.]],DataTable[[#This Row],[Lo. B. Successful Xings.]]+1))</f>
        <v>N/A</v>
      </c>
      <c r="Z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" spans="1:26" x14ac:dyDescent="0.2">
      <c r="A83" t="str">
        <f>IF(DataTable[[#This Row],[Tm.]]="","N/A",DataTable[[#This Row],[Tm.]])</f>
        <v>N/A</v>
      </c>
      <c r="B83" t="str">
        <f>IF(DataTable[[#This Row],[Match Nr.]]="","N/A",DataTable[[#This Row],[Match Nr.]])</f>
        <v>N/A</v>
      </c>
      <c r="C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" t="str">
        <f>IF(AND(DataTable[[#This Row],[Successful Lo. G. S]]="",DataTable[[#This Row],[Successful Hi. G. S.]]=""),"N/A",DataTable[[#This Row],[Successful Lo. G. S]]*2+DataTable[[#This Row],[Successful Hi. G. S.]]*10)</f>
        <v>N/A</v>
      </c>
      <c r="H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" s="11" t="str">
        <f>IF(DataTable[[#This Row],[Lo. B. Successful Xings.]]="","N/A",SUM(ProcessedData[[#This Row],[Lo. B. Ti.]],DataTable[[#This Row],[Lo. B. Successful Xings.]]+1))</f>
        <v>N/A</v>
      </c>
      <c r="Z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" spans="1:26" x14ac:dyDescent="0.2">
      <c r="A84" t="str">
        <f>IF(DataTable[[#This Row],[Tm.]]="","N/A",DataTable[[#This Row],[Tm.]])</f>
        <v>N/A</v>
      </c>
      <c r="B84" t="str">
        <f>IF(DataTable[[#This Row],[Match Nr.]]="","N/A",DataTable[[#This Row],[Match Nr.]])</f>
        <v>N/A</v>
      </c>
      <c r="C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" t="str">
        <f>IF(AND(DataTable[[#This Row],[Successful Lo. G. S]]="",DataTable[[#This Row],[Successful Hi. G. S.]]=""),"N/A",DataTable[[#This Row],[Successful Lo. G. S]]*2+DataTable[[#This Row],[Successful Hi. G. S.]]*10)</f>
        <v>N/A</v>
      </c>
      <c r="H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" s="11" t="str">
        <f>IF(DataTable[[#This Row],[Lo. B. Successful Xings.]]="","N/A",SUM(ProcessedData[[#This Row],[Lo. B. Ti.]],DataTable[[#This Row],[Lo. B. Successful Xings.]]+1))</f>
        <v>N/A</v>
      </c>
      <c r="Z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" spans="1:26" x14ac:dyDescent="0.2">
      <c r="A85" t="str">
        <f>IF(DataTable[[#This Row],[Tm.]]="","N/A",DataTable[[#This Row],[Tm.]])</f>
        <v>N/A</v>
      </c>
      <c r="B85" t="str">
        <f>IF(DataTable[[#This Row],[Match Nr.]]="","N/A",DataTable[[#This Row],[Match Nr.]])</f>
        <v>N/A</v>
      </c>
      <c r="C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" t="str">
        <f>IF(AND(DataTable[[#This Row],[Successful Lo. G. S]]="",DataTable[[#This Row],[Successful Hi. G. S.]]=""),"N/A",DataTable[[#This Row],[Successful Lo. G. S]]*2+DataTable[[#This Row],[Successful Hi. G. S.]]*10)</f>
        <v>N/A</v>
      </c>
      <c r="H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" s="11" t="str">
        <f>IF(DataTable[[#This Row],[Lo. B. Successful Xings.]]="","N/A",SUM(ProcessedData[[#This Row],[Lo. B. Ti.]],DataTable[[#This Row],[Lo. B. Successful Xings.]]+1))</f>
        <v>N/A</v>
      </c>
      <c r="Z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" spans="1:26" x14ac:dyDescent="0.2">
      <c r="A86" t="str">
        <f>IF(DataTable[[#This Row],[Tm.]]="","N/A",DataTable[[#This Row],[Tm.]])</f>
        <v>N/A</v>
      </c>
      <c r="B86" t="str">
        <f>IF(DataTable[[#This Row],[Match Nr.]]="","N/A",DataTable[[#This Row],[Match Nr.]])</f>
        <v>N/A</v>
      </c>
      <c r="C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" t="str">
        <f>IF(AND(DataTable[[#This Row],[Successful Lo. G. S]]="",DataTable[[#This Row],[Successful Hi. G. S.]]=""),"N/A",DataTable[[#This Row],[Successful Lo. G. S]]*2+DataTable[[#This Row],[Successful Hi. G. S.]]*10)</f>
        <v>N/A</v>
      </c>
      <c r="H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" s="11" t="str">
        <f>IF(DataTable[[#This Row],[Lo. B. Successful Xings.]]="","N/A",SUM(ProcessedData[[#This Row],[Lo. B. Ti.]],DataTable[[#This Row],[Lo. B. Successful Xings.]]+1))</f>
        <v>N/A</v>
      </c>
      <c r="Z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" spans="1:26" x14ac:dyDescent="0.2">
      <c r="A87" t="str">
        <f>IF(DataTable[[#This Row],[Tm.]]="","N/A",DataTable[[#This Row],[Tm.]])</f>
        <v>N/A</v>
      </c>
      <c r="B87" t="str">
        <f>IF(DataTable[[#This Row],[Match Nr.]]="","N/A",DataTable[[#This Row],[Match Nr.]])</f>
        <v>N/A</v>
      </c>
      <c r="C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" t="str">
        <f>IF(AND(DataTable[[#This Row],[Successful Lo. G. S]]="",DataTable[[#This Row],[Successful Hi. G. S.]]=""),"N/A",DataTable[[#This Row],[Successful Lo. G. S]]*2+DataTable[[#This Row],[Successful Hi. G. S.]]*10)</f>
        <v>N/A</v>
      </c>
      <c r="H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" s="11" t="str">
        <f>IF(DataTable[[#This Row],[Lo. B. Successful Xings.]]="","N/A",SUM(ProcessedData[[#This Row],[Lo. B. Ti.]],DataTable[[#This Row],[Lo. B. Successful Xings.]]+1))</f>
        <v>N/A</v>
      </c>
      <c r="Z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" spans="1:26" x14ac:dyDescent="0.2">
      <c r="A88" t="str">
        <f>IF(DataTable[[#This Row],[Tm.]]="","N/A",DataTable[[#This Row],[Tm.]])</f>
        <v>N/A</v>
      </c>
      <c r="B88" t="str">
        <f>IF(DataTable[[#This Row],[Match Nr.]]="","N/A",DataTable[[#This Row],[Match Nr.]])</f>
        <v>N/A</v>
      </c>
      <c r="C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" t="str">
        <f>IF(AND(DataTable[[#This Row],[Successful Lo. G. S]]="",DataTable[[#This Row],[Successful Hi. G. S.]]=""),"N/A",DataTable[[#This Row],[Successful Lo. G. S]]*2+DataTable[[#This Row],[Successful Hi. G. S.]]*10)</f>
        <v>N/A</v>
      </c>
      <c r="H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" s="11" t="str">
        <f>IF(DataTable[[#This Row],[Lo. B. Successful Xings.]]="","N/A",SUM(ProcessedData[[#This Row],[Lo. B. Ti.]],DataTable[[#This Row],[Lo. B. Successful Xings.]]+1))</f>
        <v>N/A</v>
      </c>
      <c r="Z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" spans="1:26" x14ac:dyDescent="0.2">
      <c r="A89" t="str">
        <f>IF(DataTable[[#This Row],[Tm.]]="","N/A",DataTable[[#This Row],[Tm.]])</f>
        <v>N/A</v>
      </c>
      <c r="B89" t="str">
        <f>IF(DataTable[[#This Row],[Match Nr.]]="","N/A",DataTable[[#This Row],[Match Nr.]])</f>
        <v>N/A</v>
      </c>
      <c r="C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" t="str">
        <f>IF(AND(DataTable[[#This Row],[Successful Lo. G. S]]="",DataTable[[#This Row],[Successful Hi. G. S.]]=""),"N/A",DataTable[[#This Row],[Successful Lo. G. S]]*2+DataTable[[#This Row],[Successful Hi. G. S.]]*10)</f>
        <v>N/A</v>
      </c>
      <c r="H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" s="11" t="str">
        <f>IF(DataTable[[#This Row],[Lo. B. Successful Xings.]]="","N/A",SUM(ProcessedData[[#This Row],[Lo. B. Ti.]],DataTable[[#This Row],[Lo. B. Successful Xings.]]+1))</f>
        <v>N/A</v>
      </c>
      <c r="Z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" spans="1:26" x14ac:dyDescent="0.2">
      <c r="A90" t="str">
        <f>IF(DataTable[[#This Row],[Tm.]]="","N/A",DataTable[[#This Row],[Tm.]])</f>
        <v>N/A</v>
      </c>
      <c r="B90" t="str">
        <f>IF(DataTable[[#This Row],[Match Nr.]]="","N/A",DataTable[[#This Row],[Match Nr.]])</f>
        <v>N/A</v>
      </c>
      <c r="C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" t="str">
        <f>IF(AND(DataTable[[#This Row],[Successful Lo. G. S]]="",DataTable[[#This Row],[Successful Hi. G. S.]]=""),"N/A",DataTable[[#This Row],[Successful Lo. G. S]]*2+DataTable[[#This Row],[Successful Hi. G. S.]]*10)</f>
        <v>N/A</v>
      </c>
      <c r="H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" s="11" t="str">
        <f>IF(DataTable[[#This Row],[Lo. B. Successful Xings.]]="","N/A",SUM(ProcessedData[[#This Row],[Lo. B. Ti.]],DataTable[[#This Row],[Lo. B. Successful Xings.]]+1))</f>
        <v>N/A</v>
      </c>
      <c r="Z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" spans="1:26" x14ac:dyDescent="0.2">
      <c r="A91" t="str">
        <f>IF(DataTable[[#This Row],[Tm.]]="","N/A",DataTable[[#This Row],[Tm.]])</f>
        <v>N/A</v>
      </c>
      <c r="B91" t="str">
        <f>IF(DataTable[[#This Row],[Match Nr.]]="","N/A",DataTable[[#This Row],[Match Nr.]])</f>
        <v>N/A</v>
      </c>
      <c r="C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" t="str">
        <f>IF(AND(DataTable[[#This Row],[Successful Lo. G. S]]="",DataTable[[#This Row],[Successful Hi. G. S.]]=""),"N/A",DataTable[[#This Row],[Successful Lo. G. S]]*2+DataTable[[#This Row],[Successful Hi. G. S.]]*10)</f>
        <v>N/A</v>
      </c>
      <c r="H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" s="11" t="str">
        <f>IF(DataTable[[#This Row],[Lo. B. Successful Xings.]]="","N/A",SUM(ProcessedData[[#This Row],[Lo. B. Ti.]],DataTable[[#This Row],[Lo. B. Successful Xings.]]+1))</f>
        <v>N/A</v>
      </c>
      <c r="Z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" spans="1:26" x14ac:dyDescent="0.2">
      <c r="A92" t="str">
        <f>IF(DataTable[[#This Row],[Tm.]]="","N/A",DataTable[[#This Row],[Tm.]])</f>
        <v>N/A</v>
      </c>
      <c r="B92" t="str">
        <f>IF(DataTable[[#This Row],[Match Nr.]]="","N/A",DataTable[[#This Row],[Match Nr.]])</f>
        <v>N/A</v>
      </c>
      <c r="C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" t="str">
        <f>IF(AND(DataTable[[#This Row],[Successful Lo. G. S]]="",DataTable[[#This Row],[Successful Hi. G. S.]]=""),"N/A",DataTable[[#This Row],[Successful Lo. G. S]]*2+DataTable[[#This Row],[Successful Hi. G. S.]]*10)</f>
        <v>N/A</v>
      </c>
      <c r="H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" s="11" t="str">
        <f>IF(DataTable[[#This Row],[Lo. B. Successful Xings.]]="","N/A",SUM(ProcessedData[[#This Row],[Lo. B. Ti.]],DataTable[[#This Row],[Lo. B. Successful Xings.]]+1))</f>
        <v>N/A</v>
      </c>
      <c r="Z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" spans="1:26" x14ac:dyDescent="0.2">
      <c r="A93" t="str">
        <f>IF(DataTable[[#This Row],[Tm.]]="","N/A",DataTable[[#This Row],[Tm.]])</f>
        <v>N/A</v>
      </c>
      <c r="B93" t="str">
        <f>IF(DataTable[[#This Row],[Match Nr.]]="","N/A",DataTable[[#This Row],[Match Nr.]])</f>
        <v>N/A</v>
      </c>
      <c r="C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" t="str">
        <f>IF(AND(DataTable[[#This Row],[Successful Lo. G. S]]="",DataTable[[#This Row],[Successful Hi. G. S.]]=""),"N/A",DataTable[[#This Row],[Successful Lo. G. S]]*2+DataTable[[#This Row],[Successful Hi. G. S.]]*10)</f>
        <v>N/A</v>
      </c>
      <c r="H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" s="11" t="str">
        <f>IF(DataTable[[#This Row],[Lo. B. Successful Xings.]]="","N/A",SUM(ProcessedData[[#This Row],[Lo. B. Ti.]],DataTable[[#This Row],[Lo. B. Successful Xings.]]+1))</f>
        <v>N/A</v>
      </c>
      <c r="Z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" spans="1:26" x14ac:dyDescent="0.2">
      <c r="A94" t="str">
        <f>IF(DataTable[[#This Row],[Tm.]]="","N/A",DataTable[[#This Row],[Tm.]])</f>
        <v>N/A</v>
      </c>
      <c r="B94" t="str">
        <f>IF(DataTable[[#This Row],[Match Nr.]]="","N/A",DataTable[[#This Row],[Match Nr.]])</f>
        <v>N/A</v>
      </c>
      <c r="C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" t="str">
        <f>IF(AND(DataTable[[#This Row],[Successful Lo. G. S]]="",DataTable[[#This Row],[Successful Hi. G. S.]]=""),"N/A",DataTable[[#This Row],[Successful Lo. G. S]]*2+DataTable[[#This Row],[Successful Hi. G. S.]]*10)</f>
        <v>N/A</v>
      </c>
      <c r="H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" s="11" t="str">
        <f>IF(DataTable[[#This Row],[Lo. B. Successful Xings.]]="","N/A",SUM(ProcessedData[[#This Row],[Lo. B. Ti.]],DataTable[[#This Row],[Lo. B. Successful Xings.]]+1))</f>
        <v>N/A</v>
      </c>
      <c r="Z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" spans="1:26" x14ac:dyDescent="0.2">
      <c r="A95" t="str">
        <f>IF(DataTable[[#This Row],[Tm.]]="","N/A",DataTable[[#This Row],[Tm.]])</f>
        <v>N/A</v>
      </c>
      <c r="B95" t="str">
        <f>IF(DataTable[[#This Row],[Match Nr.]]="","N/A",DataTable[[#This Row],[Match Nr.]])</f>
        <v>N/A</v>
      </c>
      <c r="C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" t="str">
        <f>IF(AND(DataTable[[#This Row],[Successful Lo. G. S]]="",DataTable[[#This Row],[Successful Hi. G. S.]]=""),"N/A",DataTable[[#This Row],[Successful Lo. G. S]]*2+DataTable[[#This Row],[Successful Hi. G. S.]]*10)</f>
        <v>N/A</v>
      </c>
      <c r="H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" s="11" t="str">
        <f>IF(DataTable[[#This Row],[Lo. B. Successful Xings.]]="","N/A",SUM(ProcessedData[[#This Row],[Lo. B. Ti.]],DataTable[[#This Row],[Lo. B. Successful Xings.]]+1))</f>
        <v>N/A</v>
      </c>
      <c r="Z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" spans="1:26" x14ac:dyDescent="0.2">
      <c r="A96" t="str">
        <f>IF(DataTable[[#This Row],[Tm.]]="","N/A",DataTable[[#This Row],[Tm.]])</f>
        <v>N/A</v>
      </c>
      <c r="B96" t="str">
        <f>IF(DataTable[[#This Row],[Match Nr.]]="","N/A",DataTable[[#This Row],[Match Nr.]])</f>
        <v>N/A</v>
      </c>
      <c r="C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" t="str">
        <f>IF(AND(DataTable[[#This Row],[Successful Lo. G. S]]="",DataTable[[#This Row],[Successful Hi. G. S.]]=""),"N/A",DataTable[[#This Row],[Successful Lo. G. S]]*2+DataTable[[#This Row],[Successful Hi. G. S.]]*10)</f>
        <v>N/A</v>
      </c>
      <c r="H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" s="11" t="str">
        <f>IF(DataTable[[#This Row],[Lo. B. Successful Xings.]]="","N/A",SUM(ProcessedData[[#This Row],[Lo. B. Ti.]],DataTable[[#This Row],[Lo. B. Successful Xings.]]+1))</f>
        <v>N/A</v>
      </c>
      <c r="Z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" spans="1:26" x14ac:dyDescent="0.2">
      <c r="A97" t="str">
        <f>IF(DataTable[[#This Row],[Tm.]]="","N/A",DataTable[[#This Row],[Tm.]])</f>
        <v>N/A</v>
      </c>
      <c r="B97" t="str">
        <f>IF(DataTable[[#This Row],[Match Nr.]]="","N/A",DataTable[[#This Row],[Match Nr.]])</f>
        <v>N/A</v>
      </c>
      <c r="C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" t="str">
        <f>IF(AND(DataTable[[#This Row],[Successful Lo. G. S]]="",DataTable[[#This Row],[Successful Hi. G. S.]]=""),"N/A",DataTable[[#This Row],[Successful Lo. G. S]]*2+DataTable[[#This Row],[Successful Hi. G. S.]]*10)</f>
        <v>N/A</v>
      </c>
      <c r="H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" s="11" t="str">
        <f>IF(DataTable[[#This Row],[Lo. B. Successful Xings.]]="","N/A",SUM(ProcessedData[[#This Row],[Lo. B. Ti.]],DataTable[[#This Row],[Lo. B. Successful Xings.]]+1))</f>
        <v>N/A</v>
      </c>
      <c r="Z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" spans="1:26" x14ac:dyDescent="0.2">
      <c r="A98" t="str">
        <f>IF(DataTable[[#This Row],[Tm.]]="","N/A",DataTable[[#This Row],[Tm.]])</f>
        <v>N/A</v>
      </c>
      <c r="B98" t="str">
        <f>IF(DataTable[[#This Row],[Match Nr.]]="","N/A",DataTable[[#This Row],[Match Nr.]])</f>
        <v>N/A</v>
      </c>
      <c r="C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" t="str">
        <f>IF(AND(DataTable[[#This Row],[Successful Lo. G. S]]="",DataTable[[#This Row],[Successful Hi. G. S.]]=""),"N/A",DataTable[[#This Row],[Successful Lo. G. S]]*2+DataTable[[#This Row],[Successful Hi. G. S.]]*10)</f>
        <v>N/A</v>
      </c>
      <c r="H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" s="11" t="str">
        <f>IF(DataTable[[#This Row],[Lo. B. Successful Xings.]]="","N/A",SUM(ProcessedData[[#This Row],[Lo. B. Ti.]],DataTable[[#This Row],[Lo. B. Successful Xings.]]+1))</f>
        <v>N/A</v>
      </c>
      <c r="Z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" spans="1:26" x14ac:dyDescent="0.2">
      <c r="A99" t="str">
        <f>IF(DataTable[[#This Row],[Tm.]]="","N/A",DataTable[[#This Row],[Tm.]])</f>
        <v>N/A</v>
      </c>
      <c r="B99" t="str">
        <f>IF(DataTable[[#This Row],[Match Nr.]]="","N/A",DataTable[[#This Row],[Match Nr.]])</f>
        <v>N/A</v>
      </c>
      <c r="C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" t="str">
        <f>IF(AND(DataTable[[#This Row],[Successful Lo. G. S]]="",DataTable[[#This Row],[Successful Hi. G. S.]]=""),"N/A",DataTable[[#This Row],[Successful Lo. G. S]]*2+DataTable[[#This Row],[Successful Hi. G. S.]]*10)</f>
        <v>N/A</v>
      </c>
      <c r="H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" s="11" t="str">
        <f>IF(DataTable[[#This Row],[Lo. B. Successful Xings.]]="","N/A",SUM(ProcessedData[[#This Row],[Lo. B. Ti.]],DataTable[[#This Row],[Lo. B. Successful Xings.]]+1))</f>
        <v>N/A</v>
      </c>
      <c r="Z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0" spans="1:26" x14ac:dyDescent="0.2">
      <c r="A100" t="str">
        <f>IF(DataTable[[#This Row],[Tm.]]="","N/A",DataTable[[#This Row],[Tm.]])</f>
        <v>N/A</v>
      </c>
      <c r="B100" t="str">
        <f>IF(DataTable[[#This Row],[Match Nr.]]="","N/A",DataTable[[#This Row],[Match Nr.]])</f>
        <v>N/A</v>
      </c>
      <c r="C1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0" t="str">
        <f>IF(AND(DataTable[[#This Row],[Successful Lo. G. S]]="",DataTable[[#This Row],[Successful Hi. G. S.]]=""),"N/A",DataTable[[#This Row],[Successful Lo. G. S]]*2+DataTable[[#This Row],[Successful Hi. G. S.]]*10)</f>
        <v>N/A</v>
      </c>
      <c r="H1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0" s="11" t="str">
        <f>IF(DataTable[[#This Row],[Lo. B. Successful Xings.]]="","N/A",SUM(ProcessedData[[#This Row],[Lo. B. Ti.]],DataTable[[#This Row],[Lo. B. Successful Xings.]]+1))</f>
        <v>N/A</v>
      </c>
      <c r="Z1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1" spans="1:26" x14ac:dyDescent="0.2">
      <c r="A101" t="str">
        <f>IF(DataTable[[#This Row],[Tm.]]="","N/A",DataTable[[#This Row],[Tm.]])</f>
        <v>N/A</v>
      </c>
      <c r="B101" t="str">
        <f>IF(DataTable[[#This Row],[Match Nr.]]="","N/A",DataTable[[#This Row],[Match Nr.]])</f>
        <v>N/A</v>
      </c>
      <c r="C1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1" t="str">
        <f>IF(AND(DataTable[[#This Row],[Successful Lo. G. S]]="",DataTable[[#This Row],[Successful Hi. G. S.]]=""),"N/A",DataTable[[#This Row],[Successful Lo. G. S]]*2+DataTable[[#This Row],[Successful Hi. G. S.]]*10)</f>
        <v>N/A</v>
      </c>
      <c r="H1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1" s="11" t="str">
        <f>IF(DataTable[[#This Row],[Lo. B. Successful Xings.]]="","N/A",SUM(ProcessedData[[#This Row],[Lo. B. Ti.]],DataTable[[#This Row],[Lo. B. Successful Xings.]]+1))</f>
        <v>N/A</v>
      </c>
      <c r="Z1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2" spans="1:26" x14ac:dyDescent="0.2">
      <c r="A102" t="str">
        <f>IF(DataTable[[#This Row],[Tm.]]="","N/A",DataTable[[#This Row],[Tm.]])</f>
        <v>N/A</v>
      </c>
      <c r="B102" t="str">
        <f>IF(DataTable[[#This Row],[Match Nr.]]="","N/A",DataTable[[#This Row],[Match Nr.]])</f>
        <v>N/A</v>
      </c>
      <c r="C1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2" t="str">
        <f>IF(AND(DataTable[[#This Row],[Successful Lo. G. S]]="",DataTable[[#This Row],[Successful Hi. G. S.]]=""),"N/A",DataTable[[#This Row],[Successful Lo. G. S]]*2+DataTable[[#This Row],[Successful Hi. G. S.]]*10)</f>
        <v>N/A</v>
      </c>
      <c r="H1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2" s="11" t="str">
        <f>IF(DataTable[[#This Row],[Lo. B. Successful Xings.]]="","N/A",SUM(ProcessedData[[#This Row],[Lo. B. Ti.]],DataTable[[#This Row],[Lo. B. Successful Xings.]]+1))</f>
        <v>N/A</v>
      </c>
      <c r="Z1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3" spans="1:26" x14ac:dyDescent="0.2">
      <c r="A103" t="str">
        <f>IF(DataTable[[#This Row],[Tm.]]="","N/A",DataTable[[#This Row],[Tm.]])</f>
        <v>N/A</v>
      </c>
      <c r="B103" t="str">
        <f>IF(DataTable[[#This Row],[Match Nr.]]="","N/A",DataTable[[#This Row],[Match Nr.]])</f>
        <v>N/A</v>
      </c>
      <c r="C1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3" t="str">
        <f>IF(AND(DataTable[[#This Row],[Successful Lo. G. S]]="",DataTable[[#This Row],[Successful Hi. G. S.]]=""),"N/A",DataTable[[#This Row],[Successful Lo. G. S]]*2+DataTable[[#This Row],[Successful Hi. G. S.]]*10)</f>
        <v>N/A</v>
      </c>
      <c r="H1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3" s="11" t="str">
        <f>IF(DataTable[[#This Row],[Lo. B. Successful Xings.]]="","N/A",SUM(ProcessedData[[#This Row],[Lo. B. Ti.]],DataTable[[#This Row],[Lo. B. Successful Xings.]]+1))</f>
        <v>N/A</v>
      </c>
      <c r="Z1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4" spans="1:26" x14ac:dyDescent="0.2">
      <c r="A104" t="str">
        <f>IF(DataTable[[#This Row],[Tm.]]="","N/A",DataTable[[#This Row],[Tm.]])</f>
        <v>N/A</v>
      </c>
      <c r="B104" t="str">
        <f>IF(DataTable[[#This Row],[Match Nr.]]="","N/A",DataTable[[#This Row],[Match Nr.]])</f>
        <v>N/A</v>
      </c>
      <c r="C1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4" t="str">
        <f>IF(AND(DataTable[[#This Row],[Successful Lo. G. S]]="",DataTable[[#This Row],[Successful Hi. G. S.]]=""),"N/A",DataTable[[#This Row],[Successful Lo. G. S]]*2+DataTable[[#This Row],[Successful Hi. G. S.]]*10)</f>
        <v>N/A</v>
      </c>
      <c r="H1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4" s="11" t="str">
        <f>IF(DataTable[[#This Row],[Lo. B. Successful Xings.]]="","N/A",SUM(ProcessedData[[#This Row],[Lo. B. Ti.]],DataTable[[#This Row],[Lo. B. Successful Xings.]]+1))</f>
        <v>N/A</v>
      </c>
      <c r="Z1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5" spans="1:26" x14ac:dyDescent="0.2">
      <c r="A105" t="str">
        <f>IF(DataTable[[#This Row],[Tm.]]="","N/A",DataTable[[#This Row],[Tm.]])</f>
        <v>N/A</v>
      </c>
      <c r="B105" t="str">
        <f>IF(DataTable[[#This Row],[Match Nr.]]="","N/A",DataTable[[#This Row],[Match Nr.]])</f>
        <v>N/A</v>
      </c>
      <c r="C1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5" t="str">
        <f>IF(AND(DataTable[[#This Row],[Successful Lo. G. S]]="",DataTable[[#This Row],[Successful Hi. G. S.]]=""),"N/A",DataTable[[#This Row],[Successful Lo. G. S]]*2+DataTable[[#This Row],[Successful Hi. G. S.]]*10)</f>
        <v>N/A</v>
      </c>
      <c r="H1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5" s="11" t="str">
        <f>IF(DataTable[[#This Row],[Lo. B. Successful Xings.]]="","N/A",SUM(ProcessedData[[#This Row],[Lo. B. Ti.]],DataTable[[#This Row],[Lo. B. Successful Xings.]]+1))</f>
        <v>N/A</v>
      </c>
      <c r="Z1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6" spans="1:26" x14ac:dyDescent="0.2">
      <c r="A106" t="str">
        <f>IF(DataTable[[#This Row],[Tm.]]="","N/A",DataTable[[#This Row],[Tm.]])</f>
        <v>N/A</v>
      </c>
      <c r="B106" t="str">
        <f>IF(DataTable[[#This Row],[Match Nr.]]="","N/A",DataTable[[#This Row],[Match Nr.]])</f>
        <v>N/A</v>
      </c>
      <c r="C1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6" t="str">
        <f>IF(AND(DataTable[[#This Row],[Successful Lo. G. S]]="",DataTable[[#This Row],[Successful Hi. G. S.]]=""),"N/A",DataTable[[#This Row],[Successful Lo. G. S]]*2+DataTable[[#This Row],[Successful Hi. G. S.]]*10)</f>
        <v>N/A</v>
      </c>
      <c r="H1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6" s="11" t="str">
        <f>IF(DataTable[[#This Row],[Lo. B. Successful Xings.]]="","N/A",SUM(ProcessedData[[#This Row],[Lo. B. Ti.]],DataTable[[#This Row],[Lo. B. Successful Xings.]]+1))</f>
        <v>N/A</v>
      </c>
      <c r="Z1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7" spans="1:26" x14ac:dyDescent="0.2">
      <c r="A107" t="str">
        <f>IF(DataTable[[#This Row],[Tm.]]="","N/A",DataTable[[#This Row],[Tm.]])</f>
        <v>N/A</v>
      </c>
      <c r="B107" t="str">
        <f>IF(DataTable[[#This Row],[Match Nr.]]="","N/A",DataTable[[#This Row],[Match Nr.]])</f>
        <v>N/A</v>
      </c>
      <c r="C1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7" t="str">
        <f>IF(AND(DataTable[[#This Row],[Successful Lo. G. S]]="",DataTable[[#This Row],[Successful Hi. G. S.]]=""),"N/A",DataTable[[#This Row],[Successful Lo. G. S]]*2+DataTable[[#This Row],[Successful Hi. G. S.]]*10)</f>
        <v>N/A</v>
      </c>
      <c r="H1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7" s="11" t="str">
        <f>IF(DataTable[[#This Row],[Lo. B. Successful Xings.]]="","N/A",SUM(ProcessedData[[#This Row],[Lo. B. Ti.]],DataTable[[#This Row],[Lo. B. Successful Xings.]]+1))</f>
        <v>N/A</v>
      </c>
      <c r="Z1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8" spans="1:26" x14ac:dyDescent="0.2">
      <c r="A108" t="str">
        <f>IF(DataTable[[#This Row],[Tm.]]="","N/A",DataTable[[#This Row],[Tm.]])</f>
        <v>N/A</v>
      </c>
      <c r="B108" t="str">
        <f>IF(DataTable[[#This Row],[Match Nr.]]="","N/A",DataTable[[#This Row],[Match Nr.]])</f>
        <v>N/A</v>
      </c>
      <c r="C1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8" t="str">
        <f>IF(AND(DataTable[[#This Row],[Successful Lo. G. S]]="",DataTable[[#This Row],[Successful Hi. G. S.]]=""),"N/A",DataTable[[#This Row],[Successful Lo. G. S]]*2+DataTable[[#This Row],[Successful Hi. G. S.]]*10)</f>
        <v>N/A</v>
      </c>
      <c r="H1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8" s="11" t="str">
        <f>IF(DataTable[[#This Row],[Lo. B. Successful Xings.]]="","N/A",SUM(ProcessedData[[#This Row],[Lo. B. Ti.]],DataTable[[#This Row],[Lo. B. Successful Xings.]]+1))</f>
        <v>N/A</v>
      </c>
      <c r="Z1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9" spans="1:26" x14ac:dyDescent="0.2">
      <c r="A109" t="str">
        <f>IF(DataTable[[#This Row],[Tm.]]="","N/A",DataTable[[#This Row],[Tm.]])</f>
        <v>N/A</v>
      </c>
      <c r="B109" t="str">
        <f>IF(DataTable[[#This Row],[Match Nr.]]="","N/A",DataTable[[#This Row],[Match Nr.]])</f>
        <v>N/A</v>
      </c>
      <c r="C1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9" t="str">
        <f>IF(AND(DataTable[[#This Row],[Successful Lo. G. S]]="",DataTable[[#This Row],[Successful Hi. G. S.]]=""),"N/A",DataTable[[#This Row],[Successful Lo. G. S]]*2+DataTable[[#This Row],[Successful Hi. G. S.]]*10)</f>
        <v>N/A</v>
      </c>
      <c r="H1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9" s="11" t="str">
        <f>IF(DataTable[[#This Row],[Lo. B. Successful Xings.]]="","N/A",SUM(ProcessedData[[#This Row],[Lo. B. Ti.]],DataTable[[#This Row],[Lo. B. Successful Xings.]]+1))</f>
        <v>N/A</v>
      </c>
      <c r="Z1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0" spans="1:26" x14ac:dyDescent="0.2">
      <c r="A110" t="str">
        <f>IF(DataTable[[#This Row],[Tm.]]="","N/A",DataTable[[#This Row],[Tm.]])</f>
        <v>N/A</v>
      </c>
      <c r="B110" t="str">
        <f>IF(DataTable[[#This Row],[Match Nr.]]="","N/A",DataTable[[#This Row],[Match Nr.]])</f>
        <v>N/A</v>
      </c>
      <c r="C1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0" t="str">
        <f>IF(AND(DataTable[[#This Row],[Successful Lo. G. S]]="",DataTable[[#This Row],[Successful Hi. G. S.]]=""),"N/A",DataTable[[#This Row],[Successful Lo. G. S]]*2+DataTable[[#This Row],[Successful Hi. G. S.]]*10)</f>
        <v>N/A</v>
      </c>
      <c r="H1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0" s="11" t="str">
        <f>IF(DataTable[[#This Row],[Lo. B. Successful Xings.]]="","N/A",SUM(ProcessedData[[#This Row],[Lo. B. Ti.]],DataTable[[#This Row],[Lo. B. Successful Xings.]]+1))</f>
        <v>N/A</v>
      </c>
      <c r="Z1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1" spans="1:26" x14ac:dyDescent="0.2">
      <c r="A111" t="str">
        <f>IF(DataTable[[#This Row],[Tm.]]="","N/A",DataTable[[#This Row],[Tm.]])</f>
        <v>N/A</v>
      </c>
      <c r="B111" t="str">
        <f>IF(DataTable[[#This Row],[Match Nr.]]="","N/A",DataTable[[#This Row],[Match Nr.]])</f>
        <v>N/A</v>
      </c>
      <c r="C1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1" t="str">
        <f>IF(AND(DataTable[[#This Row],[Successful Lo. G. S]]="",DataTable[[#This Row],[Successful Hi. G. S.]]=""),"N/A",DataTable[[#This Row],[Successful Lo. G. S]]*2+DataTable[[#This Row],[Successful Hi. G. S.]]*10)</f>
        <v>N/A</v>
      </c>
      <c r="H1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1" s="11" t="str">
        <f>IF(DataTable[[#This Row],[Lo. B. Successful Xings.]]="","N/A",SUM(ProcessedData[[#This Row],[Lo. B. Ti.]],DataTable[[#This Row],[Lo. B. Successful Xings.]]+1))</f>
        <v>N/A</v>
      </c>
      <c r="Z1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2" spans="1:26" x14ac:dyDescent="0.2">
      <c r="A112" t="str">
        <f>IF(DataTable[[#This Row],[Tm.]]="","N/A",DataTable[[#This Row],[Tm.]])</f>
        <v>N/A</v>
      </c>
      <c r="B112" t="str">
        <f>IF(DataTable[[#This Row],[Match Nr.]]="","N/A",DataTable[[#This Row],[Match Nr.]])</f>
        <v>N/A</v>
      </c>
      <c r="C1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2" t="str">
        <f>IF(AND(DataTable[[#This Row],[Successful Lo. G. S]]="",DataTable[[#This Row],[Successful Hi. G. S.]]=""),"N/A",DataTable[[#This Row],[Successful Lo. G. S]]*2+DataTable[[#This Row],[Successful Hi. G. S.]]*10)</f>
        <v>N/A</v>
      </c>
      <c r="H1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2" s="11" t="str">
        <f>IF(DataTable[[#This Row],[Lo. B. Successful Xings.]]="","N/A",SUM(ProcessedData[[#This Row],[Lo. B. Ti.]],DataTable[[#This Row],[Lo. B. Successful Xings.]]+1))</f>
        <v>N/A</v>
      </c>
      <c r="Z1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3" spans="1:26" x14ac:dyDescent="0.2">
      <c r="A113" t="str">
        <f>IF(DataTable[[#This Row],[Tm.]]="","N/A",DataTable[[#This Row],[Tm.]])</f>
        <v>N/A</v>
      </c>
      <c r="B113" t="str">
        <f>IF(DataTable[[#This Row],[Match Nr.]]="","N/A",DataTable[[#This Row],[Match Nr.]])</f>
        <v>N/A</v>
      </c>
      <c r="C1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3" t="str">
        <f>IF(AND(DataTable[[#This Row],[Successful Lo. G. S]]="",DataTable[[#This Row],[Successful Hi. G. S.]]=""),"N/A",DataTable[[#This Row],[Successful Lo. G. S]]*2+DataTable[[#This Row],[Successful Hi. G. S.]]*10)</f>
        <v>N/A</v>
      </c>
      <c r="H1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3" s="11" t="str">
        <f>IF(DataTable[[#This Row],[Lo. B. Successful Xings.]]="","N/A",SUM(ProcessedData[[#This Row],[Lo. B. Ti.]],DataTable[[#This Row],[Lo. B. Successful Xings.]]+1))</f>
        <v>N/A</v>
      </c>
      <c r="Z1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4" spans="1:26" x14ac:dyDescent="0.2">
      <c r="A114" t="str">
        <f>IF(DataTable[[#This Row],[Tm.]]="","N/A",DataTable[[#This Row],[Tm.]])</f>
        <v>N/A</v>
      </c>
      <c r="B114" t="str">
        <f>IF(DataTable[[#This Row],[Match Nr.]]="","N/A",DataTable[[#This Row],[Match Nr.]])</f>
        <v>N/A</v>
      </c>
      <c r="C1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4" t="str">
        <f>IF(AND(DataTable[[#This Row],[Successful Lo. G. S]]="",DataTable[[#This Row],[Successful Hi. G. S.]]=""),"N/A",DataTable[[#This Row],[Successful Lo. G. S]]*2+DataTable[[#This Row],[Successful Hi. G. S.]]*10)</f>
        <v>N/A</v>
      </c>
      <c r="H1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4" s="11" t="str">
        <f>IF(DataTable[[#This Row],[Lo. B. Successful Xings.]]="","N/A",SUM(ProcessedData[[#This Row],[Lo. B. Ti.]],DataTable[[#This Row],[Lo. B. Successful Xings.]]+1))</f>
        <v>N/A</v>
      </c>
      <c r="Z1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5" spans="1:26" x14ac:dyDescent="0.2">
      <c r="A115" t="str">
        <f>IF(DataTable[[#This Row],[Tm.]]="","N/A",DataTable[[#This Row],[Tm.]])</f>
        <v>N/A</v>
      </c>
      <c r="B115" t="str">
        <f>IF(DataTable[[#This Row],[Match Nr.]]="","N/A",DataTable[[#This Row],[Match Nr.]])</f>
        <v>N/A</v>
      </c>
      <c r="C1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5" t="str">
        <f>IF(AND(DataTable[[#This Row],[Successful Lo. G. S]]="",DataTable[[#This Row],[Successful Hi. G. S.]]=""),"N/A",DataTable[[#This Row],[Successful Lo. G. S]]*2+DataTable[[#This Row],[Successful Hi. G. S.]]*10)</f>
        <v>N/A</v>
      </c>
      <c r="H1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5" s="11" t="str">
        <f>IF(DataTable[[#This Row],[Lo. B. Successful Xings.]]="","N/A",SUM(ProcessedData[[#This Row],[Lo. B. Ti.]],DataTable[[#This Row],[Lo. B. Successful Xings.]]+1))</f>
        <v>N/A</v>
      </c>
      <c r="Z1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6" spans="1:26" x14ac:dyDescent="0.2">
      <c r="A116" t="str">
        <f>IF(DataTable[[#This Row],[Tm.]]="","N/A",DataTable[[#This Row],[Tm.]])</f>
        <v>N/A</v>
      </c>
      <c r="B116" t="str">
        <f>IF(DataTable[[#This Row],[Match Nr.]]="","N/A",DataTable[[#This Row],[Match Nr.]])</f>
        <v>N/A</v>
      </c>
      <c r="C1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6" t="str">
        <f>IF(AND(DataTable[[#This Row],[Successful Lo. G. S]]="",DataTable[[#This Row],[Successful Hi. G. S.]]=""),"N/A",DataTable[[#This Row],[Successful Lo. G. S]]*2+DataTable[[#This Row],[Successful Hi. G. S.]]*10)</f>
        <v>N/A</v>
      </c>
      <c r="H1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6" s="11" t="str">
        <f>IF(DataTable[[#This Row],[Lo. B. Successful Xings.]]="","N/A",SUM(ProcessedData[[#This Row],[Lo. B. Ti.]],DataTable[[#This Row],[Lo. B. Successful Xings.]]+1))</f>
        <v>N/A</v>
      </c>
      <c r="Z1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7" spans="1:26" x14ac:dyDescent="0.2">
      <c r="A117" t="str">
        <f>IF(DataTable[[#This Row],[Tm.]]="","N/A",DataTable[[#This Row],[Tm.]])</f>
        <v>N/A</v>
      </c>
      <c r="B117" t="str">
        <f>IF(DataTable[[#This Row],[Match Nr.]]="","N/A",DataTable[[#This Row],[Match Nr.]])</f>
        <v>N/A</v>
      </c>
      <c r="C1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7" t="str">
        <f>IF(AND(DataTable[[#This Row],[Successful Lo. G. S]]="",DataTable[[#This Row],[Successful Hi. G. S.]]=""),"N/A",DataTable[[#This Row],[Successful Lo. G. S]]*2+DataTable[[#This Row],[Successful Hi. G. S.]]*10)</f>
        <v>N/A</v>
      </c>
      <c r="H1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7" s="11" t="str">
        <f>IF(DataTable[[#This Row],[Lo. B. Successful Xings.]]="","N/A",SUM(ProcessedData[[#This Row],[Lo. B. Ti.]],DataTable[[#This Row],[Lo. B. Successful Xings.]]+1))</f>
        <v>N/A</v>
      </c>
      <c r="Z1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8" spans="1:26" x14ac:dyDescent="0.2">
      <c r="A118" t="str">
        <f>IF(DataTable[[#This Row],[Tm.]]="","N/A",DataTable[[#This Row],[Tm.]])</f>
        <v>N/A</v>
      </c>
      <c r="B118" t="str">
        <f>IF(DataTable[[#This Row],[Match Nr.]]="","N/A",DataTable[[#This Row],[Match Nr.]])</f>
        <v>N/A</v>
      </c>
      <c r="C1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8" t="str">
        <f>IF(AND(DataTable[[#This Row],[Successful Lo. G. S]]="",DataTable[[#This Row],[Successful Hi. G. S.]]=""),"N/A",DataTable[[#This Row],[Successful Lo. G. S]]*2+DataTable[[#This Row],[Successful Hi. G. S.]]*10)</f>
        <v>N/A</v>
      </c>
      <c r="H1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8" s="11" t="str">
        <f>IF(DataTable[[#This Row],[Lo. B. Successful Xings.]]="","N/A",SUM(ProcessedData[[#This Row],[Lo. B. Ti.]],DataTable[[#This Row],[Lo. B. Successful Xings.]]+1))</f>
        <v>N/A</v>
      </c>
      <c r="Z1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19" spans="1:26" x14ac:dyDescent="0.2">
      <c r="A119" t="str">
        <f>IF(DataTable[[#This Row],[Tm.]]="","N/A",DataTable[[#This Row],[Tm.]])</f>
        <v>N/A</v>
      </c>
      <c r="B119" t="str">
        <f>IF(DataTable[[#This Row],[Match Nr.]]="","N/A",DataTable[[#This Row],[Match Nr.]])</f>
        <v>N/A</v>
      </c>
      <c r="C1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19" t="str">
        <f>IF(AND(DataTable[[#This Row],[Successful Lo. G. S]]="",DataTable[[#This Row],[Successful Hi. G. S.]]=""),"N/A",DataTable[[#This Row],[Successful Lo. G. S]]*2+DataTable[[#This Row],[Successful Hi. G. S.]]*10)</f>
        <v>N/A</v>
      </c>
      <c r="H1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19" s="11" t="str">
        <f>IF(DataTable[[#This Row],[Lo. B. Successful Xings.]]="","N/A",SUM(ProcessedData[[#This Row],[Lo. B. Ti.]],DataTable[[#This Row],[Lo. B. Successful Xings.]]+1))</f>
        <v>N/A</v>
      </c>
      <c r="Z1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0" spans="1:26" x14ac:dyDescent="0.2">
      <c r="A120" t="str">
        <f>IF(DataTable[[#This Row],[Tm.]]="","N/A",DataTable[[#This Row],[Tm.]])</f>
        <v>N/A</v>
      </c>
      <c r="B120" t="str">
        <f>IF(DataTable[[#This Row],[Match Nr.]]="","N/A",DataTable[[#This Row],[Match Nr.]])</f>
        <v>N/A</v>
      </c>
      <c r="C1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0" t="str">
        <f>IF(AND(DataTable[[#This Row],[Successful Lo. G. S]]="",DataTable[[#This Row],[Successful Hi. G. S.]]=""),"N/A",DataTable[[#This Row],[Successful Lo. G. S]]*2+DataTable[[#This Row],[Successful Hi. G. S.]]*10)</f>
        <v>N/A</v>
      </c>
      <c r="H1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0" s="11" t="str">
        <f>IF(DataTable[[#This Row],[Lo. B. Successful Xings.]]="","N/A",SUM(ProcessedData[[#This Row],[Lo. B. Ti.]],DataTable[[#This Row],[Lo. B. Successful Xings.]]+1))</f>
        <v>N/A</v>
      </c>
      <c r="Z1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1" spans="1:26" x14ac:dyDescent="0.2">
      <c r="A121" t="str">
        <f>IF(DataTable[[#This Row],[Tm.]]="","N/A",DataTable[[#This Row],[Tm.]])</f>
        <v>N/A</v>
      </c>
      <c r="B121" t="str">
        <f>IF(DataTable[[#This Row],[Match Nr.]]="","N/A",DataTable[[#This Row],[Match Nr.]])</f>
        <v>N/A</v>
      </c>
      <c r="C1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1" t="str">
        <f>IF(AND(DataTable[[#This Row],[Successful Lo. G. S]]="",DataTable[[#This Row],[Successful Hi. G. S.]]=""),"N/A",DataTable[[#This Row],[Successful Lo. G. S]]*2+DataTable[[#This Row],[Successful Hi. G. S.]]*10)</f>
        <v>N/A</v>
      </c>
      <c r="H1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1" s="11" t="str">
        <f>IF(DataTable[[#This Row],[Lo. B. Successful Xings.]]="","N/A",SUM(ProcessedData[[#This Row],[Lo. B. Ti.]],DataTable[[#This Row],[Lo. B. Successful Xings.]]+1))</f>
        <v>N/A</v>
      </c>
      <c r="Z1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2" spans="1:26" x14ac:dyDescent="0.2">
      <c r="A122" t="str">
        <f>IF(DataTable[[#This Row],[Tm.]]="","N/A",DataTable[[#This Row],[Tm.]])</f>
        <v>N/A</v>
      </c>
      <c r="B122" t="str">
        <f>IF(DataTable[[#This Row],[Match Nr.]]="","N/A",DataTable[[#This Row],[Match Nr.]])</f>
        <v>N/A</v>
      </c>
      <c r="C1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2" t="str">
        <f>IF(AND(DataTable[[#This Row],[Successful Lo. G. S]]="",DataTable[[#This Row],[Successful Hi. G. S.]]=""),"N/A",DataTable[[#This Row],[Successful Lo. G. S]]*2+DataTable[[#This Row],[Successful Hi. G. S.]]*10)</f>
        <v>N/A</v>
      </c>
      <c r="H1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2" s="11" t="str">
        <f>IF(DataTable[[#This Row],[Lo. B. Successful Xings.]]="","N/A",SUM(ProcessedData[[#This Row],[Lo. B. Ti.]],DataTable[[#This Row],[Lo. B. Successful Xings.]]+1))</f>
        <v>N/A</v>
      </c>
      <c r="Z1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3" spans="1:26" x14ac:dyDescent="0.2">
      <c r="A123" t="str">
        <f>IF(DataTable[[#This Row],[Tm.]]="","N/A",DataTable[[#This Row],[Tm.]])</f>
        <v>N/A</v>
      </c>
      <c r="B123" t="str">
        <f>IF(DataTable[[#This Row],[Match Nr.]]="","N/A",DataTable[[#This Row],[Match Nr.]])</f>
        <v>N/A</v>
      </c>
      <c r="C1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3" t="str">
        <f>IF(AND(DataTable[[#This Row],[Successful Lo. G. S]]="",DataTable[[#This Row],[Successful Hi. G. S.]]=""),"N/A",DataTable[[#This Row],[Successful Lo. G. S]]*2+DataTable[[#This Row],[Successful Hi. G. S.]]*10)</f>
        <v>N/A</v>
      </c>
      <c r="H1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3" s="11" t="str">
        <f>IF(DataTable[[#This Row],[Lo. B. Successful Xings.]]="","N/A",SUM(ProcessedData[[#This Row],[Lo. B. Ti.]],DataTable[[#This Row],[Lo. B. Successful Xings.]]+1))</f>
        <v>N/A</v>
      </c>
      <c r="Z1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4" spans="1:26" x14ac:dyDescent="0.2">
      <c r="A124" t="str">
        <f>IF(DataTable[[#This Row],[Tm.]]="","N/A",DataTable[[#This Row],[Tm.]])</f>
        <v>N/A</v>
      </c>
      <c r="B124" t="str">
        <f>IF(DataTable[[#This Row],[Match Nr.]]="","N/A",DataTable[[#This Row],[Match Nr.]])</f>
        <v>N/A</v>
      </c>
      <c r="C1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4" t="str">
        <f>IF(AND(DataTable[[#This Row],[Successful Lo. G. S]]="",DataTable[[#This Row],[Successful Hi. G. S.]]=""),"N/A",DataTable[[#This Row],[Successful Lo. G. S]]*2+DataTable[[#This Row],[Successful Hi. G. S.]]*10)</f>
        <v>N/A</v>
      </c>
      <c r="H1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4" s="11" t="str">
        <f>IF(DataTable[[#This Row],[Lo. B. Successful Xings.]]="","N/A",SUM(ProcessedData[[#This Row],[Lo. B. Ti.]],DataTable[[#This Row],[Lo. B. Successful Xings.]]+1))</f>
        <v>N/A</v>
      </c>
      <c r="Z1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5" spans="1:26" x14ac:dyDescent="0.2">
      <c r="A125" t="str">
        <f>IF(DataTable[[#This Row],[Tm.]]="","N/A",DataTable[[#This Row],[Tm.]])</f>
        <v>N/A</v>
      </c>
      <c r="B125" t="str">
        <f>IF(DataTable[[#This Row],[Match Nr.]]="","N/A",DataTable[[#This Row],[Match Nr.]])</f>
        <v>N/A</v>
      </c>
      <c r="C1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5" t="str">
        <f>IF(AND(DataTable[[#This Row],[Successful Lo. G. S]]="",DataTable[[#This Row],[Successful Hi. G. S.]]=""),"N/A",DataTable[[#This Row],[Successful Lo. G. S]]*2+DataTable[[#This Row],[Successful Hi. G. S.]]*10)</f>
        <v>N/A</v>
      </c>
      <c r="H1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5" s="11" t="str">
        <f>IF(DataTable[[#This Row],[Lo. B. Successful Xings.]]="","N/A",SUM(ProcessedData[[#This Row],[Lo. B. Ti.]],DataTable[[#This Row],[Lo. B. Successful Xings.]]+1))</f>
        <v>N/A</v>
      </c>
      <c r="Z1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6" spans="1:26" x14ac:dyDescent="0.2">
      <c r="A126" t="str">
        <f>IF(DataTable[[#This Row],[Tm.]]="","N/A",DataTable[[#This Row],[Tm.]])</f>
        <v>N/A</v>
      </c>
      <c r="B126" t="str">
        <f>IF(DataTable[[#This Row],[Match Nr.]]="","N/A",DataTable[[#This Row],[Match Nr.]])</f>
        <v>N/A</v>
      </c>
      <c r="C1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6" t="str">
        <f>IF(AND(DataTable[[#This Row],[Successful Lo. G. S]]="",DataTable[[#This Row],[Successful Hi. G. S.]]=""),"N/A",DataTable[[#This Row],[Successful Lo. G. S]]*2+DataTable[[#This Row],[Successful Hi. G. S.]]*10)</f>
        <v>N/A</v>
      </c>
      <c r="H1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6" s="11" t="str">
        <f>IF(DataTable[[#This Row],[Lo. B. Successful Xings.]]="","N/A",SUM(ProcessedData[[#This Row],[Lo. B. Ti.]],DataTable[[#This Row],[Lo. B. Successful Xings.]]+1))</f>
        <v>N/A</v>
      </c>
      <c r="Z1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7" spans="1:26" x14ac:dyDescent="0.2">
      <c r="A127" t="str">
        <f>IF(DataTable[[#This Row],[Tm.]]="","N/A",DataTable[[#This Row],[Tm.]])</f>
        <v>N/A</v>
      </c>
      <c r="B127" t="str">
        <f>IF(DataTable[[#This Row],[Match Nr.]]="","N/A",DataTable[[#This Row],[Match Nr.]])</f>
        <v>N/A</v>
      </c>
      <c r="C1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7" t="str">
        <f>IF(AND(DataTable[[#This Row],[Successful Lo. G. S]]="",DataTable[[#This Row],[Successful Hi. G. S.]]=""),"N/A",DataTable[[#This Row],[Successful Lo. G. S]]*2+DataTable[[#This Row],[Successful Hi. G. S.]]*10)</f>
        <v>N/A</v>
      </c>
      <c r="H1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7" s="11" t="str">
        <f>IF(DataTable[[#This Row],[Lo. B. Successful Xings.]]="","N/A",SUM(ProcessedData[[#This Row],[Lo. B. Ti.]],DataTable[[#This Row],[Lo. B. Successful Xings.]]+1))</f>
        <v>N/A</v>
      </c>
      <c r="Z1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8" spans="1:26" x14ac:dyDescent="0.2">
      <c r="A128" t="str">
        <f>IF(DataTable[[#This Row],[Tm.]]="","N/A",DataTable[[#This Row],[Tm.]])</f>
        <v>N/A</v>
      </c>
      <c r="B128" t="str">
        <f>IF(DataTable[[#This Row],[Match Nr.]]="","N/A",DataTable[[#This Row],[Match Nr.]])</f>
        <v>N/A</v>
      </c>
      <c r="C1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8" t="str">
        <f>IF(AND(DataTable[[#This Row],[Successful Lo. G. S]]="",DataTable[[#This Row],[Successful Hi. G. S.]]=""),"N/A",DataTable[[#This Row],[Successful Lo. G. S]]*2+DataTable[[#This Row],[Successful Hi. G. S.]]*10)</f>
        <v>N/A</v>
      </c>
      <c r="H1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8" s="11" t="str">
        <f>IF(DataTable[[#This Row],[Lo. B. Successful Xings.]]="","N/A",SUM(ProcessedData[[#This Row],[Lo. B. Ti.]],DataTable[[#This Row],[Lo. B. Successful Xings.]]+1))</f>
        <v>N/A</v>
      </c>
      <c r="Z1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29" spans="1:26" x14ac:dyDescent="0.2">
      <c r="A129" t="str">
        <f>IF(DataTable[[#This Row],[Tm.]]="","N/A",DataTable[[#This Row],[Tm.]])</f>
        <v>N/A</v>
      </c>
      <c r="B129" t="str">
        <f>IF(DataTable[[#This Row],[Match Nr.]]="","N/A",DataTable[[#This Row],[Match Nr.]])</f>
        <v>N/A</v>
      </c>
      <c r="C1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29" t="str">
        <f>IF(AND(DataTable[[#This Row],[Successful Lo. G. S]]="",DataTable[[#This Row],[Successful Hi. G. S.]]=""),"N/A",DataTable[[#This Row],[Successful Lo. G. S]]*2+DataTable[[#This Row],[Successful Hi. G. S.]]*10)</f>
        <v>N/A</v>
      </c>
      <c r="H1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29" s="11" t="str">
        <f>IF(DataTable[[#This Row],[Lo. B. Successful Xings.]]="","N/A",SUM(ProcessedData[[#This Row],[Lo. B. Ti.]],DataTable[[#This Row],[Lo. B. Successful Xings.]]+1))</f>
        <v>N/A</v>
      </c>
      <c r="Z1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0" spans="1:26" x14ac:dyDescent="0.2">
      <c r="A130" t="str">
        <f>IF(DataTable[[#This Row],[Tm.]]="","N/A",DataTable[[#This Row],[Tm.]])</f>
        <v>N/A</v>
      </c>
      <c r="B130" t="str">
        <f>IF(DataTable[[#This Row],[Match Nr.]]="","N/A",DataTable[[#This Row],[Match Nr.]])</f>
        <v>N/A</v>
      </c>
      <c r="C1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0" t="str">
        <f>IF(AND(DataTable[[#This Row],[Successful Lo. G. S]]="",DataTable[[#This Row],[Successful Hi. G. S.]]=""),"N/A",DataTable[[#This Row],[Successful Lo. G. S]]*2+DataTable[[#This Row],[Successful Hi. G. S.]]*10)</f>
        <v>N/A</v>
      </c>
      <c r="H1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0" s="11" t="str">
        <f>IF(DataTable[[#This Row],[Lo. B. Successful Xings.]]="","N/A",SUM(ProcessedData[[#This Row],[Lo. B. Ti.]],DataTable[[#This Row],[Lo. B. Successful Xings.]]+1))</f>
        <v>N/A</v>
      </c>
      <c r="Z1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1" spans="1:26" x14ac:dyDescent="0.2">
      <c r="A131" t="str">
        <f>IF(DataTable[[#This Row],[Tm.]]="","N/A",DataTable[[#This Row],[Tm.]])</f>
        <v>N/A</v>
      </c>
      <c r="B131" t="str">
        <f>IF(DataTable[[#This Row],[Match Nr.]]="","N/A",DataTable[[#This Row],[Match Nr.]])</f>
        <v>N/A</v>
      </c>
      <c r="C1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1" t="str">
        <f>IF(AND(DataTable[[#This Row],[Successful Lo. G. S]]="",DataTable[[#This Row],[Successful Hi. G. S.]]=""),"N/A",DataTable[[#This Row],[Successful Lo. G. S]]*2+DataTable[[#This Row],[Successful Hi. G. S.]]*10)</f>
        <v>N/A</v>
      </c>
      <c r="H1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1" s="11" t="str">
        <f>IF(DataTable[[#This Row],[Lo. B. Successful Xings.]]="","N/A",SUM(ProcessedData[[#This Row],[Lo. B. Ti.]],DataTable[[#This Row],[Lo. B. Successful Xings.]]+1))</f>
        <v>N/A</v>
      </c>
      <c r="Z1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2" spans="1:26" x14ac:dyDescent="0.2">
      <c r="A132" t="str">
        <f>IF(DataTable[[#This Row],[Tm.]]="","N/A",DataTable[[#This Row],[Tm.]])</f>
        <v>N/A</v>
      </c>
      <c r="B132" t="str">
        <f>IF(DataTable[[#This Row],[Match Nr.]]="","N/A",DataTable[[#This Row],[Match Nr.]])</f>
        <v>N/A</v>
      </c>
      <c r="C1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2" t="str">
        <f>IF(AND(DataTable[[#This Row],[Successful Lo. G. S]]="",DataTable[[#This Row],[Successful Hi. G. S.]]=""),"N/A",DataTable[[#This Row],[Successful Lo. G. S]]*2+DataTable[[#This Row],[Successful Hi. G. S.]]*10)</f>
        <v>N/A</v>
      </c>
      <c r="H1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2" s="11" t="str">
        <f>IF(DataTable[[#This Row],[Lo. B. Successful Xings.]]="","N/A",SUM(ProcessedData[[#This Row],[Lo. B. Ti.]],DataTable[[#This Row],[Lo. B. Successful Xings.]]+1))</f>
        <v>N/A</v>
      </c>
      <c r="Z1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3" spans="1:26" x14ac:dyDescent="0.2">
      <c r="A133" t="str">
        <f>IF(DataTable[[#This Row],[Tm.]]="","N/A",DataTable[[#This Row],[Tm.]])</f>
        <v>N/A</v>
      </c>
      <c r="B133" t="str">
        <f>IF(DataTable[[#This Row],[Match Nr.]]="","N/A",DataTable[[#This Row],[Match Nr.]])</f>
        <v>N/A</v>
      </c>
      <c r="C1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3" t="str">
        <f>IF(AND(DataTable[[#This Row],[Successful Lo. G. S]]="",DataTable[[#This Row],[Successful Hi. G. S.]]=""),"N/A",DataTable[[#This Row],[Successful Lo. G. S]]*2+DataTable[[#This Row],[Successful Hi. G. S.]]*10)</f>
        <v>N/A</v>
      </c>
      <c r="H1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3" s="11" t="str">
        <f>IF(DataTable[[#This Row],[Lo. B. Successful Xings.]]="","N/A",SUM(ProcessedData[[#This Row],[Lo. B. Ti.]],DataTable[[#This Row],[Lo. B. Successful Xings.]]+1))</f>
        <v>N/A</v>
      </c>
      <c r="Z1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4" spans="1:26" x14ac:dyDescent="0.2">
      <c r="A134" t="str">
        <f>IF(DataTable[[#This Row],[Tm.]]="","N/A",DataTable[[#This Row],[Tm.]])</f>
        <v>N/A</v>
      </c>
      <c r="B134" t="str">
        <f>IF(DataTable[[#This Row],[Match Nr.]]="","N/A",DataTable[[#This Row],[Match Nr.]])</f>
        <v>N/A</v>
      </c>
      <c r="C1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4" t="str">
        <f>IF(AND(DataTable[[#This Row],[Successful Lo. G. S]]="",DataTable[[#This Row],[Successful Hi. G. S.]]=""),"N/A",DataTable[[#This Row],[Successful Lo. G. S]]*2+DataTable[[#This Row],[Successful Hi. G. S.]]*10)</f>
        <v>N/A</v>
      </c>
      <c r="H1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4" s="11" t="str">
        <f>IF(DataTable[[#This Row],[Lo. B. Successful Xings.]]="","N/A",SUM(ProcessedData[[#This Row],[Lo. B. Ti.]],DataTable[[#This Row],[Lo. B. Successful Xings.]]+1))</f>
        <v>N/A</v>
      </c>
      <c r="Z1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5" spans="1:26" x14ac:dyDescent="0.2">
      <c r="A135" t="str">
        <f>IF(DataTable[[#This Row],[Tm.]]="","N/A",DataTable[[#This Row],[Tm.]])</f>
        <v>N/A</v>
      </c>
      <c r="B135" t="str">
        <f>IF(DataTable[[#This Row],[Match Nr.]]="","N/A",DataTable[[#This Row],[Match Nr.]])</f>
        <v>N/A</v>
      </c>
      <c r="C1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5" t="str">
        <f>IF(AND(DataTable[[#This Row],[Successful Lo. G. S]]="",DataTable[[#This Row],[Successful Hi. G. S.]]=""),"N/A",DataTable[[#This Row],[Successful Lo. G. S]]*2+DataTable[[#This Row],[Successful Hi. G. S.]]*10)</f>
        <v>N/A</v>
      </c>
      <c r="H1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5" s="11" t="str">
        <f>IF(DataTable[[#This Row],[Lo. B. Successful Xings.]]="","N/A",SUM(ProcessedData[[#This Row],[Lo. B. Ti.]],DataTable[[#This Row],[Lo. B. Successful Xings.]]+1))</f>
        <v>N/A</v>
      </c>
      <c r="Z1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6" spans="1:26" x14ac:dyDescent="0.2">
      <c r="A136" t="str">
        <f>IF(DataTable[[#This Row],[Tm.]]="","N/A",DataTable[[#This Row],[Tm.]])</f>
        <v>N/A</v>
      </c>
      <c r="B136" t="str">
        <f>IF(DataTable[[#This Row],[Match Nr.]]="","N/A",DataTable[[#This Row],[Match Nr.]])</f>
        <v>N/A</v>
      </c>
      <c r="C1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6" t="str">
        <f>IF(AND(DataTable[[#This Row],[Successful Lo. G. S]]="",DataTable[[#This Row],[Successful Hi. G. S.]]=""),"N/A",DataTable[[#This Row],[Successful Lo. G. S]]*2+DataTable[[#This Row],[Successful Hi. G. S.]]*10)</f>
        <v>N/A</v>
      </c>
      <c r="H1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6" s="11" t="str">
        <f>IF(DataTable[[#This Row],[Lo. B. Successful Xings.]]="","N/A",SUM(ProcessedData[[#This Row],[Lo. B. Ti.]],DataTable[[#This Row],[Lo. B. Successful Xings.]]+1))</f>
        <v>N/A</v>
      </c>
      <c r="Z1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7" spans="1:26" x14ac:dyDescent="0.2">
      <c r="A137" t="str">
        <f>IF(DataTable[[#This Row],[Tm.]]="","N/A",DataTable[[#This Row],[Tm.]])</f>
        <v>N/A</v>
      </c>
      <c r="B137" t="str">
        <f>IF(DataTable[[#This Row],[Match Nr.]]="","N/A",DataTable[[#This Row],[Match Nr.]])</f>
        <v>N/A</v>
      </c>
      <c r="C1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7" t="str">
        <f>IF(AND(DataTable[[#This Row],[Successful Lo. G. S]]="",DataTable[[#This Row],[Successful Hi. G. S.]]=""),"N/A",DataTable[[#This Row],[Successful Lo. G. S]]*2+DataTable[[#This Row],[Successful Hi. G. S.]]*10)</f>
        <v>N/A</v>
      </c>
      <c r="H1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7" s="11" t="str">
        <f>IF(DataTable[[#This Row],[Lo. B. Successful Xings.]]="","N/A",SUM(ProcessedData[[#This Row],[Lo. B. Ti.]],DataTable[[#This Row],[Lo. B. Successful Xings.]]+1))</f>
        <v>N/A</v>
      </c>
      <c r="Z1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8" spans="1:26" x14ac:dyDescent="0.2">
      <c r="A138" t="str">
        <f>IF(DataTable[[#This Row],[Tm.]]="","N/A",DataTable[[#This Row],[Tm.]])</f>
        <v>N/A</v>
      </c>
      <c r="B138" t="str">
        <f>IF(DataTable[[#This Row],[Match Nr.]]="","N/A",DataTable[[#This Row],[Match Nr.]])</f>
        <v>N/A</v>
      </c>
      <c r="C1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8" t="str">
        <f>IF(AND(DataTable[[#This Row],[Successful Lo. G. S]]="",DataTable[[#This Row],[Successful Hi. G. S.]]=""),"N/A",DataTable[[#This Row],[Successful Lo. G. S]]*2+DataTable[[#This Row],[Successful Hi. G. S.]]*10)</f>
        <v>N/A</v>
      </c>
      <c r="H1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8" s="11" t="str">
        <f>IF(DataTable[[#This Row],[Lo. B. Successful Xings.]]="","N/A",SUM(ProcessedData[[#This Row],[Lo. B. Ti.]],DataTable[[#This Row],[Lo. B. Successful Xings.]]+1))</f>
        <v>N/A</v>
      </c>
      <c r="Z1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39" spans="1:26" x14ac:dyDescent="0.2">
      <c r="A139" t="str">
        <f>IF(DataTable[[#This Row],[Tm.]]="","N/A",DataTable[[#This Row],[Tm.]])</f>
        <v>N/A</v>
      </c>
      <c r="B139" t="str">
        <f>IF(DataTable[[#This Row],[Match Nr.]]="","N/A",DataTable[[#This Row],[Match Nr.]])</f>
        <v>N/A</v>
      </c>
      <c r="C1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39" t="str">
        <f>IF(AND(DataTable[[#This Row],[Successful Lo. G. S]]="",DataTable[[#This Row],[Successful Hi. G. S.]]=""),"N/A",DataTable[[#This Row],[Successful Lo. G. S]]*2+DataTable[[#This Row],[Successful Hi. G. S.]]*10)</f>
        <v>N/A</v>
      </c>
      <c r="H1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39" s="11" t="str">
        <f>IF(DataTable[[#This Row],[Lo. B. Successful Xings.]]="","N/A",SUM(ProcessedData[[#This Row],[Lo. B. Ti.]],DataTable[[#This Row],[Lo. B. Successful Xings.]]+1))</f>
        <v>N/A</v>
      </c>
      <c r="Z1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0" spans="1:26" x14ac:dyDescent="0.2">
      <c r="A140" t="str">
        <f>IF(DataTable[[#This Row],[Tm.]]="","N/A",DataTable[[#This Row],[Tm.]])</f>
        <v>N/A</v>
      </c>
      <c r="B140" t="str">
        <f>IF(DataTable[[#This Row],[Match Nr.]]="","N/A",DataTable[[#This Row],[Match Nr.]])</f>
        <v>N/A</v>
      </c>
      <c r="C1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0" t="str">
        <f>IF(AND(DataTable[[#This Row],[Successful Lo. G. S]]="",DataTable[[#This Row],[Successful Hi. G. S.]]=""),"N/A",DataTable[[#This Row],[Successful Lo. G. S]]*2+DataTable[[#This Row],[Successful Hi. G. S.]]*10)</f>
        <v>N/A</v>
      </c>
      <c r="H1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0" s="11" t="str">
        <f>IF(DataTable[[#This Row],[Lo. B. Successful Xings.]]="","N/A",SUM(ProcessedData[[#This Row],[Lo. B. Ti.]],DataTable[[#This Row],[Lo. B. Successful Xings.]]+1))</f>
        <v>N/A</v>
      </c>
      <c r="Z1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1" spans="1:26" x14ac:dyDescent="0.2">
      <c r="A141" t="str">
        <f>IF(DataTable[[#This Row],[Tm.]]="","N/A",DataTable[[#This Row],[Tm.]])</f>
        <v>N/A</v>
      </c>
      <c r="B141" t="str">
        <f>IF(DataTable[[#This Row],[Match Nr.]]="","N/A",DataTable[[#This Row],[Match Nr.]])</f>
        <v>N/A</v>
      </c>
      <c r="C1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1" t="str">
        <f>IF(AND(DataTable[[#This Row],[Successful Lo. G. S]]="",DataTable[[#This Row],[Successful Hi. G. S.]]=""),"N/A",DataTable[[#This Row],[Successful Lo. G. S]]*2+DataTable[[#This Row],[Successful Hi. G. S.]]*10)</f>
        <v>N/A</v>
      </c>
      <c r="H1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1" s="11" t="str">
        <f>IF(DataTable[[#This Row],[Lo. B. Successful Xings.]]="","N/A",SUM(ProcessedData[[#This Row],[Lo. B. Ti.]],DataTable[[#This Row],[Lo. B. Successful Xings.]]+1))</f>
        <v>N/A</v>
      </c>
      <c r="Z1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2" spans="1:26" x14ac:dyDescent="0.2">
      <c r="A142" t="str">
        <f>IF(DataTable[[#This Row],[Tm.]]="","N/A",DataTable[[#This Row],[Tm.]])</f>
        <v>N/A</v>
      </c>
      <c r="B142" t="str">
        <f>IF(DataTable[[#This Row],[Match Nr.]]="","N/A",DataTable[[#This Row],[Match Nr.]])</f>
        <v>N/A</v>
      </c>
      <c r="C1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2" t="str">
        <f>IF(AND(DataTable[[#This Row],[Successful Lo. G. S]]="",DataTable[[#This Row],[Successful Hi. G. S.]]=""),"N/A",DataTable[[#This Row],[Successful Lo. G. S]]*2+DataTable[[#This Row],[Successful Hi. G. S.]]*10)</f>
        <v>N/A</v>
      </c>
      <c r="H1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2" s="11" t="str">
        <f>IF(DataTable[[#This Row],[Lo. B. Successful Xings.]]="","N/A",SUM(ProcessedData[[#This Row],[Lo. B. Ti.]],DataTable[[#This Row],[Lo. B. Successful Xings.]]+1))</f>
        <v>N/A</v>
      </c>
      <c r="Z1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3" spans="1:26" x14ac:dyDescent="0.2">
      <c r="A143" t="str">
        <f>IF(DataTable[[#This Row],[Tm.]]="","N/A",DataTable[[#This Row],[Tm.]])</f>
        <v>N/A</v>
      </c>
      <c r="B143" t="str">
        <f>IF(DataTable[[#This Row],[Match Nr.]]="","N/A",DataTable[[#This Row],[Match Nr.]])</f>
        <v>N/A</v>
      </c>
      <c r="C1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3" t="str">
        <f>IF(AND(DataTable[[#This Row],[Successful Lo. G. S]]="",DataTable[[#This Row],[Successful Hi. G. S.]]=""),"N/A",DataTable[[#This Row],[Successful Lo. G. S]]*2+DataTable[[#This Row],[Successful Hi. G. S.]]*10)</f>
        <v>N/A</v>
      </c>
      <c r="H1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3" s="11" t="str">
        <f>IF(DataTable[[#This Row],[Lo. B. Successful Xings.]]="","N/A",SUM(ProcessedData[[#This Row],[Lo. B. Ti.]],DataTable[[#This Row],[Lo. B. Successful Xings.]]+1))</f>
        <v>N/A</v>
      </c>
      <c r="Z1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4" spans="1:26" x14ac:dyDescent="0.2">
      <c r="A144" t="str">
        <f>IF(DataTable[[#This Row],[Tm.]]="","N/A",DataTable[[#This Row],[Tm.]])</f>
        <v>N/A</v>
      </c>
      <c r="B144" t="str">
        <f>IF(DataTable[[#This Row],[Match Nr.]]="","N/A",DataTable[[#This Row],[Match Nr.]])</f>
        <v>N/A</v>
      </c>
      <c r="C1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4" t="str">
        <f>IF(AND(DataTable[[#This Row],[Successful Lo. G. S]]="",DataTable[[#This Row],[Successful Hi. G. S.]]=""),"N/A",DataTable[[#This Row],[Successful Lo. G. S]]*2+DataTable[[#This Row],[Successful Hi. G. S.]]*10)</f>
        <v>N/A</v>
      </c>
      <c r="H1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4" s="11" t="str">
        <f>IF(DataTable[[#This Row],[Lo. B. Successful Xings.]]="","N/A",SUM(ProcessedData[[#This Row],[Lo. B. Ti.]],DataTable[[#This Row],[Lo. B. Successful Xings.]]+1))</f>
        <v>N/A</v>
      </c>
      <c r="Z1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5" spans="1:26" x14ac:dyDescent="0.2">
      <c r="A145" t="str">
        <f>IF(DataTable[[#This Row],[Tm.]]="","N/A",DataTable[[#This Row],[Tm.]])</f>
        <v>N/A</v>
      </c>
      <c r="B145" t="str">
        <f>IF(DataTable[[#This Row],[Match Nr.]]="","N/A",DataTable[[#This Row],[Match Nr.]])</f>
        <v>N/A</v>
      </c>
      <c r="C1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5" t="str">
        <f>IF(AND(DataTable[[#This Row],[Successful Lo. G. S]]="",DataTable[[#This Row],[Successful Hi. G. S.]]=""),"N/A",DataTable[[#This Row],[Successful Lo. G. S]]*2+DataTable[[#This Row],[Successful Hi. G. S.]]*10)</f>
        <v>N/A</v>
      </c>
      <c r="H1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5" s="11" t="str">
        <f>IF(DataTable[[#This Row],[Lo. B. Successful Xings.]]="","N/A",SUM(ProcessedData[[#This Row],[Lo. B. Ti.]],DataTable[[#This Row],[Lo. B. Successful Xings.]]+1))</f>
        <v>N/A</v>
      </c>
      <c r="Z1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6" spans="1:26" x14ac:dyDescent="0.2">
      <c r="A146" t="str">
        <f>IF(DataTable[[#This Row],[Tm.]]="","N/A",DataTable[[#This Row],[Tm.]])</f>
        <v>N/A</v>
      </c>
      <c r="B146" t="str">
        <f>IF(DataTable[[#This Row],[Match Nr.]]="","N/A",DataTable[[#This Row],[Match Nr.]])</f>
        <v>N/A</v>
      </c>
      <c r="C1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6" t="str">
        <f>IF(AND(DataTable[[#This Row],[Successful Lo. G. S]]="",DataTable[[#This Row],[Successful Hi. G. S.]]=""),"N/A",DataTable[[#This Row],[Successful Lo. G. S]]*2+DataTable[[#This Row],[Successful Hi. G. S.]]*10)</f>
        <v>N/A</v>
      </c>
      <c r="H1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6" s="11" t="str">
        <f>IF(DataTable[[#This Row],[Lo. B. Successful Xings.]]="","N/A",SUM(ProcessedData[[#This Row],[Lo. B. Ti.]],DataTable[[#This Row],[Lo. B. Successful Xings.]]+1))</f>
        <v>N/A</v>
      </c>
      <c r="Z1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7" spans="1:26" x14ac:dyDescent="0.2">
      <c r="A147" t="str">
        <f>IF(DataTable[[#This Row],[Tm.]]="","N/A",DataTable[[#This Row],[Tm.]])</f>
        <v>N/A</v>
      </c>
      <c r="B147" t="str">
        <f>IF(DataTable[[#This Row],[Match Nr.]]="","N/A",DataTable[[#This Row],[Match Nr.]])</f>
        <v>N/A</v>
      </c>
      <c r="C1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7" t="str">
        <f>IF(AND(DataTable[[#This Row],[Successful Lo. G. S]]="",DataTable[[#This Row],[Successful Hi. G. S.]]=""),"N/A",DataTable[[#This Row],[Successful Lo. G. S]]*2+DataTable[[#This Row],[Successful Hi. G. S.]]*10)</f>
        <v>N/A</v>
      </c>
      <c r="H1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7" s="11" t="str">
        <f>IF(DataTable[[#This Row],[Lo. B. Successful Xings.]]="","N/A",SUM(ProcessedData[[#This Row],[Lo. B. Ti.]],DataTable[[#This Row],[Lo. B. Successful Xings.]]+1))</f>
        <v>N/A</v>
      </c>
      <c r="Z1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8" spans="1:26" x14ac:dyDescent="0.2">
      <c r="A148" t="str">
        <f>IF(DataTable[[#This Row],[Tm.]]="","N/A",DataTable[[#This Row],[Tm.]])</f>
        <v>N/A</v>
      </c>
      <c r="B148" t="str">
        <f>IF(DataTable[[#This Row],[Match Nr.]]="","N/A",DataTable[[#This Row],[Match Nr.]])</f>
        <v>N/A</v>
      </c>
      <c r="C1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8" t="str">
        <f>IF(AND(DataTable[[#This Row],[Successful Lo. G. S]]="",DataTable[[#This Row],[Successful Hi. G. S.]]=""),"N/A",DataTable[[#This Row],[Successful Lo. G. S]]*2+DataTable[[#This Row],[Successful Hi. G. S.]]*10)</f>
        <v>N/A</v>
      </c>
      <c r="H1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8" s="11" t="str">
        <f>IF(DataTable[[#This Row],[Lo. B. Successful Xings.]]="","N/A",SUM(ProcessedData[[#This Row],[Lo. B. Ti.]],DataTable[[#This Row],[Lo. B. Successful Xings.]]+1))</f>
        <v>N/A</v>
      </c>
      <c r="Z1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49" spans="1:26" x14ac:dyDescent="0.2">
      <c r="A149" t="str">
        <f>IF(DataTable[[#This Row],[Tm.]]="","N/A",DataTable[[#This Row],[Tm.]])</f>
        <v>N/A</v>
      </c>
      <c r="B149" t="str">
        <f>IF(DataTable[[#This Row],[Match Nr.]]="","N/A",DataTable[[#This Row],[Match Nr.]])</f>
        <v>N/A</v>
      </c>
      <c r="C1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49" t="str">
        <f>IF(AND(DataTable[[#This Row],[Successful Lo. G. S]]="",DataTable[[#This Row],[Successful Hi. G. S.]]=""),"N/A",DataTable[[#This Row],[Successful Lo. G. S]]*2+DataTable[[#This Row],[Successful Hi. G. S.]]*10)</f>
        <v>N/A</v>
      </c>
      <c r="H1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49" s="11" t="str">
        <f>IF(DataTable[[#This Row],[Lo. B. Successful Xings.]]="","N/A",SUM(ProcessedData[[#This Row],[Lo. B. Ti.]],DataTable[[#This Row],[Lo. B. Successful Xings.]]+1))</f>
        <v>N/A</v>
      </c>
      <c r="Z1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0" spans="1:26" x14ac:dyDescent="0.2">
      <c r="A150" t="str">
        <f>IF(DataTable[[#This Row],[Tm.]]="","N/A",DataTable[[#This Row],[Tm.]])</f>
        <v>N/A</v>
      </c>
      <c r="B150" t="str">
        <f>IF(DataTable[[#This Row],[Match Nr.]]="","N/A",DataTable[[#This Row],[Match Nr.]])</f>
        <v>N/A</v>
      </c>
      <c r="C1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0" t="str">
        <f>IF(AND(DataTable[[#This Row],[Successful Lo. G. S]]="",DataTable[[#This Row],[Successful Hi. G. S.]]=""),"N/A",DataTable[[#This Row],[Successful Lo. G. S]]*2+DataTable[[#This Row],[Successful Hi. G. S.]]*10)</f>
        <v>N/A</v>
      </c>
      <c r="H1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0" s="11" t="str">
        <f>IF(DataTable[[#This Row],[Lo. B. Successful Xings.]]="","N/A",SUM(ProcessedData[[#This Row],[Lo. B. Ti.]],DataTable[[#This Row],[Lo. B. Successful Xings.]]+1))</f>
        <v>N/A</v>
      </c>
      <c r="Z1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1" spans="1:26" x14ac:dyDescent="0.2">
      <c r="A151" t="str">
        <f>IF(DataTable[[#This Row],[Tm.]]="","N/A",DataTable[[#This Row],[Tm.]])</f>
        <v>N/A</v>
      </c>
      <c r="B151" t="str">
        <f>IF(DataTable[[#This Row],[Match Nr.]]="","N/A",DataTable[[#This Row],[Match Nr.]])</f>
        <v>N/A</v>
      </c>
      <c r="C1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1" t="str">
        <f>IF(AND(DataTable[[#This Row],[Successful Lo. G. S]]="",DataTable[[#This Row],[Successful Hi. G. S.]]=""),"N/A",DataTable[[#This Row],[Successful Lo. G. S]]*2+DataTable[[#This Row],[Successful Hi. G. S.]]*10)</f>
        <v>N/A</v>
      </c>
      <c r="H1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1" s="11" t="str">
        <f>IF(DataTable[[#This Row],[Lo. B. Successful Xings.]]="","N/A",SUM(ProcessedData[[#This Row],[Lo. B. Ti.]],DataTable[[#This Row],[Lo. B. Successful Xings.]]+1))</f>
        <v>N/A</v>
      </c>
      <c r="Z1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2" spans="1:26" x14ac:dyDescent="0.2">
      <c r="A152" t="str">
        <f>IF(DataTable[[#This Row],[Tm.]]="","N/A",DataTable[[#This Row],[Tm.]])</f>
        <v>N/A</v>
      </c>
      <c r="B152" t="str">
        <f>IF(DataTable[[#This Row],[Match Nr.]]="","N/A",DataTable[[#This Row],[Match Nr.]])</f>
        <v>N/A</v>
      </c>
      <c r="C1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2" t="str">
        <f>IF(AND(DataTable[[#This Row],[Successful Lo. G. S]]="",DataTable[[#This Row],[Successful Hi. G. S.]]=""),"N/A",DataTable[[#This Row],[Successful Lo. G. S]]*2+DataTable[[#This Row],[Successful Hi. G. S.]]*10)</f>
        <v>N/A</v>
      </c>
      <c r="H1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2" s="11" t="str">
        <f>IF(DataTable[[#This Row],[Lo. B. Successful Xings.]]="","N/A",SUM(ProcessedData[[#This Row],[Lo. B. Ti.]],DataTable[[#This Row],[Lo. B. Successful Xings.]]+1))</f>
        <v>N/A</v>
      </c>
      <c r="Z1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3" spans="1:26" x14ac:dyDescent="0.2">
      <c r="A153" t="str">
        <f>IF(DataTable[[#This Row],[Tm.]]="","N/A",DataTable[[#This Row],[Tm.]])</f>
        <v>N/A</v>
      </c>
      <c r="B153" t="str">
        <f>IF(DataTable[[#This Row],[Match Nr.]]="","N/A",DataTable[[#This Row],[Match Nr.]])</f>
        <v>N/A</v>
      </c>
      <c r="C1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3" t="str">
        <f>IF(AND(DataTable[[#This Row],[Successful Lo. G. S]]="",DataTable[[#This Row],[Successful Hi. G. S.]]=""),"N/A",DataTable[[#This Row],[Successful Lo. G. S]]*2+DataTable[[#This Row],[Successful Hi. G. S.]]*10)</f>
        <v>N/A</v>
      </c>
      <c r="H1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3" s="11" t="str">
        <f>IF(DataTable[[#This Row],[Lo. B. Successful Xings.]]="","N/A",SUM(ProcessedData[[#This Row],[Lo. B. Ti.]],DataTable[[#This Row],[Lo. B. Successful Xings.]]+1))</f>
        <v>N/A</v>
      </c>
      <c r="Z1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4" spans="1:26" x14ac:dyDescent="0.2">
      <c r="A154" t="str">
        <f>IF(DataTable[[#This Row],[Tm.]]="","N/A",DataTable[[#This Row],[Tm.]])</f>
        <v>N/A</v>
      </c>
      <c r="B154" t="str">
        <f>IF(DataTable[[#This Row],[Match Nr.]]="","N/A",DataTable[[#This Row],[Match Nr.]])</f>
        <v>N/A</v>
      </c>
      <c r="C1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4" t="str">
        <f>IF(AND(DataTable[[#This Row],[Successful Lo. G. S]]="",DataTable[[#This Row],[Successful Hi. G. S.]]=""),"N/A",DataTable[[#This Row],[Successful Lo. G. S]]*2+DataTable[[#This Row],[Successful Hi. G. S.]]*10)</f>
        <v>N/A</v>
      </c>
      <c r="H1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4" s="11" t="str">
        <f>IF(DataTable[[#This Row],[Lo. B. Successful Xings.]]="","N/A",SUM(ProcessedData[[#This Row],[Lo. B. Ti.]],DataTable[[#This Row],[Lo. B. Successful Xings.]]+1))</f>
        <v>N/A</v>
      </c>
      <c r="Z1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5" spans="1:26" x14ac:dyDescent="0.2">
      <c r="A155" t="str">
        <f>IF(DataTable[[#This Row],[Tm.]]="","N/A",DataTable[[#This Row],[Tm.]])</f>
        <v>N/A</v>
      </c>
      <c r="B155" t="str">
        <f>IF(DataTable[[#This Row],[Match Nr.]]="","N/A",DataTable[[#This Row],[Match Nr.]])</f>
        <v>N/A</v>
      </c>
      <c r="C1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5" t="str">
        <f>IF(AND(DataTable[[#This Row],[Successful Lo. G. S]]="",DataTable[[#This Row],[Successful Hi. G. S.]]=""),"N/A",DataTable[[#This Row],[Successful Lo. G. S]]*2+DataTable[[#This Row],[Successful Hi. G. S.]]*10)</f>
        <v>N/A</v>
      </c>
      <c r="H1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5" s="11" t="str">
        <f>IF(DataTable[[#This Row],[Lo. B. Successful Xings.]]="","N/A",SUM(ProcessedData[[#This Row],[Lo. B. Ti.]],DataTable[[#This Row],[Lo. B. Successful Xings.]]+1))</f>
        <v>N/A</v>
      </c>
      <c r="Z1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6" spans="1:26" x14ac:dyDescent="0.2">
      <c r="A156" t="str">
        <f>IF(DataTable[[#This Row],[Tm.]]="","N/A",DataTable[[#This Row],[Tm.]])</f>
        <v>N/A</v>
      </c>
      <c r="B156" t="str">
        <f>IF(DataTable[[#This Row],[Match Nr.]]="","N/A",DataTable[[#This Row],[Match Nr.]])</f>
        <v>N/A</v>
      </c>
      <c r="C1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6" t="str">
        <f>IF(AND(DataTable[[#This Row],[Successful Lo. G. S]]="",DataTable[[#This Row],[Successful Hi. G. S.]]=""),"N/A",DataTable[[#This Row],[Successful Lo. G. S]]*2+DataTable[[#This Row],[Successful Hi. G. S.]]*10)</f>
        <v>N/A</v>
      </c>
      <c r="H1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6" s="11" t="str">
        <f>IF(DataTable[[#This Row],[Lo. B. Successful Xings.]]="","N/A",SUM(ProcessedData[[#This Row],[Lo. B. Ti.]],DataTable[[#This Row],[Lo. B. Successful Xings.]]+1))</f>
        <v>N/A</v>
      </c>
      <c r="Z1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7" spans="1:26" x14ac:dyDescent="0.2">
      <c r="A157" t="str">
        <f>IF(DataTable[[#This Row],[Tm.]]="","N/A",DataTable[[#This Row],[Tm.]])</f>
        <v>N/A</v>
      </c>
      <c r="B157" t="str">
        <f>IF(DataTable[[#This Row],[Match Nr.]]="","N/A",DataTable[[#This Row],[Match Nr.]])</f>
        <v>N/A</v>
      </c>
      <c r="C1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7" t="str">
        <f>IF(AND(DataTable[[#This Row],[Successful Lo. G. S]]="",DataTable[[#This Row],[Successful Hi. G. S.]]=""),"N/A",DataTable[[#This Row],[Successful Lo. G. S]]*2+DataTable[[#This Row],[Successful Hi. G. S.]]*10)</f>
        <v>N/A</v>
      </c>
      <c r="H1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7" s="11" t="str">
        <f>IF(DataTable[[#This Row],[Lo. B. Successful Xings.]]="","N/A",SUM(ProcessedData[[#This Row],[Lo. B. Ti.]],DataTable[[#This Row],[Lo. B. Successful Xings.]]+1))</f>
        <v>N/A</v>
      </c>
      <c r="Z1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8" spans="1:26" x14ac:dyDescent="0.2">
      <c r="A158" t="str">
        <f>IF(DataTable[[#This Row],[Tm.]]="","N/A",DataTable[[#This Row],[Tm.]])</f>
        <v>N/A</v>
      </c>
      <c r="B158" t="str">
        <f>IF(DataTable[[#This Row],[Match Nr.]]="","N/A",DataTable[[#This Row],[Match Nr.]])</f>
        <v>N/A</v>
      </c>
      <c r="C1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8" t="str">
        <f>IF(AND(DataTable[[#This Row],[Successful Lo. G. S]]="",DataTable[[#This Row],[Successful Hi. G. S.]]=""),"N/A",DataTable[[#This Row],[Successful Lo. G. S]]*2+DataTable[[#This Row],[Successful Hi. G. S.]]*10)</f>
        <v>N/A</v>
      </c>
      <c r="H1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8" s="11" t="str">
        <f>IF(DataTable[[#This Row],[Lo. B. Successful Xings.]]="","N/A",SUM(ProcessedData[[#This Row],[Lo. B. Ti.]],DataTable[[#This Row],[Lo. B. Successful Xings.]]+1))</f>
        <v>N/A</v>
      </c>
      <c r="Z1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59" spans="1:26" x14ac:dyDescent="0.2">
      <c r="A159" t="str">
        <f>IF(DataTable[[#This Row],[Tm.]]="","N/A",DataTable[[#This Row],[Tm.]])</f>
        <v>N/A</v>
      </c>
      <c r="B159" t="str">
        <f>IF(DataTable[[#This Row],[Match Nr.]]="","N/A",DataTable[[#This Row],[Match Nr.]])</f>
        <v>N/A</v>
      </c>
      <c r="C1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59" t="str">
        <f>IF(AND(DataTable[[#This Row],[Successful Lo. G. S]]="",DataTable[[#This Row],[Successful Hi. G. S.]]=""),"N/A",DataTable[[#This Row],[Successful Lo. G. S]]*2+DataTable[[#This Row],[Successful Hi. G. S.]]*10)</f>
        <v>N/A</v>
      </c>
      <c r="H1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59" s="11" t="str">
        <f>IF(DataTable[[#This Row],[Lo. B. Successful Xings.]]="","N/A",SUM(ProcessedData[[#This Row],[Lo. B. Ti.]],DataTable[[#This Row],[Lo. B. Successful Xings.]]+1))</f>
        <v>N/A</v>
      </c>
      <c r="Z1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0" spans="1:26" x14ac:dyDescent="0.2">
      <c r="A160" t="str">
        <f>IF(DataTable[[#This Row],[Tm.]]="","N/A",DataTable[[#This Row],[Tm.]])</f>
        <v>N/A</v>
      </c>
      <c r="B160" t="str">
        <f>IF(DataTable[[#This Row],[Match Nr.]]="","N/A",DataTable[[#This Row],[Match Nr.]])</f>
        <v>N/A</v>
      </c>
      <c r="C1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0" t="str">
        <f>IF(AND(DataTable[[#This Row],[Successful Lo. G. S]]="",DataTable[[#This Row],[Successful Hi. G. S.]]=""),"N/A",DataTable[[#This Row],[Successful Lo. G. S]]*2+DataTable[[#This Row],[Successful Hi. G. S.]]*10)</f>
        <v>N/A</v>
      </c>
      <c r="H1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0" s="11" t="str">
        <f>IF(DataTable[[#This Row],[Lo. B. Successful Xings.]]="","N/A",SUM(ProcessedData[[#This Row],[Lo. B. Ti.]],DataTable[[#This Row],[Lo. B. Successful Xings.]]+1))</f>
        <v>N/A</v>
      </c>
      <c r="Z1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1" spans="1:26" x14ac:dyDescent="0.2">
      <c r="A161" t="str">
        <f>IF(DataTable[[#This Row],[Tm.]]="","N/A",DataTable[[#This Row],[Tm.]])</f>
        <v>N/A</v>
      </c>
      <c r="B161" t="str">
        <f>IF(DataTable[[#This Row],[Match Nr.]]="","N/A",DataTable[[#This Row],[Match Nr.]])</f>
        <v>N/A</v>
      </c>
      <c r="C1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1" t="str">
        <f>IF(AND(DataTable[[#This Row],[Successful Lo. G. S]]="",DataTable[[#This Row],[Successful Hi. G. S.]]=""),"N/A",DataTable[[#This Row],[Successful Lo. G. S]]*2+DataTable[[#This Row],[Successful Hi. G. S.]]*10)</f>
        <v>N/A</v>
      </c>
      <c r="H1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1" s="11" t="str">
        <f>IF(DataTable[[#This Row],[Lo. B. Successful Xings.]]="","N/A",SUM(ProcessedData[[#This Row],[Lo. B. Ti.]],DataTable[[#This Row],[Lo. B. Successful Xings.]]+1))</f>
        <v>N/A</v>
      </c>
      <c r="Z1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2" spans="1:26" x14ac:dyDescent="0.2">
      <c r="A162" t="str">
        <f>IF(DataTable[[#This Row],[Tm.]]="","N/A",DataTable[[#This Row],[Tm.]])</f>
        <v>N/A</v>
      </c>
      <c r="B162" t="str">
        <f>IF(DataTable[[#This Row],[Match Nr.]]="","N/A",DataTable[[#This Row],[Match Nr.]])</f>
        <v>N/A</v>
      </c>
      <c r="C1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2" t="str">
        <f>IF(AND(DataTable[[#This Row],[Successful Lo. G. S]]="",DataTable[[#This Row],[Successful Hi. G. S.]]=""),"N/A",DataTable[[#This Row],[Successful Lo. G. S]]*2+DataTable[[#This Row],[Successful Hi. G. S.]]*10)</f>
        <v>N/A</v>
      </c>
      <c r="H1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2" s="11" t="str">
        <f>IF(DataTable[[#This Row],[Lo. B. Successful Xings.]]="","N/A",SUM(ProcessedData[[#This Row],[Lo. B. Ti.]],DataTable[[#This Row],[Lo. B. Successful Xings.]]+1))</f>
        <v>N/A</v>
      </c>
      <c r="Z1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3" spans="1:26" x14ac:dyDescent="0.2">
      <c r="A163" t="str">
        <f>IF(DataTable[[#This Row],[Tm.]]="","N/A",DataTable[[#This Row],[Tm.]])</f>
        <v>N/A</v>
      </c>
      <c r="B163" t="str">
        <f>IF(DataTable[[#This Row],[Match Nr.]]="","N/A",DataTable[[#This Row],[Match Nr.]])</f>
        <v>N/A</v>
      </c>
      <c r="C1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3" t="str">
        <f>IF(AND(DataTable[[#This Row],[Successful Lo. G. S]]="",DataTable[[#This Row],[Successful Hi. G. S.]]=""),"N/A",DataTable[[#This Row],[Successful Lo. G. S]]*2+DataTable[[#This Row],[Successful Hi. G. S.]]*10)</f>
        <v>N/A</v>
      </c>
      <c r="H1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3" s="11" t="str">
        <f>IF(DataTable[[#This Row],[Lo. B. Successful Xings.]]="","N/A",SUM(ProcessedData[[#This Row],[Lo. B. Ti.]],DataTable[[#This Row],[Lo. B. Successful Xings.]]+1))</f>
        <v>N/A</v>
      </c>
      <c r="Z1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4" spans="1:26" x14ac:dyDescent="0.2">
      <c r="A164" t="str">
        <f>IF(DataTable[[#This Row],[Tm.]]="","N/A",DataTable[[#This Row],[Tm.]])</f>
        <v>N/A</v>
      </c>
      <c r="B164" t="str">
        <f>IF(DataTable[[#This Row],[Match Nr.]]="","N/A",DataTable[[#This Row],[Match Nr.]])</f>
        <v>N/A</v>
      </c>
      <c r="C1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4" t="str">
        <f>IF(AND(DataTable[[#This Row],[Successful Lo. G. S]]="",DataTable[[#This Row],[Successful Hi. G. S.]]=""),"N/A",DataTable[[#This Row],[Successful Lo. G. S]]*2+DataTable[[#This Row],[Successful Hi. G. S.]]*10)</f>
        <v>N/A</v>
      </c>
      <c r="H1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4" s="11" t="str">
        <f>IF(DataTable[[#This Row],[Lo. B. Successful Xings.]]="","N/A",SUM(ProcessedData[[#This Row],[Lo. B. Ti.]],DataTable[[#This Row],[Lo. B. Successful Xings.]]+1))</f>
        <v>N/A</v>
      </c>
      <c r="Z1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5" spans="1:26" x14ac:dyDescent="0.2">
      <c r="A165" t="str">
        <f>IF(DataTable[[#This Row],[Tm.]]="","N/A",DataTable[[#This Row],[Tm.]])</f>
        <v>N/A</v>
      </c>
      <c r="B165" t="str">
        <f>IF(DataTable[[#This Row],[Match Nr.]]="","N/A",DataTable[[#This Row],[Match Nr.]])</f>
        <v>N/A</v>
      </c>
      <c r="C1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5" t="str">
        <f>IF(AND(DataTable[[#This Row],[Successful Lo. G. S]]="",DataTable[[#This Row],[Successful Hi. G. S.]]=""),"N/A",DataTable[[#This Row],[Successful Lo. G. S]]*2+DataTable[[#This Row],[Successful Hi. G. S.]]*10)</f>
        <v>N/A</v>
      </c>
      <c r="H1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5" s="11" t="str">
        <f>IF(DataTable[[#This Row],[Lo. B. Successful Xings.]]="","N/A",SUM(ProcessedData[[#This Row],[Lo. B. Ti.]],DataTable[[#This Row],[Lo. B. Successful Xings.]]+1))</f>
        <v>N/A</v>
      </c>
      <c r="Z1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6" spans="1:26" x14ac:dyDescent="0.2">
      <c r="A166" t="str">
        <f>IF(DataTable[[#This Row],[Tm.]]="","N/A",DataTable[[#This Row],[Tm.]])</f>
        <v>N/A</v>
      </c>
      <c r="B166" t="str">
        <f>IF(DataTable[[#This Row],[Match Nr.]]="","N/A",DataTable[[#This Row],[Match Nr.]])</f>
        <v>N/A</v>
      </c>
      <c r="C1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6" t="str">
        <f>IF(AND(DataTable[[#This Row],[Successful Lo. G. S]]="",DataTable[[#This Row],[Successful Hi. G. S.]]=""),"N/A",DataTable[[#This Row],[Successful Lo. G. S]]*2+DataTable[[#This Row],[Successful Hi. G. S.]]*10)</f>
        <v>N/A</v>
      </c>
      <c r="H1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6" s="11" t="str">
        <f>IF(DataTable[[#This Row],[Lo. B. Successful Xings.]]="","N/A",SUM(ProcessedData[[#This Row],[Lo. B. Ti.]],DataTable[[#This Row],[Lo. B. Successful Xings.]]+1))</f>
        <v>N/A</v>
      </c>
      <c r="Z1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7" spans="1:26" x14ac:dyDescent="0.2">
      <c r="A167" t="str">
        <f>IF(DataTable[[#This Row],[Tm.]]="","N/A",DataTable[[#This Row],[Tm.]])</f>
        <v>N/A</v>
      </c>
      <c r="B167" t="str">
        <f>IF(DataTable[[#This Row],[Match Nr.]]="","N/A",DataTable[[#This Row],[Match Nr.]])</f>
        <v>N/A</v>
      </c>
      <c r="C1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7" t="str">
        <f>IF(AND(DataTable[[#This Row],[Successful Lo. G. S]]="",DataTable[[#This Row],[Successful Hi. G. S.]]=""),"N/A",DataTable[[#This Row],[Successful Lo. G. S]]*2+DataTable[[#This Row],[Successful Hi. G. S.]]*10)</f>
        <v>N/A</v>
      </c>
      <c r="H1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7" s="11" t="str">
        <f>IF(DataTable[[#This Row],[Lo. B. Successful Xings.]]="","N/A",SUM(ProcessedData[[#This Row],[Lo. B. Ti.]],DataTable[[#This Row],[Lo. B. Successful Xings.]]+1))</f>
        <v>N/A</v>
      </c>
      <c r="Z1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8" spans="1:26" x14ac:dyDescent="0.2">
      <c r="A168" t="str">
        <f>IF(DataTable[[#This Row],[Tm.]]="","N/A",DataTable[[#This Row],[Tm.]])</f>
        <v>N/A</v>
      </c>
      <c r="B168" t="str">
        <f>IF(DataTable[[#This Row],[Match Nr.]]="","N/A",DataTable[[#This Row],[Match Nr.]])</f>
        <v>N/A</v>
      </c>
      <c r="C1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8" t="str">
        <f>IF(AND(DataTable[[#This Row],[Successful Lo. G. S]]="",DataTable[[#This Row],[Successful Hi. G. S.]]=""),"N/A",DataTable[[#This Row],[Successful Lo. G. S]]*2+DataTable[[#This Row],[Successful Hi. G. S.]]*10)</f>
        <v>N/A</v>
      </c>
      <c r="H1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8" s="11" t="str">
        <f>IF(DataTable[[#This Row],[Lo. B. Successful Xings.]]="","N/A",SUM(ProcessedData[[#This Row],[Lo. B. Ti.]],DataTable[[#This Row],[Lo. B. Successful Xings.]]+1))</f>
        <v>N/A</v>
      </c>
      <c r="Z1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69" spans="1:26" x14ac:dyDescent="0.2">
      <c r="A169" t="str">
        <f>IF(DataTable[[#This Row],[Tm.]]="","N/A",DataTable[[#This Row],[Tm.]])</f>
        <v>N/A</v>
      </c>
      <c r="B169" t="str">
        <f>IF(DataTable[[#This Row],[Match Nr.]]="","N/A",DataTable[[#This Row],[Match Nr.]])</f>
        <v>N/A</v>
      </c>
      <c r="C1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69" t="str">
        <f>IF(AND(DataTable[[#This Row],[Successful Lo. G. S]]="",DataTable[[#This Row],[Successful Hi. G. S.]]=""),"N/A",DataTable[[#This Row],[Successful Lo. G. S]]*2+DataTable[[#This Row],[Successful Hi. G. S.]]*10)</f>
        <v>N/A</v>
      </c>
      <c r="H1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69" s="11" t="str">
        <f>IF(DataTable[[#This Row],[Lo. B. Successful Xings.]]="","N/A",SUM(ProcessedData[[#This Row],[Lo. B. Ti.]],DataTable[[#This Row],[Lo. B. Successful Xings.]]+1))</f>
        <v>N/A</v>
      </c>
      <c r="Z1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0" spans="1:26" x14ac:dyDescent="0.2">
      <c r="A170" t="str">
        <f>IF(DataTable[[#This Row],[Tm.]]="","N/A",DataTable[[#This Row],[Tm.]])</f>
        <v>N/A</v>
      </c>
      <c r="B170" t="str">
        <f>IF(DataTable[[#This Row],[Match Nr.]]="","N/A",DataTable[[#This Row],[Match Nr.]])</f>
        <v>N/A</v>
      </c>
      <c r="C1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0" t="str">
        <f>IF(AND(DataTable[[#This Row],[Successful Lo. G. S]]="",DataTable[[#This Row],[Successful Hi. G. S.]]=""),"N/A",DataTable[[#This Row],[Successful Lo. G. S]]*2+DataTable[[#This Row],[Successful Hi. G. S.]]*10)</f>
        <v>N/A</v>
      </c>
      <c r="H1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0" s="11" t="str">
        <f>IF(DataTable[[#This Row],[Lo. B. Successful Xings.]]="","N/A",SUM(ProcessedData[[#This Row],[Lo. B. Ti.]],DataTable[[#This Row],[Lo. B. Successful Xings.]]+1))</f>
        <v>N/A</v>
      </c>
      <c r="Z1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1" spans="1:26" x14ac:dyDescent="0.2">
      <c r="A171" t="str">
        <f>IF(DataTable[[#This Row],[Tm.]]="","N/A",DataTable[[#This Row],[Tm.]])</f>
        <v>N/A</v>
      </c>
      <c r="B171" t="str">
        <f>IF(DataTable[[#This Row],[Match Nr.]]="","N/A",DataTable[[#This Row],[Match Nr.]])</f>
        <v>N/A</v>
      </c>
      <c r="C1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1" t="str">
        <f>IF(AND(DataTable[[#This Row],[Successful Lo. G. S]]="",DataTable[[#This Row],[Successful Hi. G. S.]]=""),"N/A",DataTable[[#This Row],[Successful Lo. G. S]]*2+DataTable[[#This Row],[Successful Hi. G. S.]]*10)</f>
        <v>N/A</v>
      </c>
      <c r="H1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1" s="11" t="str">
        <f>IF(DataTable[[#This Row],[Lo. B. Successful Xings.]]="","N/A",SUM(ProcessedData[[#This Row],[Lo. B. Ti.]],DataTable[[#This Row],[Lo. B. Successful Xings.]]+1))</f>
        <v>N/A</v>
      </c>
      <c r="Z1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2" spans="1:26" x14ac:dyDescent="0.2">
      <c r="A172" t="str">
        <f>IF(DataTable[[#This Row],[Tm.]]="","N/A",DataTable[[#This Row],[Tm.]])</f>
        <v>N/A</v>
      </c>
      <c r="B172" t="str">
        <f>IF(DataTable[[#This Row],[Match Nr.]]="","N/A",DataTable[[#This Row],[Match Nr.]])</f>
        <v>N/A</v>
      </c>
      <c r="C1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2" t="str">
        <f>IF(AND(DataTable[[#This Row],[Successful Lo. G. S]]="",DataTable[[#This Row],[Successful Hi. G. S.]]=""),"N/A",DataTable[[#This Row],[Successful Lo. G. S]]*2+DataTable[[#This Row],[Successful Hi. G. S.]]*10)</f>
        <v>N/A</v>
      </c>
      <c r="H1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2" s="11" t="str">
        <f>IF(DataTable[[#This Row],[Lo. B. Successful Xings.]]="","N/A",SUM(ProcessedData[[#This Row],[Lo. B. Ti.]],DataTable[[#This Row],[Lo. B. Successful Xings.]]+1))</f>
        <v>N/A</v>
      </c>
      <c r="Z1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3" spans="1:26" x14ac:dyDescent="0.2">
      <c r="A173" t="str">
        <f>IF(DataTable[[#This Row],[Tm.]]="","N/A",DataTable[[#This Row],[Tm.]])</f>
        <v>N/A</v>
      </c>
      <c r="B173" t="str">
        <f>IF(DataTable[[#This Row],[Match Nr.]]="","N/A",DataTable[[#This Row],[Match Nr.]])</f>
        <v>N/A</v>
      </c>
      <c r="C1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3" t="str">
        <f>IF(AND(DataTable[[#This Row],[Successful Lo. G. S]]="",DataTable[[#This Row],[Successful Hi. G. S.]]=""),"N/A",DataTable[[#This Row],[Successful Lo. G. S]]*2+DataTable[[#This Row],[Successful Hi. G. S.]]*10)</f>
        <v>N/A</v>
      </c>
      <c r="H1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3" s="11" t="str">
        <f>IF(DataTable[[#This Row],[Lo. B. Successful Xings.]]="","N/A",SUM(ProcessedData[[#This Row],[Lo. B. Ti.]],DataTable[[#This Row],[Lo. B. Successful Xings.]]+1))</f>
        <v>N/A</v>
      </c>
      <c r="Z1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4" spans="1:26" x14ac:dyDescent="0.2">
      <c r="A174" t="str">
        <f>IF(DataTable[[#This Row],[Tm.]]="","N/A",DataTable[[#This Row],[Tm.]])</f>
        <v>N/A</v>
      </c>
      <c r="B174" t="str">
        <f>IF(DataTable[[#This Row],[Match Nr.]]="","N/A",DataTable[[#This Row],[Match Nr.]])</f>
        <v>N/A</v>
      </c>
      <c r="C1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4" t="str">
        <f>IF(AND(DataTable[[#This Row],[Successful Lo. G. S]]="",DataTable[[#This Row],[Successful Hi. G. S.]]=""),"N/A",DataTable[[#This Row],[Successful Lo. G. S]]*2+DataTable[[#This Row],[Successful Hi. G. S.]]*10)</f>
        <v>N/A</v>
      </c>
      <c r="H1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4" s="11" t="str">
        <f>IF(DataTable[[#This Row],[Lo. B. Successful Xings.]]="","N/A",SUM(ProcessedData[[#This Row],[Lo. B. Ti.]],DataTable[[#This Row],[Lo. B. Successful Xings.]]+1))</f>
        <v>N/A</v>
      </c>
      <c r="Z1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5" spans="1:26" x14ac:dyDescent="0.2">
      <c r="A175" t="str">
        <f>IF(DataTable[[#This Row],[Tm.]]="","N/A",DataTable[[#This Row],[Tm.]])</f>
        <v>N/A</v>
      </c>
      <c r="B175" t="str">
        <f>IF(DataTable[[#This Row],[Match Nr.]]="","N/A",DataTable[[#This Row],[Match Nr.]])</f>
        <v>N/A</v>
      </c>
      <c r="C1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5" t="str">
        <f>IF(AND(DataTable[[#This Row],[Successful Lo. G. S]]="",DataTable[[#This Row],[Successful Hi. G. S.]]=""),"N/A",DataTable[[#This Row],[Successful Lo. G. S]]*2+DataTable[[#This Row],[Successful Hi. G. S.]]*10)</f>
        <v>N/A</v>
      </c>
      <c r="H1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5" s="11" t="str">
        <f>IF(DataTable[[#This Row],[Lo. B. Successful Xings.]]="","N/A",SUM(ProcessedData[[#This Row],[Lo. B. Ti.]],DataTable[[#This Row],[Lo. B. Successful Xings.]]+1))</f>
        <v>N/A</v>
      </c>
      <c r="Z1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6" spans="1:26" x14ac:dyDescent="0.2">
      <c r="A176" t="str">
        <f>IF(DataTable[[#This Row],[Tm.]]="","N/A",DataTable[[#This Row],[Tm.]])</f>
        <v>N/A</v>
      </c>
      <c r="B176" t="str">
        <f>IF(DataTable[[#This Row],[Match Nr.]]="","N/A",DataTable[[#This Row],[Match Nr.]])</f>
        <v>N/A</v>
      </c>
      <c r="C1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6" t="str">
        <f>IF(AND(DataTable[[#This Row],[Successful Lo. G. S]]="",DataTable[[#This Row],[Successful Hi. G. S.]]=""),"N/A",DataTable[[#This Row],[Successful Lo. G. S]]*2+DataTable[[#This Row],[Successful Hi. G. S.]]*10)</f>
        <v>N/A</v>
      </c>
      <c r="H1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6" s="11" t="str">
        <f>IF(DataTable[[#This Row],[Lo. B. Successful Xings.]]="","N/A",SUM(ProcessedData[[#This Row],[Lo. B. Ti.]],DataTable[[#This Row],[Lo. B. Successful Xings.]]+1))</f>
        <v>N/A</v>
      </c>
      <c r="Z1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7" spans="1:26" x14ac:dyDescent="0.2">
      <c r="A177" t="str">
        <f>IF(DataTable[[#This Row],[Tm.]]="","N/A",DataTable[[#This Row],[Tm.]])</f>
        <v>N/A</v>
      </c>
      <c r="B177" t="str">
        <f>IF(DataTable[[#This Row],[Match Nr.]]="","N/A",DataTable[[#This Row],[Match Nr.]])</f>
        <v>N/A</v>
      </c>
      <c r="C1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7" t="str">
        <f>IF(AND(DataTable[[#This Row],[Successful Lo. G. S]]="",DataTable[[#This Row],[Successful Hi. G. S.]]=""),"N/A",DataTable[[#This Row],[Successful Lo. G. S]]*2+DataTable[[#This Row],[Successful Hi. G. S.]]*10)</f>
        <v>N/A</v>
      </c>
      <c r="H1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7" s="11" t="str">
        <f>IF(DataTable[[#This Row],[Lo. B. Successful Xings.]]="","N/A",SUM(ProcessedData[[#This Row],[Lo. B. Ti.]],DataTable[[#This Row],[Lo. B. Successful Xings.]]+1))</f>
        <v>N/A</v>
      </c>
      <c r="Z1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8" spans="1:26" x14ac:dyDescent="0.2">
      <c r="A178" t="str">
        <f>IF(DataTable[[#This Row],[Tm.]]="","N/A",DataTable[[#This Row],[Tm.]])</f>
        <v>N/A</v>
      </c>
      <c r="B178" t="str">
        <f>IF(DataTable[[#This Row],[Match Nr.]]="","N/A",DataTable[[#This Row],[Match Nr.]])</f>
        <v>N/A</v>
      </c>
      <c r="C1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8" t="str">
        <f>IF(AND(DataTable[[#This Row],[Successful Lo. G. S]]="",DataTable[[#This Row],[Successful Hi. G. S.]]=""),"N/A",DataTable[[#This Row],[Successful Lo. G. S]]*2+DataTable[[#This Row],[Successful Hi. G. S.]]*10)</f>
        <v>N/A</v>
      </c>
      <c r="H1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8" s="11" t="str">
        <f>IF(DataTable[[#This Row],[Lo. B. Successful Xings.]]="","N/A",SUM(ProcessedData[[#This Row],[Lo. B. Ti.]],DataTable[[#This Row],[Lo. B. Successful Xings.]]+1))</f>
        <v>N/A</v>
      </c>
      <c r="Z1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79" spans="1:26" x14ac:dyDescent="0.2">
      <c r="A179" t="str">
        <f>IF(DataTable[[#This Row],[Tm.]]="","N/A",DataTable[[#This Row],[Tm.]])</f>
        <v>N/A</v>
      </c>
      <c r="B179" t="str">
        <f>IF(DataTable[[#This Row],[Match Nr.]]="","N/A",DataTable[[#This Row],[Match Nr.]])</f>
        <v>N/A</v>
      </c>
      <c r="C1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79" t="str">
        <f>IF(AND(DataTable[[#This Row],[Successful Lo. G. S]]="",DataTable[[#This Row],[Successful Hi. G. S.]]=""),"N/A",DataTable[[#This Row],[Successful Lo. G. S]]*2+DataTable[[#This Row],[Successful Hi. G. S.]]*10)</f>
        <v>N/A</v>
      </c>
      <c r="H1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79" s="11" t="str">
        <f>IF(DataTable[[#This Row],[Lo. B. Successful Xings.]]="","N/A",SUM(ProcessedData[[#This Row],[Lo. B. Ti.]],DataTable[[#This Row],[Lo. B. Successful Xings.]]+1))</f>
        <v>N/A</v>
      </c>
      <c r="Z1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0" spans="1:26" x14ac:dyDescent="0.2">
      <c r="A180" t="str">
        <f>IF(DataTable[[#This Row],[Tm.]]="","N/A",DataTable[[#This Row],[Tm.]])</f>
        <v>N/A</v>
      </c>
      <c r="B180" t="str">
        <f>IF(DataTable[[#This Row],[Match Nr.]]="","N/A",DataTable[[#This Row],[Match Nr.]])</f>
        <v>N/A</v>
      </c>
      <c r="C1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0" t="str">
        <f>IF(AND(DataTable[[#This Row],[Successful Lo. G. S]]="",DataTable[[#This Row],[Successful Hi. G. S.]]=""),"N/A",DataTable[[#This Row],[Successful Lo. G. S]]*2+DataTable[[#This Row],[Successful Hi. G. S.]]*10)</f>
        <v>N/A</v>
      </c>
      <c r="H1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0" s="11" t="str">
        <f>IF(DataTable[[#This Row],[Lo. B. Successful Xings.]]="","N/A",SUM(ProcessedData[[#This Row],[Lo. B. Ti.]],DataTable[[#This Row],[Lo. B. Successful Xings.]]+1))</f>
        <v>N/A</v>
      </c>
      <c r="Z1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1" spans="1:26" x14ac:dyDescent="0.2">
      <c r="A181" t="str">
        <f>IF(DataTable[[#This Row],[Tm.]]="","N/A",DataTable[[#This Row],[Tm.]])</f>
        <v>N/A</v>
      </c>
      <c r="B181" t="str">
        <f>IF(DataTable[[#This Row],[Match Nr.]]="","N/A",DataTable[[#This Row],[Match Nr.]])</f>
        <v>N/A</v>
      </c>
      <c r="C1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1" t="str">
        <f>IF(AND(DataTable[[#This Row],[Successful Lo. G. S]]="",DataTable[[#This Row],[Successful Hi. G. S.]]=""),"N/A",DataTable[[#This Row],[Successful Lo. G. S]]*2+DataTable[[#This Row],[Successful Hi. G. S.]]*10)</f>
        <v>N/A</v>
      </c>
      <c r="H1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1" s="11" t="str">
        <f>IF(DataTable[[#This Row],[Lo. B. Successful Xings.]]="","N/A",SUM(ProcessedData[[#This Row],[Lo. B. Ti.]],DataTable[[#This Row],[Lo. B. Successful Xings.]]+1))</f>
        <v>N/A</v>
      </c>
      <c r="Z1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2" spans="1:26" x14ac:dyDescent="0.2">
      <c r="A182" t="str">
        <f>IF(DataTable[[#This Row],[Tm.]]="","N/A",DataTable[[#This Row],[Tm.]])</f>
        <v>N/A</v>
      </c>
      <c r="B182" t="str">
        <f>IF(DataTable[[#This Row],[Match Nr.]]="","N/A",DataTable[[#This Row],[Match Nr.]])</f>
        <v>N/A</v>
      </c>
      <c r="C1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2" t="str">
        <f>IF(AND(DataTable[[#This Row],[Successful Lo. G. S]]="",DataTable[[#This Row],[Successful Hi. G. S.]]=""),"N/A",DataTable[[#This Row],[Successful Lo. G. S]]*2+DataTable[[#This Row],[Successful Hi. G. S.]]*10)</f>
        <v>N/A</v>
      </c>
      <c r="H1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2" s="11" t="str">
        <f>IF(DataTable[[#This Row],[Lo. B. Successful Xings.]]="","N/A",SUM(ProcessedData[[#This Row],[Lo. B. Ti.]],DataTable[[#This Row],[Lo. B. Successful Xings.]]+1))</f>
        <v>N/A</v>
      </c>
      <c r="Z1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3" spans="1:26" x14ac:dyDescent="0.2">
      <c r="A183" t="str">
        <f>IF(DataTable[[#This Row],[Tm.]]="","N/A",DataTable[[#This Row],[Tm.]])</f>
        <v>N/A</v>
      </c>
      <c r="B183" t="str">
        <f>IF(DataTable[[#This Row],[Match Nr.]]="","N/A",DataTable[[#This Row],[Match Nr.]])</f>
        <v>N/A</v>
      </c>
      <c r="C1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3" t="str">
        <f>IF(AND(DataTable[[#This Row],[Successful Lo. G. S]]="",DataTable[[#This Row],[Successful Hi. G. S.]]=""),"N/A",DataTable[[#This Row],[Successful Lo. G. S]]*2+DataTable[[#This Row],[Successful Hi. G. S.]]*10)</f>
        <v>N/A</v>
      </c>
      <c r="H1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3" s="11" t="str">
        <f>IF(DataTable[[#This Row],[Lo. B. Successful Xings.]]="","N/A",SUM(ProcessedData[[#This Row],[Lo. B. Ti.]],DataTable[[#This Row],[Lo. B. Successful Xings.]]+1))</f>
        <v>N/A</v>
      </c>
      <c r="Z1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4" spans="1:26" x14ac:dyDescent="0.2">
      <c r="A184" t="str">
        <f>IF(DataTable[[#This Row],[Tm.]]="","N/A",DataTable[[#This Row],[Tm.]])</f>
        <v>N/A</v>
      </c>
      <c r="B184" t="str">
        <f>IF(DataTable[[#This Row],[Match Nr.]]="","N/A",DataTable[[#This Row],[Match Nr.]])</f>
        <v>N/A</v>
      </c>
      <c r="C1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4" t="str">
        <f>IF(AND(DataTable[[#This Row],[Successful Lo. G. S]]="",DataTable[[#This Row],[Successful Hi. G. S.]]=""),"N/A",DataTable[[#This Row],[Successful Lo. G. S]]*2+DataTable[[#This Row],[Successful Hi. G. S.]]*10)</f>
        <v>N/A</v>
      </c>
      <c r="H1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4" s="11" t="str">
        <f>IF(DataTable[[#This Row],[Lo. B. Successful Xings.]]="","N/A",SUM(ProcessedData[[#This Row],[Lo. B. Ti.]],DataTable[[#This Row],[Lo. B. Successful Xings.]]+1))</f>
        <v>N/A</v>
      </c>
      <c r="Z1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5" spans="1:26" x14ac:dyDescent="0.2">
      <c r="A185" t="str">
        <f>IF(DataTable[[#This Row],[Tm.]]="","N/A",DataTable[[#This Row],[Tm.]])</f>
        <v>N/A</v>
      </c>
      <c r="B185" t="str">
        <f>IF(DataTable[[#This Row],[Match Nr.]]="","N/A",DataTable[[#This Row],[Match Nr.]])</f>
        <v>N/A</v>
      </c>
      <c r="C1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5" t="str">
        <f>IF(AND(DataTable[[#This Row],[Successful Lo. G. S]]="",DataTable[[#This Row],[Successful Hi. G. S.]]=""),"N/A",DataTable[[#This Row],[Successful Lo. G. S]]*2+DataTable[[#This Row],[Successful Hi. G. S.]]*10)</f>
        <v>N/A</v>
      </c>
      <c r="H1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5" s="11" t="str">
        <f>IF(DataTable[[#This Row],[Lo. B. Successful Xings.]]="","N/A",SUM(ProcessedData[[#This Row],[Lo. B. Ti.]],DataTable[[#This Row],[Lo. B. Successful Xings.]]+1))</f>
        <v>N/A</v>
      </c>
      <c r="Z1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6" spans="1:26" x14ac:dyDescent="0.2">
      <c r="A186" t="str">
        <f>IF(DataTable[[#This Row],[Tm.]]="","N/A",DataTable[[#This Row],[Tm.]])</f>
        <v>N/A</v>
      </c>
      <c r="B186" t="str">
        <f>IF(DataTable[[#This Row],[Match Nr.]]="","N/A",DataTable[[#This Row],[Match Nr.]])</f>
        <v>N/A</v>
      </c>
      <c r="C1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6" t="str">
        <f>IF(AND(DataTable[[#This Row],[Successful Lo. G. S]]="",DataTable[[#This Row],[Successful Hi. G. S.]]=""),"N/A",DataTable[[#This Row],[Successful Lo. G. S]]*2+DataTable[[#This Row],[Successful Hi. G. S.]]*10)</f>
        <v>N/A</v>
      </c>
      <c r="H1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6" s="11" t="str">
        <f>IF(DataTable[[#This Row],[Lo. B. Successful Xings.]]="","N/A",SUM(ProcessedData[[#This Row],[Lo. B. Ti.]],DataTable[[#This Row],[Lo. B. Successful Xings.]]+1))</f>
        <v>N/A</v>
      </c>
      <c r="Z1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7" spans="1:26" x14ac:dyDescent="0.2">
      <c r="A187" t="str">
        <f>IF(DataTable[[#This Row],[Tm.]]="","N/A",DataTable[[#This Row],[Tm.]])</f>
        <v>N/A</v>
      </c>
      <c r="B187" t="str">
        <f>IF(DataTable[[#This Row],[Match Nr.]]="","N/A",DataTable[[#This Row],[Match Nr.]])</f>
        <v>N/A</v>
      </c>
      <c r="C1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7" t="str">
        <f>IF(AND(DataTable[[#This Row],[Successful Lo. G. S]]="",DataTable[[#This Row],[Successful Hi. G. S.]]=""),"N/A",DataTable[[#This Row],[Successful Lo. G. S]]*2+DataTable[[#This Row],[Successful Hi. G. S.]]*10)</f>
        <v>N/A</v>
      </c>
      <c r="H1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7" s="11" t="str">
        <f>IF(DataTable[[#This Row],[Lo. B. Successful Xings.]]="","N/A",SUM(ProcessedData[[#This Row],[Lo. B. Ti.]],DataTable[[#This Row],[Lo. B. Successful Xings.]]+1))</f>
        <v>N/A</v>
      </c>
      <c r="Z1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8" spans="1:26" x14ac:dyDescent="0.2">
      <c r="A188" t="str">
        <f>IF(DataTable[[#This Row],[Tm.]]="","N/A",DataTable[[#This Row],[Tm.]])</f>
        <v>N/A</v>
      </c>
      <c r="B188" t="str">
        <f>IF(DataTable[[#This Row],[Match Nr.]]="","N/A",DataTable[[#This Row],[Match Nr.]])</f>
        <v>N/A</v>
      </c>
      <c r="C1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8" t="str">
        <f>IF(AND(DataTable[[#This Row],[Successful Lo. G. S]]="",DataTable[[#This Row],[Successful Hi. G. S.]]=""),"N/A",DataTable[[#This Row],[Successful Lo. G. S]]*2+DataTable[[#This Row],[Successful Hi. G. S.]]*10)</f>
        <v>N/A</v>
      </c>
      <c r="H1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8" s="11" t="str">
        <f>IF(DataTable[[#This Row],[Lo. B. Successful Xings.]]="","N/A",SUM(ProcessedData[[#This Row],[Lo. B. Ti.]],DataTable[[#This Row],[Lo. B. Successful Xings.]]+1))</f>
        <v>N/A</v>
      </c>
      <c r="Z1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89" spans="1:26" x14ac:dyDescent="0.2">
      <c r="A189" t="str">
        <f>IF(DataTable[[#This Row],[Tm.]]="","N/A",DataTable[[#This Row],[Tm.]])</f>
        <v>N/A</v>
      </c>
      <c r="B189" t="str">
        <f>IF(DataTable[[#This Row],[Match Nr.]]="","N/A",DataTable[[#This Row],[Match Nr.]])</f>
        <v>N/A</v>
      </c>
      <c r="C1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89" t="str">
        <f>IF(AND(DataTable[[#This Row],[Successful Lo. G. S]]="",DataTable[[#This Row],[Successful Hi. G. S.]]=""),"N/A",DataTable[[#This Row],[Successful Lo. G. S]]*2+DataTable[[#This Row],[Successful Hi. G. S.]]*10)</f>
        <v>N/A</v>
      </c>
      <c r="H1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89" s="11" t="str">
        <f>IF(DataTable[[#This Row],[Lo. B. Successful Xings.]]="","N/A",SUM(ProcessedData[[#This Row],[Lo. B. Ti.]],DataTable[[#This Row],[Lo. B. Successful Xings.]]+1))</f>
        <v>N/A</v>
      </c>
      <c r="Z1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0" spans="1:26" x14ac:dyDescent="0.2">
      <c r="A190" t="str">
        <f>IF(DataTable[[#This Row],[Tm.]]="","N/A",DataTable[[#This Row],[Tm.]])</f>
        <v>N/A</v>
      </c>
      <c r="B190" t="str">
        <f>IF(DataTable[[#This Row],[Match Nr.]]="","N/A",DataTable[[#This Row],[Match Nr.]])</f>
        <v>N/A</v>
      </c>
      <c r="C1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0" t="str">
        <f>IF(AND(DataTable[[#This Row],[Successful Lo. G. S]]="",DataTable[[#This Row],[Successful Hi. G. S.]]=""),"N/A",DataTable[[#This Row],[Successful Lo. G. S]]*2+DataTable[[#This Row],[Successful Hi. G. S.]]*10)</f>
        <v>N/A</v>
      </c>
      <c r="H1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0" s="11" t="str">
        <f>IF(DataTable[[#This Row],[Lo. B. Successful Xings.]]="","N/A",SUM(ProcessedData[[#This Row],[Lo. B. Ti.]],DataTable[[#This Row],[Lo. B. Successful Xings.]]+1))</f>
        <v>N/A</v>
      </c>
      <c r="Z1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1" spans="1:26" x14ac:dyDescent="0.2">
      <c r="A191" t="str">
        <f>IF(DataTable[[#This Row],[Tm.]]="","N/A",DataTable[[#This Row],[Tm.]])</f>
        <v>N/A</v>
      </c>
      <c r="B191" t="str">
        <f>IF(DataTable[[#This Row],[Match Nr.]]="","N/A",DataTable[[#This Row],[Match Nr.]])</f>
        <v>N/A</v>
      </c>
      <c r="C1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1" t="str">
        <f>IF(AND(DataTable[[#This Row],[Successful Lo. G. S]]="",DataTable[[#This Row],[Successful Hi. G. S.]]=""),"N/A",DataTable[[#This Row],[Successful Lo. G. S]]*2+DataTable[[#This Row],[Successful Hi. G. S.]]*10)</f>
        <v>N/A</v>
      </c>
      <c r="H1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1" s="11" t="str">
        <f>IF(DataTable[[#This Row],[Lo. B. Successful Xings.]]="","N/A",SUM(ProcessedData[[#This Row],[Lo. B. Ti.]],DataTable[[#This Row],[Lo. B. Successful Xings.]]+1))</f>
        <v>N/A</v>
      </c>
      <c r="Z1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2" spans="1:26" x14ac:dyDescent="0.2">
      <c r="A192" t="str">
        <f>IF(DataTable[[#This Row],[Tm.]]="","N/A",DataTable[[#This Row],[Tm.]])</f>
        <v>N/A</v>
      </c>
      <c r="B192" t="str">
        <f>IF(DataTable[[#This Row],[Match Nr.]]="","N/A",DataTable[[#This Row],[Match Nr.]])</f>
        <v>N/A</v>
      </c>
      <c r="C1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2" t="str">
        <f>IF(AND(DataTable[[#This Row],[Successful Lo. G. S]]="",DataTable[[#This Row],[Successful Hi. G. S.]]=""),"N/A",DataTable[[#This Row],[Successful Lo. G. S]]*2+DataTable[[#This Row],[Successful Hi. G. S.]]*10)</f>
        <v>N/A</v>
      </c>
      <c r="H1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2" s="11" t="str">
        <f>IF(DataTable[[#This Row],[Lo. B. Successful Xings.]]="","N/A",SUM(ProcessedData[[#This Row],[Lo. B. Ti.]],DataTable[[#This Row],[Lo. B. Successful Xings.]]+1))</f>
        <v>N/A</v>
      </c>
      <c r="Z1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3" spans="1:26" x14ac:dyDescent="0.2">
      <c r="A193" t="str">
        <f>IF(DataTable[[#This Row],[Tm.]]="","N/A",DataTable[[#This Row],[Tm.]])</f>
        <v>N/A</v>
      </c>
      <c r="B193" t="str">
        <f>IF(DataTable[[#This Row],[Match Nr.]]="","N/A",DataTable[[#This Row],[Match Nr.]])</f>
        <v>N/A</v>
      </c>
      <c r="C1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3" t="str">
        <f>IF(AND(DataTable[[#This Row],[Successful Lo. G. S]]="",DataTable[[#This Row],[Successful Hi. G. S.]]=""),"N/A",DataTable[[#This Row],[Successful Lo. G. S]]*2+DataTable[[#This Row],[Successful Hi. G. S.]]*10)</f>
        <v>N/A</v>
      </c>
      <c r="H1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3" s="11" t="str">
        <f>IF(DataTable[[#This Row],[Lo. B. Successful Xings.]]="","N/A",SUM(ProcessedData[[#This Row],[Lo. B. Ti.]],DataTable[[#This Row],[Lo. B. Successful Xings.]]+1))</f>
        <v>N/A</v>
      </c>
      <c r="Z1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4" spans="1:26" x14ac:dyDescent="0.2">
      <c r="A194" t="str">
        <f>IF(DataTable[[#This Row],[Tm.]]="","N/A",DataTable[[#This Row],[Tm.]])</f>
        <v>N/A</v>
      </c>
      <c r="B194" t="str">
        <f>IF(DataTable[[#This Row],[Match Nr.]]="","N/A",DataTable[[#This Row],[Match Nr.]])</f>
        <v>N/A</v>
      </c>
      <c r="C1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4" t="str">
        <f>IF(AND(DataTable[[#This Row],[Successful Lo. G. S]]="",DataTable[[#This Row],[Successful Hi. G. S.]]=""),"N/A",DataTable[[#This Row],[Successful Lo. G. S]]*2+DataTable[[#This Row],[Successful Hi. G. S.]]*10)</f>
        <v>N/A</v>
      </c>
      <c r="H1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4" s="11" t="str">
        <f>IF(DataTable[[#This Row],[Lo. B. Successful Xings.]]="","N/A",SUM(ProcessedData[[#This Row],[Lo. B. Ti.]],DataTable[[#This Row],[Lo. B. Successful Xings.]]+1))</f>
        <v>N/A</v>
      </c>
      <c r="Z1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5" spans="1:26" x14ac:dyDescent="0.2">
      <c r="A195" t="str">
        <f>IF(DataTable[[#This Row],[Tm.]]="","N/A",DataTable[[#This Row],[Tm.]])</f>
        <v>N/A</v>
      </c>
      <c r="B195" t="str">
        <f>IF(DataTable[[#This Row],[Match Nr.]]="","N/A",DataTable[[#This Row],[Match Nr.]])</f>
        <v>N/A</v>
      </c>
      <c r="C1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5" t="str">
        <f>IF(AND(DataTable[[#This Row],[Successful Lo. G. S]]="",DataTable[[#This Row],[Successful Hi. G. S.]]=""),"N/A",DataTable[[#This Row],[Successful Lo. G. S]]*2+DataTable[[#This Row],[Successful Hi. G. S.]]*10)</f>
        <v>N/A</v>
      </c>
      <c r="H1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5" s="11" t="str">
        <f>IF(DataTable[[#This Row],[Lo. B. Successful Xings.]]="","N/A",SUM(ProcessedData[[#This Row],[Lo. B. Ti.]],DataTable[[#This Row],[Lo. B. Successful Xings.]]+1))</f>
        <v>N/A</v>
      </c>
      <c r="Z1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6" spans="1:26" x14ac:dyDescent="0.2">
      <c r="A196" t="str">
        <f>IF(DataTable[[#This Row],[Tm.]]="","N/A",DataTable[[#This Row],[Tm.]])</f>
        <v>N/A</v>
      </c>
      <c r="B196" t="str">
        <f>IF(DataTable[[#This Row],[Match Nr.]]="","N/A",DataTable[[#This Row],[Match Nr.]])</f>
        <v>N/A</v>
      </c>
      <c r="C1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6" t="str">
        <f>IF(AND(DataTable[[#This Row],[Successful Lo. G. S]]="",DataTable[[#This Row],[Successful Hi. G. S.]]=""),"N/A",DataTable[[#This Row],[Successful Lo. G. S]]*2+DataTable[[#This Row],[Successful Hi. G. S.]]*10)</f>
        <v>N/A</v>
      </c>
      <c r="H1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6" s="11" t="str">
        <f>IF(DataTable[[#This Row],[Lo. B. Successful Xings.]]="","N/A",SUM(ProcessedData[[#This Row],[Lo. B. Ti.]],DataTable[[#This Row],[Lo. B. Successful Xings.]]+1))</f>
        <v>N/A</v>
      </c>
      <c r="Z1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7" spans="1:26" x14ac:dyDescent="0.2">
      <c r="A197" t="str">
        <f>IF(DataTable[[#This Row],[Tm.]]="","N/A",DataTable[[#This Row],[Tm.]])</f>
        <v>N/A</v>
      </c>
      <c r="B197" t="str">
        <f>IF(DataTable[[#This Row],[Match Nr.]]="","N/A",DataTable[[#This Row],[Match Nr.]])</f>
        <v>N/A</v>
      </c>
      <c r="C1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7" t="str">
        <f>IF(AND(DataTable[[#This Row],[Successful Lo. G. S]]="",DataTable[[#This Row],[Successful Hi. G. S.]]=""),"N/A",DataTable[[#This Row],[Successful Lo. G. S]]*2+DataTable[[#This Row],[Successful Hi. G. S.]]*10)</f>
        <v>N/A</v>
      </c>
      <c r="H1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7" s="11" t="str">
        <f>IF(DataTable[[#This Row],[Lo. B. Successful Xings.]]="","N/A",SUM(ProcessedData[[#This Row],[Lo. B. Ti.]],DataTable[[#This Row],[Lo. B. Successful Xings.]]+1))</f>
        <v>N/A</v>
      </c>
      <c r="Z1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8" spans="1:26" x14ac:dyDescent="0.2">
      <c r="A198" t="str">
        <f>IF(DataTable[[#This Row],[Tm.]]="","N/A",DataTable[[#This Row],[Tm.]])</f>
        <v>N/A</v>
      </c>
      <c r="B198" t="str">
        <f>IF(DataTable[[#This Row],[Match Nr.]]="","N/A",DataTable[[#This Row],[Match Nr.]])</f>
        <v>N/A</v>
      </c>
      <c r="C1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8" t="str">
        <f>IF(AND(DataTable[[#This Row],[Successful Lo. G. S]]="",DataTable[[#This Row],[Successful Hi. G. S.]]=""),"N/A",DataTable[[#This Row],[Successful Lo. G. S]]*2+DataTable[[#This Row],[Successful Hi. G. S.]]*10)</f>
        <v>N/A</v>
      </c>
      <c r="H1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8" s="11" t="str">
        <f>IF(DataTable[[#This Row],[Lo. B. Successful Xings.]]="","N/A",SUM(ProcessedData[[#This Row],[Lo. B. Ti.]],DataTable[[#This Row],[Lo. B. Successful Xings.]]+1))</f>
        <v>N/A</v>
      </c>
      <c r="Z1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99" spans="1:26" x14ac:dyDescent="0.2">
      <c r="A199" t="str">
        <f>IF(DataTable[[#This Row],[Tm.]]="","N/A",DataTable[[#This Row],[Tm.]])</f>
        <v>N/A</v>
      </c>
      <c r="B199" t="str">
        <f>IF(DataTable[[#This Row],[Match Nr.]]="","N/A",DataTable[[#This Row],[Match Nr.]])</f>
        <v>N/A</v>
      </c>
      <c r="C1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99" t="str">
        <f>IF(AND(DataTable[[#This Row],[Successful Lo. G. S]]="",DataTable[[#This Row],[Successful Hi. G. S.]]=""),"N/A",DataTable[[#This Row],[Successful Lo. G. S]]*2+DataTable[[#This Row],[Successful Hi. G. S.]]*10)</f>
        <v>N/A</v>
      </c>
      <c r="H1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99" s="11" t="str">
        <f>IF(DataTable[[#This Row],[Lo. B. Successful Xings.]]="","N/A",SUM(ProcessedData[[#This Row],[Lo. B. Ti.]],DataTable[[#This Row],[Lo. B. Successful Xings.]]+1))</f>
        <v>N/A</v>
      </c>
      <c r="Z1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0" spans="1:26" x14ac:dyDescent="0.2">
      <c r="A200" t="str">
        <f>IF(DataTable[[#This Row],[Tm.]]="","N/A",DataTable[[#This Row],[Tm.]])</f>
        <v>N/A</v>
      </c>
      <c r="B200" t="str">
        <f>IF(DataTable[[#This Row],[Match Nr.]]="","N/A",DataTable[[#This Row],[Match Nr.]])</f>
        <v>N/A</v>
      </c>
      <c r="C2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0" t="str">
        <f>IF(AND(DataTable[[#This Row],[Successful Lo. G. S]]="",DataTable[[#This Row],[Successful Hi. G. S.]]=""),"N/A",DataTable[[#This Row],[Successful Lo. G. S]]*2+DataTable[[#This Row],[Successful Hi. G. S.]]*10)</f>
        <v>N/A</v>
      </c>
      <c r="H2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0" s="11" t="str">
        <f>IF(DataTable[[#This Row],[Lo. B. Successful Xings.]]="","N/A",SUM(ProcessedData[[#This Row],[Lo. B. Ti.]],DataTable[[#This Row],[Lo. B. Successful Xings.]]+1))</f>
        <v>N/A</v>
      </c>
      <c r="Z2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1" spans="1:26" x14ac:dyDescent="0.2">
      <c r="A201" t="str">
        <f>IF(DataTable[[#This Row],[Tm.]]="","N/A",DataTable[[#This Row],[Tm.]])</f>
        <v>N/A</v>
      </c>
      <c r="B201" t="str">
        <f>IF(DataTable[[#This Row],[Match Nr.]]="","N/A",DataTable[[#This Row],[Match Nr.]])</f>
        <v>N/A</v>
      </c>
      <c r="C2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1" t="str">
        <f>IF(AND(DataTable[[#This Row],[Successful Lo. G. S]]="",DataTable[[#This Row],[Successful Hi. G. S.]]=""),"N/A",DataTable[[#This Row],[Successful Lo. G. S]]*2+DataTable[[#This Row],[Successful Hi. G. S.]]*10)</f>
        <v>N/A</v>
      </c>
      <c r="H2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1" s="11" t="str">
        <f>IF(DataTable[[#This Row],[Lo. B. Successful Xings.]]="","N/A",SUM(ProcessedData[[#This Row],[Lo. B. Ti.]],DataTable[[#This Row],[Lo. B. Successful Xings.]]+1))</f>
        <v>N/A</v>
      </c>
      <c r="Z2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2" spans="1:26" x14ac:dyDescent="0.2">
      <c r="A202" t="str">
        <f>IF(DataTable[[#This Row],[Tm.]]="","N/A",DataTable[[#This Row],[Tm.]])</f>
        <v>N/A</v>
      </c>
      <c r="B202" t="str">
        <f>IF(DataTable[[#This Row],[Match Nr.]]="","N/A",DataTable[[#This Row],[Match Nr.]])</f>
        <v>N/A</v>
      </c>
      <c r="C2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2" t="str">
        <f>IF(AND(DataTable[[#This Row],[Successful Lo. G. S]]="",DataTable[[#This Row],[Successful Hi. G. S.]]=""),"N/A",DataTable[[#This Row],[Successful Lo. G. S]]*2+DataTable[[#This Row],[Successful Hi. G. S.]]*10)</f>
        <v>N/A</v>
      </c>
      <c r="H2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2" s="11" t="str">
        <f>IF(DataTable[[#This Row],[Lo. B. Successful Xings.]]="","N/A",SUM(ProcessedData[[#This Row],[Lo. B. Ti.]],DataTable[[#This Row],[Lo. B. Successful Xings.]]+1))</f>
        <v>N/A</v>
      </c>
      <c r="Z2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3" spans="1:26" x14ac:dyDescent="0.2">
      <c r="A203" t="str">
        <f>IF(DataTable[[#This Row],[Tm.]]="","N/A",DataTable[[#This Row],[Tm.]])</f>
        <v>N/A</v>
      </c>
      <c r="B203" t="str">
        <f>IF(DataTable[[#This Row],[Match Nr.]]="","N/A",DataTable[[#This Row],[Match Nr.]])</f>
        <v>N/A</v>
      </c>
      <c r="C2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3" t="str">
        <f>IF(AND(DataTable[[#This Row],[Successful Lo. G. S]]="",DataTable[[#This Row],[Successful Hi. G. S.]]=""),"N/A",DataTable[[#This Row],[Successful Lo. G. S]]*2+DataTable[[#This Row],[Successful Hi. G. S.]]*10)</f>
        <v>N/A</v>
      </c>
      <c r="H2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3" s="11" t="str">
        <f>IF(DataTable[[#This Row],[Lo. B. Successful Xings.]]="","N/A",SUM(ProcessedData[[#This Row],[Lo. B. Ti.]],DataTable[[#This Row],[Lo. B. Successful Xings.]]+1))</f>
        <v>N/A</v>
      </c>
      <c r="Z2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4" spans="1:26" x14ac:dyDescent="0.2">
      <c r="A204" t="str">
        <f>IF(DataTable[[#This Row],[Tm.]]="","N/A",DataTable[[#This Row],[Tm.]])</f>
        <v>N/A</v>
      </c>
      <c r="B204" t="str">
        <f>IF(DataTable[[#This Row],[Match Nr.]]="","N/A",DataTable[[#This Row],[Match Nr.]])</f>
        <v>N/A</v>
      </c>
      <c r="C2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4" t="str">
        <f>IF(AND(DataTable[[#This Row],[Successful Lo. G. S]]="",DataTable[[#This Row],[Successful Hi. G. S.]]=""),"N/A",DataTable[[#This Row],[Successful Lo. G. S]]*2+DataTable[[#This Row],[Successful Hi. G. S.]]*10)</f>
        <v>N/A</v>
      </c>
      <c r="H2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4" s="11" t="str">
        <f>IF(DataTable[[#This Row],[Lo. B. Successful Xings.]]="","N/A",SUM(ProcessedData[[#This Row],[Lo. B. Ti.]],DataTable[[#This Row],[Lo. B. Successful Xings.]]+1))</f>
        <v>N/A</v>
      </c>
      <c r="Z2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5" spans="1:26" x14ac:dyDescent="0.2">
      <c r="A205" t="str">
        <f>IF(DataTable[[#This Row],[Tm.]]="","N/A",DataTable[[#This Row],[Tm.]])</f>
        <v>N/A</v>
      </c>
      <c r="B205" t="str">
        <f>IF(DataTable[[#This Row],[Match Nr.]]="","N/A",DataTable[[#This Row],[Match Nr.]])</f>
        <v>N/A</v>
      </c>
      <c r="C2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5" t="str">
        <f>IF(AND(DataTable[[#This Row],[Successful Lo. G. S]]="",DataTable[[#This Row],[Successful Hi. G. S.]]=""),"N/A",DataTable[[#This Row],[Successful Lo. G. S]]*2+DataTable[[#This Row],[Successful Hi. G. S.]]*10)</f>
        <v>N/A</v>
      </c>
      <c r="H2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5" s="11" t="str">
        <f>IF(DataTable[[#This Row],[Lo. B. Successful Xings.]]="","N/A",SUM(ProcessedData[[#This Row],[Lo. B. Ti.]],DataTable[[#This Row],[Lo. B. Successful Xings.]]+1))</f>
        <v>N/A</v>
      </c>
      <c r="Z2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6" spans="1:26" x14ac:dyDescent="0.2">
      <c r="A206" t="str">
        <f>IF(DataTable[[#This Row],[Tm.]]="","N/A",DataTable[[#This Row],[Tm.]])</f>
        <v>N/A</v>
      </c>
      <c r="B206" t="str">
        <f>IF(DataTable[[#This Row],[Match Nr.]]="","N/A",DataTable[[#This Row],[Match Nr.]])</f>
        <v>N/A</v>
      </c>
      <c r="C2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6" t="str">
        <f>IF(AND(DataTable[[#This Row],[Successful Lo. G. S]]="",DataTable[[#This Row],[Successful Hi. G. S.]]=""),"N/A",DataTable[[#This Row],[Successful Lo. G. S]]*2+DataTable[[#This Row],[Successful Hi. G. S.]]*10)</f>
        <v>N/A</v>
      </c>
      <c r="H2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6" s="11" t="str">
        <f>IF(DataTable[[#This Row],[Lo. B. Successful Xings.]]="","N/A",SUM(ProcessedData[[#This Row],[Lo. B. Ti.]],DataTable[[#This Row],[Lo. B. Successful Xings.]]+1))</f>
        <v>N/A</v>
      </c>
      <c r="Z2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7" spans="1:26" x14ac:dyDescent="0.2">
      <c r="A207" t="str">
        <f>IF(DataTable[[#This Row],[Tm.]]="","N/A",DataTable[[#This Row],[Tm.]])</f>
        <v>N/A</v>
      </c>
      <c r="B207" t="str">
        <f>IF(DataTable[[#This Row],[Match Nr.]]="","N/A",DataTable[[#This Row],[Match Nr.]])</f>
        <v>N/A</v>
      </c>
      <c r="C2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7" t="str">
        <f>IF(AND(DataTable[[#This Row],[Successful Lo. G. S]]="",DataTable[[#This Row],[Successful Hi. G. S.]]=""),"N/A",DataTable[[#This Row],[Successful Lo. G. S]]*2+DataTable[[#This Row],[Successful Hi. G. S.]]*10)</f>
        <v>N/A</v>
      </c>
      <c r="H2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7" s="11" t="str">
        <f>IF(DataTable[[#This Row],[Lo. B. Successful Xings.]]="","N/A",SUM(ProcessedData[[#This Row],[Lo. B. Ti.]],DataTable[[#This Row],[Lo. B. Successful Xings.]]+1))</f>
        <v>N/A</v>
      </c>
      <c r="Z2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8" spans="1:26" x14ac:dyDescent="0.2">
      <c r="A208" t="str">
        <f>IF(DataTable[[#This Row],[Tm.]]="","N/A",DataTable[[#This Row],[Tm.]])</f>
        <v>N/A</v>
      </c>
      <c r="B208" t="str">
        <f>IF(DataTable[[#This Row],[Match Nr.]]="","N/A",DataTable[[#This Row],[Match Nr.]])</f>
        <v>N/A</v>
      </c>
      <c r="C2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8" t="str">
        <f>IF(AND(DataTable[[#This Row],[Successful Lo. G. S]]="",DataTable[[#This Row],[Successful Hi. G. S.]]=""),"N/A",DataTable[[#This Row],[Successful Lo. G. S]]*2+DataTable[[#This Row],[Successful Hi. G. S.]]*10)</f>
        <v>N/A</v>
      </c>
      <c r="H2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8" s="11" t="str">
        <f>IF(DataTable[[#This Row],[Lo. B. Successful Xings.]]="","N/A",SUM(ProcessedData[[#This Row],[Lo. B. Ti.]],DataTable[[#This Row],[Lo. B. Successful Xings.]]+1))</f>
        <v>N/A</v>
      </c>
      <c r="Z2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09" spans="1:26" x14ac:dyDescent="0.2">
      <c r="A209" t="str">
        <f>IF(DataTable[[#This Row],[Tm.]]="","N/A",DataTable[[#This Row],[Tm.]])</f>
        <v>N/A</v>
      </c>
      <c r="B209" t="str">
        <f>IF(DataTable[[#This Row],[Match Nr.]]="","N/A",DataTable[[#This Row],[Match Nr.]])</f>
        <v>N/A</v>
      </c>
      <c r="C2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09" t="str">
        <f>IF(AND(DataTable[[#This Row],[Successful Lo. G. S]]="",DataTable[[#This Row],[Successful Hi. G. S.]]=""),"N/A",DataTable[[#This Row],[Successful Lo. G. S]]*2+DataTable[[#This Row],[Successful Hi. G. S.]]*10)</f>
        <v>N/A</v>
      </c>
      <c r="H2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09" s="11" t="str">
        <f>IF(DataTable[[#This Row],[Lo. B. Successful Xings.]]="","N/A",SUM(ProcessedData[[#This Row],[Lo. B. Ti.]],DataTable[[#This Row],[Lo. B. Successful Xings.]]+1))</f>
        <v>N/A</v>
      </c>
      <c r="Z2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0" spans="1:26" x14ac:dyDescent="0.2">
      <c r="A210" t="str">
        <f>IF(DataTable[[#This Row],[Tm.]]="","N/A",DataTable[[#This Row],[Tm.]])</f>
        <v>N/A</v>
      </c>
      <c r="B210" t="str">
        <f>IF(DataTable[[#This Row],[Match Nr.]]="","N/A",DataTable[[#This Row],[Match Nr.]])</f>
        <v>N/A</v>
      </c>
      <c r="C2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0" t="str">
        <f>IF(AND(DataTable[[#This Row],[Successful Lo. G. S]]="",DataTable[[#This Row],[Successful Hi. G. S.]]=""),"N/A",DataTable[[#This Row],[Successful Lo. G. S]]*2+DataTable[[#This Row],[Successful Hi. G. S.]]*10)</f>
        <v>N/A</v>
      </c>
      <c r="H2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0" s="11" t="str">
        <f>IF(DataTable[[#This Row],[Lo. B. Successful Xings.]]="","N/A",SUM(ProcessedData[[#This Row],[Lo. B. Ti.]],DataTable[[#This Row],[Lo. B. Successful Xings.]]+1))</f>
        <v>N/A</v>
      </c>
      <c r="Z2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1" spans="1:26" x14ac:dyDescent="0.2">
      <c r="A211" t="str">
        <f>IF(DataTable[[#This Row],[Tm.]]="","N/A",DataTable[[#This Row],[Tm.]])</f>
        <v>N/A</v>
      </c>
      <c r="B211" t="str">
        <f>IF(DataTable[[#This Row],[Match Nr.]]="","N/A",DataTable[[#This Row],[Match Nr.]])</f>
        <v>N/A</v>
      </c>
      <c r="C2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1" t="str">
        <f>IF(AND(DataTable[[#This Row],[Successful Lo. G. S]]="",DataTable[[#This Row],[Successful Hi. G. S.]]=""),"N/A",DataTable[[#This Row],[Successful Lo. G. S]]*2+DataTable[[#This Row],[Successful Hi. G. S.]]*10)</f>
        <v>N/A</v>
      </c>
      <c r="H2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1" s="11" t="str">
        <f>IF(DataTable[[#This Row],[Lo. B. Successful Xings.]]="","N/A",SUM(ProcessedData[[#This Row],[Lo. B. Ti.]],DataTable[[#This Row],[Lo. B. Successful Xings.]]+1))</f>
        <v>N/A</v>
      </c>
      <c r="Z2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2" spans="1:26" x14ac:dyDescent="0.2">
      <c r="A212" t="str">
        <f>IF(DataTable[[#This Row],[Tm.]]="","N/A",DataTable[[#This Row],[Tm.]])</f>
        <v>N/A</v>
      </c>
      <c r="B212" t="str">
        <f>IF(DataTable[[#This Row],[Match Nr.]]="","N/A",DataTable[[#This Row],[Match Nr.]])</f>
        <v>N/A</v>
      </c>
      <c r="C2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2" t="str">
        <f>IF(AND(DataTable[[#This Row],[Successful Lo. G. S]]="",DataTable[[#This Row],[Successful Hi. G. S.]]=""),"N/A",DataTable[[#This Row],[Successful Lo. G. S]]*2+DataTable[[#This Row],[Successful Hi. G. S.]]*10)</f>
        <v>N/A</v>
      </c>
      <c r="H2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2" s="11" t="str">
        <f>IF(DataTable[[#This Row],[Lo. B. Successful Xings.]]="","N/A",SUM(ProcessedData[[#This Row],[Lo. B. Ti.]],DataTable[[#This Row],[Lo. B. Successful Xings.]]+1))</f>
        <v>N/A</v>
      </c>
      <c r="Z2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3" spans="1:26" x14ac:dyDescent="0.2">
      <c r="A213" t="str">
        <f>IF(DataTable[[#This Row],[Tm.]]="","N/A",DataTable[[#This Row],[Tm.]])</f>
        <v>N/A</v>
      </c>
      <c r="B213" t="str">
        <f>IF(DataTable[[#This Row],[Match Nr.]]="","N/A",DataTable[[#This Row],[Match Nr.]])</f>
        <v>N/A</v>
      </c>
      <c r="C2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3" t="str">
        <f>IF(AND(DataTable[[#This Row],[Successful Lo. G. S]]="",DataTable[[#This Row],[Successful Hi. G. S.]]=""),"N/A",DataTable[[#This Row],[Successful Lo. G. S]]*2+DataTable[[#This Row],[Successful Hi. G. S.]]*10)</f>
        <v>N/A</v>
      </c>
      <c r="H2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3" s="11" t="str">
        <f>IF(DataTable[[#This Row],[Lo. B. Successful Xings.]]="","N/A",SUM(ProcessedData[[#This Row],[Lo. B. Ti.]],DataTable[[#This Row],[Lo. B. Successful Xings.]]+1))</f>
        <v>N/A</v>
      </c>
      <c r="Z2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4" spans="1:26" x14ac:dyDescent="0.2">
      <c r="A214" t="str">
        <f>IF(DataTable[[#This Row],[Tm.]]="","N/A",DataTable[[#This Row],[Tm.]])</f>
        <v>N/A</v>
      </c>
      <c r="B214" t="str">
        <f>IF(DataTable[[#This Row],[Match Nr.]]="","N/A",DataTable[[#This Row],[Match Nr.]])</f>
        <v>N/A</v>
      </c>
      <c r="C2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4" t="str">
        <f>IF(AND(DataTable[[#This Row],[Successful Lo. G. S]]="",DataTable[[#This Row],[Successful Hi. G. S.]]=""),"N/A",DataTable[[#This Row],[Successful Lo. G. S]]*2+DataTable[[#This Row],[Successful Hi. G. S.]]*10)</f>
        <v>N/A</v>
      </c>
      <c r="H2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4" s="11" t="str">
        <f>IF(DataTable[[#This Row],[Lo. B. Successful Xings.]]="","N/A",SUM(ProcessedData[[#This Row],[Lo. B. Ti.]],DataTable[[#This Row],[Lo. B. Successful Xings.]]+1))</f>
        <v>N/A</v>
      </c>
      <c r="Z2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5" spans="1:26" x14ac:dyDescent="0.2">
      <c r="A215" t="str">
        <f>IF(DataTable[[#This Row],[Tm.]]="","N/A",DataTable[[#This Row],[Tm.]])</f>
        <v>N/A</v>
      </c>
      <c r="B215" t="str">
        <f>IF(DataTable[[#This Row],[Match Nr.]]="","N/A",DataTable[[#This Row],[Match Nr.]])</f>
        <v>N/A</v>
      </c>
      <c r="C2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5" t="str">
        <f>IF(AND(DataTable[[#This Row],[Successful Lo. G. S]]="",DataTable[[#This Row],[Successful Hi. G. S.]]=""),"N/A",DataTable[[#This Row],[Successful Lo. G. S]]*2+DataTable[[#This Row],[Successful Hi. G. S.]]*10)</f>
        <v>N/A</v>
      </c>
      <c r="H2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5" s="11" t="str">
        <f>IF(DataTable[[#This Row],[Lo. B. Successful Xings.]]="","N/A",SUM(ProcessedData[[#This Row],[Lo. B. Ti.]],DataTable[[#This Row],[Lo. B. Successful Xings.]]+1))</f>
        <v>N/A</v>
      </c>
      <c r="Z2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6" spans="1:26" x14ac:dyDescent="0.2">
      <c r="A216" t="str">
        <f>IF(DataTable[[#This Row],[Tm.]]="","N/A",DataTable[[#This Row],[Tm.]])</f>
        <v>N/A</v>
      </c>
      <c r="B216" t="str">
        <f>IF(DataTable[[#This Row],[Match Nr.]]="","N/A",DataTable[[#This Row],[Match Nr.]])</f>
        <v>N/A</v>
      </c>
      <c r="C2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6" t="str">
        <f>IF(AND(DataTable[[#This Row],[Successful Lo. G. S]]="",DataTable[[#This Row],[Successful Hi. G. S.]]=""),"N/A",DataTable[[#This Row],[Successful Lo. G. S]]*2+DataTable[[#This Row],[Successful Hi. G. S.]]*10)</f>
        <v>N/A</v>
      </c>
      <c r="H2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6" s="11" t="str">
        <f>IF(DataTable[[#This Row],[Lo. B. Successful Xings.]]="","N/A",SUM(ProcessedData[[#This Row],[Lo. B. Ti.]],DataTable[[#This Row],[Lo. B. Successful Xings.]]+1))</f>
        <v>N/A</v>
      </c>
      <c r="Z2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7" spans="1:26" x14ac:dyDescent="0.2">
      <c r="A217" t="str">
        <f>IF(DataTable[[#This Row],[Tm.]]="","N/A",DataTable[[#This Row],[Tm.]])</f>
        <v>N/A</v>
      </c>
      <c r="B217" t="str">
        <f>IF(DataTable[[#This Row],[Match Nr.]]="","N/A",DataTable[[#This Row],[Match Nr.]])</f>
        <v>N/A</v>
      </c>
      <c r="C2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7" t="str">
        <f>IF(AND(DataTable[[#This Row],[Successful Lo. G. S]]="",DataTable[[#This Row],[Successful Hi. G. S.]]=""),"N/A",DataTable[[#This Row],[Successful Lo. G. S]]*2+DataTable[[#This Row],[Successful Hi. G. S.]]*10)</f>
        <v>N/A</v>
      </c>
      <c r="H2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7" s="11" t="str">
        <f>IF(DataTable[[#This Row],[Lo. B. Successful Xings.]]="","N/A",SUM(ProcessedData[[#This Row],[Lo. B. Ti.]],DataTable[[#This Row],[Lo. B. Successful Xings.]]+1))</f>
        <v>N/A</v>
      </c>
      <c r="Z2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8" spans="1:26" x14ac:dyDescent="0.2">
      <c r="A218" t="str">
        <f>IF(DataTable[[#This Row],[Tm.]]="","N/A",DataTable[[#This Row],[Tm.]])</f>
        <v>N/A</v>
      </c>
      <c r="B218" t="str">
        <f>IF(DataTable[[#This Row],[Match Nr.]]="","N/A",DataTable[[#This Row],[Match Nr.]])</f>
        <v>N/A</v>
      </c>
      <c r="C2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8" t="str">
        <f>IF(AND(DataTable[[#This Row],[Successful Lo. G. S]]="",DataTable[[#This Row],[Successful Hi. G. S.]]=""),"N/A",DataTable[[#This Row],[Successful Lo. G. S]]*2+DataTable[[#This Row],[Successful Hi. G. S.]]*10)</f>
        <v>N/A</v>
      </c>
      <c r="H2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8" s="11" t="str">
        <f>IF(DataTable[[#This Row],[Lo. B. Successful Xings.]]="","N/A",SUM(ProcessedData[[#This Row],[Lo. B. Ti.]],DataTable[[#This Row],[Lo. B. Successful Xings.]]+1))</f>
        <v>N/A</v>
      </c>
      <c r="Z2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19" spans="1:26" x14ac:dyDescent="0.2">
      <c r="A219" t="str">
        <f>IF(DataTable[[#This Row],[Tm.]]="","N/A",DataTable[[#This Row],[Tm.]])</f>
        <v>N/A</v>
      </c>
      <c r="B219" t="str">
        <f>IF(DataTable[[#This Row],[Match Nr.]]="","N/A",DataTable[[#This Row],[Match Nr.]])</f>
        <v>N/A</v>
      </c>
      <c r="C2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19" t="str">
        <f>IF(AND(DataTable[[#This Row],[Successful Lo. G. S]]="",DataTable[[#This Row],[Successful Hi. G. S.]]=""),"N/A",DataTable[[#This Row],[Successful Lo. G. S]]*2+DataTable[[#This Row],[Successful Hi. G. S.]]*10)</f>
        <v>N/A</v>
      </c>
      <c r="H2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19" s="11" t="str">
        <f>IF(DataTable[[#This Row],[Lo. B. Successful Xings.]]="","N/A",SUM(ProcessedData[[#This Row],[Lo. B. Ti.]],DataTable[[#This Row],[Lo. B. Successful Xings.]]+1))</f>
        <v>N/A</v>
      </c>
      <c r="Z2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0" spans="1:26" x14ac:dyDescent="0.2">
      <c r="A220" t="str">
        <f>IF(DataTable[[#This Row],[Tm.]]="","N/A",DataTable[[#This Row],[Tm.]])</f>
        <v>N/A</v>
      </c>
      <c r="B220" t="str">
        <f>IF(DataTable[[#This Row],[Match Nr.]]="","N/A",DataTable[[#This Row],[Match Nr.]])</f>
        <v>N/A</v>
      </c>
      <c r="C2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0" t="str">
        <f>IF(AND(DataTable[[#This Row],[Successful Lo. G. S]]="",DataTable[[#This Row],[Successful Hi. G. S.]]=""),"N/A",DataTable[[#This Row],[Successful Lo. G. S]]*2+DataTable[[#This Row],[Successful Hi. G. S.]]*10)</f>
        <v>N/A</v>
      </c>
      <c r="H2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0" s="11" t="str">
        <f>IF(DataTable[[#This Row],[Lo. B. Successful Xings.]]="","N/A",SUM(ProcessedData[[#This Row],[Lo. B. Ti.]],DataTable[[#This Row],[Lo. B. Successful Xings.]]+1))</f>
        <v>N/A</v>
      </c>
      <c r="Z2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1" spans="1:26" x14ac:dyDescent="0.2">
      <c r="A221" t="str">
        <f>IF(DataTable[[#This Row],[Tm.]]="","N/A",DataTable[[#This Row],[Tm.]])</f>
        <v>N/A</v>
      </c>
      <c r="B221" t="str">
        <f>IF(DataTable[[#This Row],[Match Nr.]]="","N/A",DataTable[[#This Row],[Match Nr.]])</f>
        <v>N/A</v>
      </c>
      <c r="C2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1" t="str">
        <f>IF(AND(DataTable[[#This Row],[Successful Lo. G. S]]="",DataTable[[#This Row],[Successful Hi. G. S.]]=""),"N/A",DataTable[[#This Row],[Successful Lo. G. S]]*2+DataTable[[#This Row],[Successful Hi. G. S.]]*10)</f>
        <v>N/A</v>
      </c>
      <c r="H2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1" s="11" t="str">
        <f>IF(DataTable[[#This Row],[Lo. B. Successful Xings.]]="","N/A",SUM(ProcessedData[[#This Row],[Lo. B. Ti.]],DataTable[[#This Row],[Lo. B. Successful Xings.]]+1))</f>
        <v>N/A</v>
      </c>
      <c r="Z2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2" spans="1:26" x14ac:dyDescent="0.2">
      <c r="A222" t="str">
        <f>IF(DataTable[[#This Row],[Tm.]]="","N/A",DataTable[[#This Row],[Tm.]])</f>
        <v>N/A</v>
      </c>
      <c r="B222" t="str">
        <f>IF(DataTable[[#This Row],[Match Nr.]]="","N/A",DataTable[[#This Row],[Match Nr.]])</f>
        <v>N/A</v>
      </c>
      <c r="C2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2" t="str">
        <f>IF(AND(DataTable[[#This Row],[Successful Lo. G. S]]="",DataTable[[#This Row],[Successful Hi. G. S.]]=""),"N/A",DataTable[[#This Row],[Successful Lo. G. S]]*2+DataTable[[#This Row],[Successful Hi. G. S.]]*10)</f>
        <v>N/A</v>
      </c>
      <c r="H2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2" s="11" t="str">
        <f>IF(DataTable[[#This Row],[Lo. B. Successful Xings.]]="","N/A",SUM(ProcessedData[[#This Row],[Lo. B. Ti.]],DataTable[[#This Row],[Lo. B. Successful Xings.]]+1))</f>
        <v>N/A</v>
      </c>
      <c r="Z2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3" spans="1:26" x14ac:dyDescent="0.2">
      <c r="A223" t="str">
        <f>IF(DataTable[[#This Row],[Tm.]]="","N/A",DataTable[[#This Row],[Tm.]])</f>
        <v>N/A</v>
      </c>
      <c r="B223" t="str">
        <f>IF(DataTable[[#This Row],[Match Nr.]]="","N/A",DataTable[[#This Row],[Match Nr.]])</f>
        <v>N/A</v>
      </c>
      <c r="C2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3" t="str">
        <f>IF(AND(DataTable[[#This Row],[Successful Lo. G. S]]="",DataTable[[#This Row],[Successful Hi. G. S.]]=""),"N/A",DataTable[[#This Row],[Successful Lo. G. S]]*2+DataTable[[#This Row],[Successful Hi. G. S.]]*10)</f>
        <v>N/A</v>
      </c>
      <c r="H2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3" s="11" t="str">
        <f>IF(DataTable[[#This Row],[Lo. B. Successful Xings.]]="","N/A",SUM(ProcessedData[[#This Row],[Lo. B. Ti.]],DataTable[[#This Row],[Lo. B. Successful Xings.]]+1))</f>
        <v>N/A</v>
      </c>
      <c r="Z2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4" spans="1:26" x14ac:dyDescent="0.2">
      <c r="A224" t="str">
        <f>IF(DataTable[[#This Row],[Tm.]]="","N/A",DataTable[[#This Row],[Tm.]])</f>
        <v>N/A</v>
      </c>
      <c r="B224" t="str">
        <f>IF(DataTable[[#This Row],[Match Nr.]]="","N/A",DataTable[[#This Row],[Match Nr.]])</f>
        <v>N/A</v>
      </c>
      <c r="C2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4" t="str">
        <f>IF(AND(DataTable[[#This Row],[Successful Lo. G. S]]="",DataTable[[#This Row],[Successful Hi. G. S.]]=""),"N/A",DataTable[[#This Row],[Successful Lo. G. S]]*2+DataTable[[#This Row],[Successful Hi. G. S.]]*10)</f>
        <v>N/A</v>
      </c>
      <c r="H2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4" s="11" t="str">
        <f>IF(DataTable[[#This Row],[Lo. B. Successful Xings.]]="","N/A",SUM(ProcessedData[[#This Row],[Lo. B. Ti.]],DataTable[[#This Row],[Lo. B. Successful Xings.]]+1))</f>
        <v>N/A</v>
      </c>
      <c r="Z2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5" spans="1:26" x14ac:dyDescent="0.2">
      <c r="A225" t="str">
        <f>IF(DataTable[[#This Row],[Tm.]]="","N/A",DataTable[[#This Row],[Tm.]])</f>
        <v>N/A</v>
      </c>
      <c r="B225" t="str">
        <f>IF(DataTable[[#This Row],[Match Nr.]]="","N/A",DataTable[[#This Row],[Match Nr.]])</f>
        <v>N/A</v>
      </c>
      <c r="C2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5" t="str">
        <f>IF(AND(DataTable[[#This Row],[Successful Lo. G. S]]="",DataTable[[#This Row],[Successful Hi. G. S.]]=""),"N/A",DataTable[[#This Row],[Successful Lo. G. S]]*2+DataTable[[#This Row],[Successful Hi. G. S.]]*10)</f>
        <v>N/A</v>
      </c>
      <c r="H2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5" s="11" t="str">
        <f>IF(DataTable[[#This Row],[Lo. B. Successful Xings.]]="","N/A",SUM(ProcessedData[[#This Row],[Lo. B. Ti.]],DataTable[[#This Row],[Lo. B. Successful Xings.]]+1))</f>
        <v>N/A</v>
      </c>
      <c r="Z2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6" spans="1:26" x14ac:dyDescent="0.2">
      <c r="A226" t="str">
        <f>IF(DataTable[[#This Row],[Tm.]]="","N/A",DataTable[[#This Row],[Tm.]])</f>
        <v>N/A</v>
      </c>
      <c r="B226" t="str">
        <f>IF(DataTable[[#This Row],[Match Nr.]]="","N/A",DataTable[[#This Row],[Match Nr.]])</f>
        <v>N/A</v>
      </c>
      <c r="C2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6" t="str">
        <f>IF(AND(DataTable[[#This Row],[Successful Lo. G. S]]="",DataTable[[#This Row],[Successful Hi. G. S.]]=""),"N/A",DataTable[[#This Row],[Successful Lo. G. S]]*2+DataTable[[#This Row],[Successful Hi. G. S.]]*10)</f>
        <v>N/A</v>
      </c>
      <c r="H2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6" s="11" t="str">
        <f>IF(DataTable[[#This Row],[Lo. B. Successful Xings.]]="","N/A",SUM(ProcessedData[[#This Row],[Lo. B. Ti.]],DataTable[[#This Row],[Lo. B. Successful Xings.]]+1))</f>
        <v>N/A</v>
      </c>
      <c r="Z2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7" spans="1:26" x14ac:dyDescent="0.2">
      <c r="A227" t="str">
        <f>IF(DataTable[[#This Row],[Tm.]]="","N/A",DataTable[[#This Row],[Tm.]])</f>
        <v>N/A</v>
      </c>
      <c r="B227" t="str">
        <f>IF(DataTable[[#This Row],[Match Nr.]]="","N/A",DataTable[[#This Row],[Match Nr.]])</f>
        <v>N/A</v>
      </c>
      <c r="C2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7" t="str">
        <f>IF(AND(DataTable[[#This Row],[Successful Lo. G. S]]="",DataTable[[#This Row],[Successful Hi. G. S.]]=""),"N/A",DataTable[[#This Row],[Successful Lo. G. S]]*2+DataTable[[#This Row],[Successful Hi. G. S.]]*10)</f>
        <v>N/A</v>
      </c>
      <c r="H2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7" s="11" t="str">
        <f>IF(DataTable[[#This Row],[Lo. B. Successful Xings.]]="","N/A",SUM(ProcessedData[[#This Row],[Lo. B. Ti.]],DataTable[[#This Row],[Lo. B. Successful Xings.]]+1))</f>
        <v>N/A</v>
      </c>
      <c r="Z2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8" spans="1:26" x14ac:dyDescent="0.2">
      <c r="A228" t="str">
        <f>IF(DataTable[[#This Row],[Tm.]]="","N/A",DataTable[[#This Row],[Tm.]])</f>
        <v>N/A</v>
      </c>
      <c r="B228" t="str">
        <f>IF(DataTable[[#This Row],[Match Nr.]]="","N/A",DataTable[[#This Row],[Match Nr.]])</f>
        <v>N/A</v>
      </c>
      <c r="C2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8" t="str">
        <f>IF(AND(DataTable[[#This Row],[Successful Lo. G. S]]="",DataTable[[#This Row],[Successful Hi. G. S.]]=""),"N/A",DataTable[[#This Row],[Successful Lo. G. S]]*2+DataTable[[#This Row],[Successful Hi. G. S.]]*10)</f>
        <v>N/A</v>
      </c>
      <c r="H2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8" s="11" t="str">
        <f>IF(DataTable[[#This Row],[Lo. B. Successful Xings.]]="","N/A",SUM(ProcessedData[[#This Row],[Lo. B. Ti.]],DataTable[[#This Row],[Lo. B. Successful Xings.]]+1))</f>
        <v>N/A</v>
      </c>
      <c r="Z2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29" spans="1:26" x14ac:dyDescent="0.2">
      <c r="A229" t="str">
        <f>IF(DataTable[[#This Row],[Tm.]]="","N/A",DataTable[[#This Row],[Tm.]])</f>
        <v>N/A</v>
      </c>
      <c r="B229" t="str">
        <f>IF(DataTable[[#This Row],[Match Nr.]]="","N/A",DataTable[[#This Row],[Match Nr.]])</f>
        <v>N/A</v>
      </c>
      <c r="C2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29" t="str">
        <f>IF(AND(DataTable[[#This Row],[Successful Lo. G. S]]="",DataTable[[#This Row],[Successful Hi. G. S.]]=""),"N/A",DataTable[[#This Row],[Successful Lo. G. S]]*2+DataTable[[#This Row],[Successful Hi. G. S.]]*10)</f>
        <v>N/A</v>
      </c>
      <c r="H2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29" s="11" t="str">
        <f>IF(DataTable[[#This Row],[Lo. B. Successful Xings.]]="","N/A",SUM(ProcessedData[[#This Row],[Lo. B. Ti.]],DataTable[[#This Row],[Lo. B. Successful Xings.]]+1))</f>
        <v>N/A</v>
      </c>
      <c r="Z2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0" spans="1:26" x14ac:dyDescent="0.2">
      <c r="A230" t="str">
        <f>IF(DataTable[[#This Row],[Tm.]]="","N/A",DataTable[[#This Row],[Tm.]])</f>
        <v>N/A</v>
      </c>
      <c r="B230" t="str">
        <f>IF(DataTable[[#This Row],[Match Nr.]]="","N/A",DataTable[[#This Row],[Match Nr.]])</f>
        <v>N/A</v>
      </c>
      <c r="C2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0" t="str">
        <f>IF(AND(DataTable[[#This Row],[Successful Lo. G. S]]="",DataTable[[#This Row],[Successful Hi. G. S.]]=""),"N/A",DataTable[[#This Row],[Successful Lo. G. S]]*2+DataTable[[#This Row],[Successful Hi. G. S.]]*10)</f>
        <v>N/A</v>
      </c>
      <c r="H2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0" s="11" t="str">
        <f>IF(DataTable[[#This Row],[Lo. B. Successful Xings.]]="","N/A",SUM(ProcessedData[[#This Row],[Lo. B. Ti.]],DataTable[[#This Row],[Lo. B. Successful Xings.]]+1))</f>
        <v>N/A</v>
      </c>
      <c r="Z2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1" spans="1:26" x14ac:dyDescent="0.2">
      <c r="A231" t="str">
        <f>IF(DataTable[[#This Row],[Tm.]]="","N/A",DataTable[[#This Row],[Tm.]])</f>
        <v>N/A</v>
      </c>
      <c r="B231" t="str">
        <f>IF(DataTable[[#This Row],[Match Nr.]]="","N/A",DataTable[[#This Row],[Match Nr.]])</f>
        <v>N/A</v>
      </c>
      <c r="C2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1" t="str">
        <f>IF(AND(DataTable[[#This Row],[Successful Lo. G. S]]="",DataTable[[#This Row],[Successful Hi. G. S.]]=""),"N/A",DataTable[[#This Row],[Successful Lo. G. S]]*2+DataTable[[#This Row],[Successful Hi. G. S.]]*10)</f>
        <v>N/A</v>
      </c>
      <c r="H2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1" s="11" t="str">
        <f>IF(DataTable[[#This Row],[Lo. B. Successful Xings.]]="","N/A",SUM(ProcessedData[[#This Row],[Lo. B. Ti.]],DataTable[[#This Row],[Lo. B. Successful Xings.]]+1))</f>
        <v>N/A</v>
      </c>
      <c r="Z2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2" spans="1:26" x14ac:dyDescent="0.2">
      <c r="A232" t="str">
        <f>IF(DataTable[[#This Row],[Tm.]]="","N/A",DataTable[[#This Row],[Tm.]])</f>
        <v>N/A</v>
      </c>
      <c r="B232" t="str">
        <f>IF(DataTable[[#This Row],[Match Nr.]]="","N/A",DataTable[[#This Row],[Match Nr.]])</f>
        <v>N/A</v>
      </c>
      <c r="C2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2" t="str">
        <f>IF(AND(DataTable[[#This Row],[Successful Lo. G. S]]="",DataTable[[#This Row],[Successful Hi. G. S.]]=""),"N/A",DataTable[[#This Row],[Successful Lo. G. S]]*2+DataTable[[#This Row],[Successful Hi. G. S.]]*10)</f>
        <v>N/A</v>
      </c>
      <c r="H2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2" s="11" t="str">
        <f>IF(DataTable[[#This Row],[Lo. B. Successful Xings.]]="","N/A",SUM(ProcessedData[[#This Row],[Lo. B. Ti.]],DataTable[[#This Row],[Lo. B. Successful Xings.]]+1))</f>
        <v>N/A</v>
      </c>
      <c r="Z2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3" spans="1:26" x14ac:dyDescent="0.2">
      <c r="A233" t="str">
        <f>IF(DataTable[[#This Row],[Tm.]]="","N/A",DataTable[[#This Row],[Tm.]])</f>
        <v>N/A</v>
      </c>
      <c r="B233" t="str">
        <f>IF(DataTable[[#This Row],[Match Nr.]]="","N/A",DataTable[[#This Row],[Match Nr.]])</f>
        <v>N/A</v>
      </c>
      <c r="C2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3" t="str">
        <f>IF(AND(DataTable[[#This Row],[Successful Lo. G. S]]="",DataTable[[#This Row],[Successful Hi. G. S.]]=""),"N/A",DataTable[[#This Row],[Successful Lo. G. S]]*2+DataTable[[#This Row],[Successful Hi. G. S.]]*10)</f>
        <v>N/A</v>
      </c>
      <c r="H2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3" s="11" t="str">
        <f>IF(DataTable[[#This Row],[Lo. B. Successful Xings.]]="","N/A",SUM(ProcessedData[[#This Row],[Lo. B. Ti.]],DataTable[[#This Row],[Lo. B. Successful Xings.]]+1))</f>
        <v>N/A</v>
      </c>
      <c r="Z2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4" spans="1:26" x14ac:dyDescent="0.2">
      <c r="A234" t="str">
        <f>IF(DataTable[[#This Row],[Tm.]]="","N/A",DataTable[[#This Row],[Tm.]])</f>
        <v>N/A</v>
      </c>
      <c r="B234" t="str">
        <f>IF(DataTable[[#This Row],[Match Nr.]]="","N/A",DataTable[[#This Row],[Match Nr.]])</f>
        <v>N/A</v>
      </c>
      <c r="C2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4" t="str">
        <f>IF(AND(DataTable[[#This Row],[Successful Lo. G. S]]="",DataTable[[#This Row],[Successful Hi. G. S.]]=""),"N/A",DataTable[[#This Row],[Successful Lo. G. S]]*2+DataTable[[#This Row],[Successful Hi. G. S.]]*10)</f>
        <v>N/A</v>
      </c>
      <c r="H2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4" s="11" t="str">
        <f>IF(DataTable[[#This Row],[Lo. B. Successful Xings.]]="","N/A",SUM(ProcessedData[[#This Row],[Lo. B. Ti.]],DataTable[[#This Row],[Lo. B. Successful Xings.]]+1))</f>
        <v>N/A</v>
      </c>
      <c r="Z2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5" spans="1:26" x14ac:dyDescent="0.2">
      <c r="A235" t="str">
        <f>IF(DataTable[[#This Row],[Tm.]]="","N/A",DataTable[[#This Row],[Tm.]])</f>
        <v>N/A</v>
      </c>
      <c r="B235" t="str">
        <f>IF(DataTable[[#This Row],[Match Nr.]]="","N/A",DataTable[[#This Row],[Match Nr.]])</f>
        <v>N/A</v>
      </c>
      <c r="C2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5" t="str">
        <f>IF(AND(DataTable[[#This Row],[Successful Lo. G. S]]="",DataTable[[#This Row],[Successful Hi. G. S.]]=""),"N/A",DataTable[[#This Row],[Successful Lo. G. S]]*2+DataTable[[#This Row],[Successful Hi. G. S.]]*10)</f>
        <v>N/A</v>
      </c>
      <c r="H2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5" s="11" t="str">
        <f>IF(DataTable[[#This Row],[Lo. B. Successful Xings.]]="","N/A",SUM(ProcessedData[[#This Row],[Lo. B. Ti.]],DataTable[[#This Row],[Lo. B. Successful Xings.]]+1))</f>
        <v>N/A</v>
      </c>
      <c r="Z2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6" spans="1:26" x14ac:dyDescent="0.2">
      <c r="A236" t="str">
        <f>IF(DataTable[[#This Row],[Tm.]]="","N/A",DataTable[[#This Row],[Tm.]])</f>
        <v>N/A</v>
      </c>
      <c r="B236" t="str">
        <f>IF(DataTable[[#This Row],[Match Nr.]]="","N/A",DataTable[[#This Row],[Match Nr.]])</f>
        <v>N/A</v>
      </c>
      <c r="C2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6" t="str">
        <f>IF(AND(DataTable[[#This Row],[Successful Lo. G. S]]="",DataTable[[#This Row],[Successful Hi. G. S.]]=""),"N/A",DataTable[[#This Row],[Successful Lo. G. S]]*2+DataTable[[#This Row],[Successful Hi. G. S.]]*10)</f>
        <v>N/A</v>
      </c>
      <c r="H2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6" s="11" t="str">
        <f>IF(DataTable[[#This Row],[Lo. B. Successful Xings.]]="","N/A",SUM(ProcessedData[[#This Row],[Lo. B. Ti.]],DataTable[[#This Row],[Lo. B. Successful Xings.]]+1))</f>
        <v>N/A</v>
      </c>
      <c r="Z2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7" spans="1:26" x14ac:dyDescent="0.2">
      <c r="A237" t="str">
        <f>IF(DataTable[[#This Row],[Tm.]]="","N/A",DataTable[[#This Row],[Tm.]])</f>
        <v>N/A</v>
      </c>
      <c r="B237" t="str">
        <f>IF(DataTable[[#This Row],[Match Nr.]]="","N/A",DataTable[[#This Row],[Match Nr.]])</f>
        <v>N/A</v>
      </c>
      <c r="C2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7" t="str">
        <f>IF(AND(DataTable[[#This Row],[Successful Lo. G. S]]="",DataTable[[#This Row],[Successful Hi. G. S.]]=""),"N/A",DataTable[[#This Row],[Successful Lo. G. S]]*2+DataTable[[#This Row],[Successful Hi. G. S.]]*10)</f>
        <v>N/A</v>
      </c>
      <c r="H2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7" s="11" t="str">
        <f>IF(DataTable[[#This Row],[Lo. B. Successful Xings.]]="","N/A",SUM(ProcessedData[[#This Row],[Lo. B. Ti.]],DataTable[[#This Row],[Lo. B. Successful Xings.]]+1))</f>
        <v>N/A</v>
      </c>
      <c r="Z2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8" spans="1:26" x14ac:dyDescent="0.2">
      <c r="A238" t="str">
        <f>IF(DataTable[[#This Row],[Tm.]]="","N/A",DataTable[[#This Row],[Tm.]])</f>
        <v>N/A</v>
      </c>
      <c r="B238" t="str">
        <f>IF(DataTable[[#This Row],[Match Nr.]]="","N/A",DataTable[[#This Row],[Match Nr.]])</f>
        <v>N/A</v>
      </c>
      <c r="C2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8" t="str">
        <f>IF(AND(DataTable[[#This Row],[Successful Lo. G. S]]="",DataTable[[#This Row],[Successful Hi. G. S.]]=""),"N/A",DataTable[[#This Row],[Successful Lo. G. S]]*2+DataTable[[#This Row],[Successful Hi. G. S.]]*10)</f>
        <v>N/A</v>
      </c>
      <c r="H2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8" s="11" t="str">
        <f>IF(DataTable[[#This Row],[Lo. B. Successful Xings.]]="","N/A",SUM(ProcessedData[[#This Row],[Lo. B. Ti.]],DataTable[[#This Row],[Lo. B. Successful Xings.]]+1))</f>
        <v>N/A</v>
      </c>
      <c r="Z2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39" spans="1:26" x14ac:dyDescent="0.2">
      <c r="A239" t="str">
        <f>IF(DataTable[[#This Row],[Tm.]]="","N/A",DataTable[[#This Row],[Tm.]])</f>
        <v>N/A</v>
      </c>
      <c r="B239" t="str">
        <f>IF(DataTable[[#This Row],[Match Nr.]]="","N/A",DataTable[[#This Row],[Match Nr.]])</f>
        <v>N/A</v>
      </c>
      <c r="C2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39" t="str">
        <f>IF(AND(DataTable[[#This Row],[Successful Lo. G. S]]="",DataTable[[#This Row],[Successful Hi. G. S.]]=""),"N/A",DataTable[[#This Row],[Successful Lo. G. S]]*2+DataTable[[#This Row],[Successful Hi. G. S.]]*10)</f>
        <v>N/A</v>
      </c>
      <c r="H2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39" s="11" t="str">
        <f>IF(DataTable[[#This Row],[Lo. B. Successful Xings.]]="","N/A",SUM(ProcessedData[[#This Row],[Lo. B. Ti.]],DataTable[[#This Row],[Lo. B. Successful Xings.]]+1))</f>
        <v>N/A</v>
      </c>
      <c r="Z2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0" spans="1:26" x14ac:dyDescent="0.2">
      <c r="A240" t="str">
        <f>IF(DataTable[[#This Row],[Tm.]]="","N/A",DataTable[[#This Row],[Tm.]])</f>
        <v>N/A</v>
      </c>
      <c r="B240" t="str">
        <f>IF(DataTable[[#This Row],[Match Nr.]]="","N/A",DataTable[[#This Row],[Match Nr.]])</f>
        <v>N/A</v>
      </c>
      <c r="C2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0" t="str">
        <f>IF(AND(DataTable[[#This Row],[Successful Lo. G. S]]="",DataTable[[#This Row],[Successful Hi. G. S.]]=""),"N/A",DataTable[[#This Row],[Successful Lo. G. S]]*2+DataTable[[#This Row],[Successful Hi. G. S.]]*10)</f>
        <v>N/A</v>
      </c>
      <c r="H2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0" s="11" t="str">
        <f>IF(DataTable[[#This Row],[Lo. B. Successful Xings.]]="","N/A",SUM(ProcessedData[[#This Row],[Lo. B. Ti.]],DataTable[[#This Row],[Lo. B. Successful Xings.]]+1))</f>
        <v>N/A</v>
      </c>
      <c r="Z2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1" spans="1:26" x14ac:dyDescent="0.2">
      <c r="A241" t="str">
        <f>IF(DataTable[[#This Row],[Tm.]]="","N/A",DataTable[[#This Row],[Tm.]])</f>
        <v>N/A</v>
      </c>
      <c r="B241" t="str">
        <f>IF(DataTable[[#This Row],[Match Nr.]]="","N/A",DataTable[[#This Row],[Match Nr.]])</f>
        <v>N/A</v>
      </c>
      <c r="C2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1" t="str">
        <f>IF(AND(DataTable[[#This Row],[Successful Lo. G. S]]="",DataTable[[#This Row],[Successful Hi. G. S.]]=""),"N/A",DataTable[[#This Row],[Successful Lo. G. S]]*2+DataTable[[#This Row],[Successful Hi. G. S.]]*10)</f>
        <v>N/A</v>
      </c>
      <c r="H2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1" s="11" t="str">
        <f>IF(DataTable[[#This Row],[Lo. B. Successful Xings.]]="","N/A",SUM(ProcessedData[[#This Row],[Lo. B. Ti.]],DataTable[[#This Row],[Lo. B. Successful Xings.]]+1))</f>
        <v>N/A</v>
      </c>
      <c r="Z2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2" spans="1:26" x14ac:dyDescent="0.2">
      <c r="A242" t="str">
        <f>IF(DataTable[[#This Row],[Tm.]]="","N/A",DataTable[[#This Row],[Tm.]])</f>
        <v>N/A</v>
      </c>
      <c r="B242" t="str">
        <f>IF(DataTable[[#This Row],[Match Nr.]]="","N/A",DataTable[[#This Row],[Match Nr.]])</f>
        <v>N/A</v>
      </c>
      <c r="C2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2" t="str">
        <f>IF(AND(DataTable[[#This Row],[Successful Lo. G. S]]="",DataTable[[#This Row],[Successful Hi. G. S.]]=""),"N/A",DataTable[[#This Row],[Successful Lo. G. S]]*2+DataTable[[#This Row],[Successful Hi. G. S.]]*10)</f>
        <v>N/A</v>
      </c>
      <c r="H2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2" s="11" t="str">
        <f>IF(DataTable[[#This Row],[Lo. B. Successful Xings.]]="","N/A",SUM(ProcessedData[[#This Row],[Lo. B. Ti.]],DataTable[[#This Row],[Lo. B. Successful Xings.]]+1))</f>
        <v>N/A</v>
      </c>
      <c r="Z2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3" spans="1:26" x14ac:dyDescent="0.2">
      <c r="A243" t="str">
        <f>IF(DataTable[[#This Row],[Tm.]]="","N/A",DataTable[[#This Row],[Tm.]])</f>
        <v>N/A</v>
      </c>
      <c r="B243" t="str">
        <f>IF(DataTable[[#This Row],[Match Nr.]]="","N/A",DataTable[[#This Row],[Match Nr.]])</f>
        <v>N/A</v>
      </c>
      <c r="C2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3" t="str">
        <f>IF(AND(DataTable[[#This Row],[Successful Lo. G. S]]="",DataTable[[#This Row],[Successful Hi. G. S.]]=""),"N/A",DataTable[[#This Row],[Successful Lo. G. S]]*2+DataTable[[#This Row],[Successful Hi. G. S.]]*10)</f>
        <v>N/A</v>
      </c>
      <c r="H2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3" s="11" t="str">
        <f>IF(DataTable[[#This Row],[Lo. B. Successful Xings.]]="","N/A",SUM(ProcessedData[[#This Row],[Lo. B. Ti.]],DataTable[[#This Row],[Lo. B. Successful Xings.]]+1))</f>
        <v>N/A</v>
      </c>
      <c r="Z2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4" spans="1:26" x14ac:dyDescent="0.2">
      <c r="A244" t="str">
        <f>IF(DataTable[[#This Row],[Tm.]]="","N/A",DataTable[[#This Row],[Tm.]])</f>
        <v>N/A</v>
      </c>
      <c r="B244" t="str">
        <f>IF(DataTable[[#This Row],[Match Nr.]]="","N/A",DataTable[[#This Row],[Match Nr.]])</f>
        <v>N/A</v>
      </c>
      <c r="C2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4" t="str">
        <f>IF(AND(DataTable[[#This Row],[Successful Lo. G. S]]="",DataTable[[#This Row],[Successful Hi. G. S.]]=""),"N/A",DataTable[[#This Row],[Successful Lo. G. S]]*2+DataTable[[#This Row],[Successful Hi. G. S.]]*10)</f>
        <v>N/A</v>
      </c>
      <c r="H2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4" s="11" t="str">
        <f>IF(DataTable[[#This Row],[Lo. B. Successful Xings.]]="","N/A",SUM(ProcessedData[[#This Row],[Lo. B. Ti.]],DataTable[[#This Row],[Lo. B. Successful Xings.]]+1))</f>
        <v>N/A</v>
      </c>
      <c r="Z2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5" spans="1:26" x14ac:dyDescent="0.2">
      <c r="A245" t="str">
        <f>IF(DataTable[[#This Row],[Tm.]]="","N/A",DataTable[[#This Row],[Tm.]])</f>
        <v>N/A</v>
      </c>
      <c r="B245" t="str">
        <f>IF(DataTable[[#This Row],[Match Nr.]]="","N/A",DataTable[[#This Row],[Match Nr.]])</f>
        <v>N/A</v>
      </c>
      <c r="C2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5" t="str">
        <f>IF(AND(DataTable[[#This Row],[Successful Lo. G. S]]="",DataTable[[#This Row],[Successful Hi. G. S.]]=""),"N/A",DataTable[[#This Row],[Successful Lo. G. S]]*2+DataTable[[#This Row],[Successful Hi. G. S.]]*10)</f>
        <v>N/A</v>
      </c>
      <c r="H2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5" s="11" t="str">
        <f>IF(DataTable[[#This Row],[Lo. B. Successful Xings.]]="","N/A",SUM(ProcessedData[[#This Row],[Lo. B. Ti.]],DataTable[[#This Row],[Lo. B. Successful Xings.]]+1))</f>
        <v>N/A</v>
      </c>
      <c r="Z2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6" spans="1:26" x14ac:dyDescent="0.2">
      <c r="A246" t="str">
        <f>IF(DataTable[[#This Row],[Tm.]]="","N/A",DataTable[[#This Row],[Tm.]])</f>
        <v>N/A</v>
      </c>
      <c r="B246" t="str">
        <f>IF(DataTable[[#This Row],[Match Nr.]]="","N/A",DataTable[[#This Row],[Match Nr.]])</f>
        <v>N/A</v>
      </c>
      <c r="C2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6" t="str">
        <f>IF(AND(DataTable[[#This Row],[Successful Lo. G. S]]="",DataTable[[#This Row],[Successful Hi. G. S.]]=""),"N/A",DataTable[[#This Row],[Successful Lo. G. S]]*2+DataTable[[#This Row],[Successful Hi. G. S.]]*10)</f>
        <v>N/A</v>
      </c>
      <c r="H2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6" s="11" t="str">
        <f>IF(DataTable[[#This Row],[Lo. B. Successful Xings.]]="","N/A",SUM(ProcessedData[[#This Row],[Lo. B. Ti.]],DataTable[[#This Row],[Lo. B. Successful Xings.]]+1))</f>
        <v>N/A</v>
      </c>
      <c r="Z2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7" spans="1:26" x14ac:dyDescent="0.2">
      <c r="A247" t="str">
        <f>IF(DataTable[[#This Row],[Tm.]]="","N/A",DataTable[[#This Row],[Tm.]])</f>
        <v>N/A</v>
      </c>
      <c r="B247" t="str">
        <f>IF(DataTable[[#This Row],[Match Nr.]]="","N/A",DataTable[[#This Row],[Match Nr.]])</f>
        <v>N/A</v>
      </c>
      <c r="C2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7" t="str">
        <f>IF(AND(DataTable[[#This Row],[Successful Lo. G. S]]="",DataTable[[#This Row],[Successful Hi. G. S.]]=""),"N/A",DataTable[[#This Row],[Successful Lo. G. S]]*2+DataTable[[#This Row],[Successful Hi. G. S.]]*10)</f>
        <v>N/A</v>
      </c>
      <c r="H2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7" s="11" t="str">
        <f>IF(DataTable[[#This Row],[Lo. B. Successful Xings.]]="","N/A",SUM(ProcessedData[[#This Row],[Lo. B. Ti.]],DataTable[[#This Row],[Lo. B. Successful Xings.]]+1))</f>
        <v>N/A</v>
      </c>
      <c r="Z2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8" spans="1:26" x14ac:dyDescent="0.2">
      <c r="A248" t="str">
        <f>IF(DataTable[[#This Row],[Tm.]]="","N/A",DataTable[[#This Row],[Tm.]])</f>
        <v>N/A</v>
      </c>
      <c r="B248" t="str">
        <f>IF(DataTable[[#This Row],[Match Nr.]]="","N/A",DataTable[[#This Row],[Match Nr.]])</f>
        <v>N/A</v>
      </c>
      <c r="C2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8" t="str">
        <f>IF(AND(DataTable[[#This Row],[Successful Lo. G. S]]="",DataTable[[#This Row],[Successful Hi. G. S.]]=""),"N/A",DataTable[[#This Row],[Successful Lo. G. S]]*2+DataTable[[#This Row],[Successful Hi. G. S.]]*10)</f>
        <v>N/A</v>
      </c>
      <c r="H2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8" s="11" t="str">
        <f>IF(DataTable[[#This Row],[Lo. B. Successful Xings.]]="","N/A",SUM(ProcessedData[[#This Row],[Lo. B. Ti.]],DataTable[[#This Row],[Lo. B. Successful Xings.]]+1))</f>
        <v>N/A</v>
      </c>
      <c r="Z2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49" spans="1:26" x14ac:dyDescent="0.2">
      <c r="A249" t="str">
        <f>IF(DataTable[[#This Row],[Tm.]]="","N/A",DataTable[[#This Row],[Tm.]])</f>
        <v>N/A</v>
      </c>
      <c r="B249" t="str">
        <f>IF(DataTable[[#This Row],[Match Nr.]]="","N/A",DataTable[[#This Row],[Match Nr.]])</f>
        <v>N/A</v>
      </c>
      <c r="C2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49" t="str">
        <f>IF(AND(DataTable[[#This Row],[Successful Lo. G. S]]="",DataTable[[#This Row],[Successful Hi. G. S.]]=""),"N/A",DataTable[[#This Row],[Successful Lo. G. S]]*2+DataTable[[#This Row],[Successful Hi. G. S.]]*10)</f>
        <v>N/A</v>
      </c>
      <c r="H2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49" s="11" t="str">
        <f>IF(DataTable[[#This Row],[Lo. B. Successful Xings.]]="","N/A",SUM(ProcessedData[[#This Row],[Lo. B. Ti.]],DataTable[[#This Row],[Lo. B. Successful Xings.]]+1))</f>
        <v>N/A</v>
      </c>
      <c r="Z2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0" spans="1:26" x14ac:dyDescent="0.2">
      <c r="A250" t="str">
        <f>IF(DataTable[[#This Row],[Tm.]]="","N/A",DataTable[[#This Row],[Tm.]])</f>
        <v>N/A</v>
      </c>
      <c r="B250" t="str">
        <f>IF(DataTable[[#This Row],[Match Nr.]]="","N/A",DataTable[[#This Row],[Match Nr.]])</f>
        <v>N/A</v>
      </c>
      <c r="C2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0" t="str">
        <f>IF(AND(DataTable[[#This Row],[Successful Lo. G. S]]="",DataTable[[#This Row],[Successful Hi. G. S.]]=""),"N/A",DataTable[[#This Row],[Successful Lo. G. S]]*2+DataTable[[#This Row],[Successful Hi. G. S.]]*10)</f>
        <v>N/A</v>
      </c>
      <c r="H2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0" s="11" t="str">
        <f>IF(DataTable[[#This Row],[Lo. B. Successful Xings.]]="","N/A",SUM(ProcessedData[[#This Row],[Lo. B. Ti.]],DataTable[[#This Row],[Lo. B. Successful Xings.]]+1))</f>
        <v>N/A</v>
      </c>
      <c r="Z2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1" spans="1:26" x14ac:dyDescent="0.2">
      <c r="A251" t="str">
        <f>IF(DataTable[[#This Row],[Tm.]]="","N/A",DataTable[[#This Row],[Tm.]])</f>
        <v>N/A</v>
      </c>
      <c r="B251" t="str">
        <f>IF(DataTable[[#This Row],[Match Nr.]]="","N/A",DataTable[[#This Row],[Match Nr.]])</f>
        <v>N/A</v>
      </c>
      <c r="C2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1" t="str">
        <f>IF(AND(DataTable[[#This Row],[Successful Lo. G. S]]="",DataTable[[#This Row],[Successful Hi. G. S.]]=""),"N/A",DataTable[[#This Row],[Successful Lo. G. S]]*2+DataTable[[#This Row],[Successful Hi. G. S.]]*10)</f>
        <v>N/A</v>
      </c>
      <c r="H2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1" s="11" t="str">
        <f>IF(DataTable[[#This Row],[Lo. B. Successful Xings.]]="","N/A",SUM(ProcessedData[[#This Row],[Lo. B. Ti.]],DataTable[[#This Row],[Lo. B. Successful Xings.]]+1))</f>
        <v>N/A</v>
      </c>
      <c r="Z2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2" spans="1:26" x14ac:dyDescent="0.2">
      <c r="A252" t="str">
        <f>IF(DataTable[[#This Row],[Tm.]]="","N/A",DataTable[[#This Row],[Tm.]])</f>
        <v>N/A</v>
      </c>
      <c r="B252" t="str">
        <f>IF(DataTable[[#This Row],[Match Nr.]]="","N/A",DataTable[[#This Row],[Match Nr.]])</f>
        <v>N/A</v>
      </c>
      <c r="C2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2" t="str">
        <f>IF(AND(DataTable[[#This Row],[Successful Lo. G. S]]="",DataTable[[#This Row],[Successful Hi. G. S.]]=""),"N/A",DataTable[[#This Row],[Successful Lo. G. S]]*2+DataTable[[#This Row],[Successful Hi. G. S.]]*10)</f>
        <v>N/A</v>
      </c>
      <c r="H2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2" s="11" t="str">
        <f>IF(DataTable[[#This Row],[Lo. B. Successful Xings.]]="","N/A",SUM(ProcessedData[[#This Row],[Lo. B. Ti.]],DataTable[[#This Row],[Lo. B. Successful Xings.]]+1))</f>
        <v>N/A</v>
      </c>
      <c r="Z2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3" spans="1:26" x14ac:dyDescent="0.2">
      <c r="A253" t="str">
        <f>IF(DataTable[[#This Row],[Tm.]]="","N/A",DataTable[[#This Row],[Tm.]])</f>
        <v>N/A</v>
      </c>
      <c r="B253" t="str">
        <f>IF(DataTable[[#This Row],[Match Nr.]]="","N/A",DataTable[[#This Row],[Match Nr.]])</f>
        <v>N/A</v>
      </c>
      <c r="C2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3" t="str">
        <f>IF(AND(DataTable[[#This Row],[Successful Lo. G. S]]="",DataTable[[#This Row],[Successful Hi. G. S.]]=""),"N/A",DataTable[[#This Row],[Successful Lo. G. S]]*2+DataTable[[#This Row],[Successful Hi. G. S.]]*10)</f>
        <v>N/A</v>
      </c>
      <c r="H2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3" s="11" t="str">
        <f>IF(DataTable[[#This Row],[Lo. B. Successful Xings.]]="","N/A",SUM(ProcessedData[[#This Row],[Lo. B. Ti.]],DataTable[[#This Row],[Lo. B. Successful Xings.]]+1))</f>
        <v>N/A</v>
      </c>
      <c r="Z2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4" spans="1:26" x14ac:dyDescent="0.2">
      <c r="A254" t="str">
        <f>IF(DataTable[[#This Row],[Tm.]]="","N/A",DataTable[[#This Row],[Tm.]])</f>
        <v>N/A</v>
      </c>
      <c r="B254" t="str">
        <f>IF(DataTable[[#This Row],[Match Nr.]]="","N/A",DataTable[[#This Row],[Match Nr.]])</f>
        <v>N/A</v>
      </c>
      <c r="C2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4" t="str">
        <f>IF(AND(DataTable[[#This Row],[Successful Lo. G. S]]="",DataTable[[#This Row],[Successful Hi. G. S.]]=""),"N/A",DataTable[[#This Row],[Successful Lo. G. S]]*2+DataTable[[#This Row],[Successful Hi. G. S.]]*10)</f>
        <v>N/A</v>
      </c>
      <c r="H2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4" s="11" t="str">
        <f>IF(DataTable[[#This Row],[Lo. B. Successful Xings.]]="","N/A",SUM(ProcessedData[[#This Row],[Lo. B. Ti.]],DataTable[[#This Row],[Lo. B. Successful Xings.]]+1))</f>
        <v>N/A</v>
      </c>
      <c r="Z2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5" spans="1:26" x14ac:dyDescent="0.2">
      <c r="A255" t="str">
        <f>IF(DataTable[[#This Row],[Tm.]]="","N/A",DataTable[[#This Row],[Tm.]])</f>
        <v>N/A</v>
      </c>
      <c r="B255" t="str">
        <f>IF(DataTable[[#This Row],[Match Nr.]]="","N/A",DataTable[[#This Row],[Match Nr.]])</f>
        <v>N/A</v>
      </c>
      <c r="C2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5" t="str">
        <f>IF(AND(DataTable[[#This Row],[Successful Lo. G. S]]="",DataTable[[#This Row],[Successful Hi. G. S.]]=""),"N/A",DataTable[[#This Row],[Successful Lo. G. S]]*2+DataTable[[#This Row],[Successful Hi. G. S.]]*10)</f>
        <v>N/A</v>
      </c>
      <c r="H2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5" s="11" t="str">
        <f>IF(DataTable[[#This Row],[Lo. B. Successful Xings.]]="","N/A",SUM(ProcessedData[[#This Row],[Lo. B. Ti.]],DataTable[[#This Row],[Lo. B. Successful Xings.]]+1))</f>
        <v>N/A</v>
      </c>
      <c r="Z2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6" spans="1:26" x14ac:dyDescent="0.2">
      <c r="A256" t="str">
        <f>IF(DataTable[[#This Row],[Tm.]]="","N/A",DataTable[[#This Row],[Tm.]])</f>
        <v>N/A</v>
      </c>
      <c r="B256" t="str">
        <f>IF(DataTable[[#This Row],[Match Nr.]]="","N/A",DataTable[[#This Row],[Match Nr.]])</f>
        <v>N/A</v>
      </c>
      <c r="C2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6" t="str">
        <f>IF(AND(DataTable[[#This Row],[Successful Lo. G. S]]="",DataTable[[#This Row],[Successful Hi. G. S.]]=""),"N/A",DataTable[[#This Row],[Successful Lo. G. S]]*2+DataTable[[#This Row],[Successful Hi. G. S.]]*10)</f>
        <v>N/A</v>
      </c>
      <c r="H2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6" s="11" t="str">
        <f>IF(DataTable[[#This Row],[Lo. B. Successful Xings.]]="","N/A",SUM(ProcessedData[[#This Row],[Lo. B. Ti.]],DataTable[[#This Row],[Lo. B. Successful Xings.]]+1))</f>
        <v>N/A</v>
      </c>
      <c r="Z2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7" spans="1:26" x14ac:dyDescent="0.2">
      <c r="A257" t="str">
        <f>IF(DataTable[[#This Row],[Tm.]]="","N/A",DataTable[[#This Row],[Tm.]])</f>
        <v>N/A</v>
      </c>
      <c r="B257" t="str">
        <f>IF(DataTable[[#This Row],[Match Nr.]]="","N/A",DataTable[[#This Row],[Match Nr.]])</f>
        <v>N/A</v>
      </c>
      <c r="C2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7" t="str">
        <f>IF(AND(DataTable[[#This Row],[Successful Lo. G. S]]="",DataTable[[#This Row],[Successful Hi. G. S.]]=""),"N/A",DataTable[[#This Row],[Successful Lo. G. S]]*2+DataTable[[#This Row],[Successful Hi. G. S.]]*10)</f>
        <v>N/A</v>
      </c>
      <c r="H2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7" s="11" t="str">
        <f>IF(DataTable[[#This Row],[Lo. B. Successful Xings.]]="","N/A",SUM(ProcessedData[[#This Row],[Lo. B. Ti.]],DataTable[[#This Row],[Lo. B. Successful Xings.]]+1))</f>
        <v>N/A</v>
      </c>
      <c r="Z2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8" spans="1:26" x14ac:dyDescent="0.2">
      <c r="A258" t="str">
        <f>IF(DataTable[[#This Row],[Tm.]]="","N/A",DataTable[[#This Row],[Tm.]])</f>
        <v>N/A</v>
      </c>
      <c r="B258" t="str">
        <f>IF(DataTable[[#This Row],[Match Nr.]]="","N/A",DataTable[[#This Row],[Match Nr.]])</f>
        <v>N/A</v>
      </c>
      <c r="C2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8" t="str">
        <f>IF(AND(DataTable[[#This Row],[Successful Lo. G. S]]="",DataTable[[#This Row],[Successful Hi. G. S.]]=""),"N/A",DataTable[[#This Row],[Successful Lo. G. S]]*2+DataTable[[#This Row],[Successful Hi. G. S.]]*10)</f>
        <v>N/A</v>
      </c>
      <c r="H2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8" s="11" t="str">
        <f>IF(DataTable[[#This Row],[Lo. B. Successful Xings.]]="","N/A",SUM(ProcessedData[[#This Row],[Lo. B. Ti.]],DataTable[[#This Row],[Lo. B. Successful Xings.]]+1))</f>
        <v>N/A</v>
      </c>
      <c r="Z2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59" spans="1:26" x14ac:dyDescent="0.2">
      <c r="A259" t="str">
        <f>IF(DataTable[[#This Row],[Tm.]]="","N/A",DataTable[[#This Row],[Tm.]])</f>
        <v>N/A</v>
      </c>
      <c r="B259" t="str">
        <f>IF(DataTable[[#This Row],[Match Nr.]]="","N/A",DataTable[[#This Row],[Match Nr.]])</f>
        <v>N/A</v>
      </c>
      <c r="C2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59" t="str">
        <f>IF(AND(DataTable[[#This Row],[Successful Lo. G. S]]="",DataTable[[#This Row],[Successful Hi. G. S.]]=""),"N/A",DataTable[[#This Row],[Successful Lo. G. S]]*2+DataTable[[#This Row],[Successful Hi. G. S.]]*10)</f>
        <v>N/A</v>
      </c>
      <c r="H2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59" s="11" t="str">
        <f>IF(DataTable[[#This Row],[Lo. B. Successful Xings.]]="","N/A",SUM(ProcessedData[[#This Row],[Lo. B. Ti.]],DataTable[[#This Row],[Lo. B. Successful Xings.]]+1))</f>
        <v>N/A</v>
      </c>
      <c r="Z2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0" spans="1:26" x14ac:dyDescent="0.2">
      <c r="A260" t="str">
        <f>IF(DataTable[[#This Row],[Tm.]]="","N/A",DataTable[[#This Row],[Tm.]])</f>
        <v>N/A</v>
      </c>
      <c r="B260" t="str">
        <f>IF(DataTable[[#This Row],[Match Nr.]]="","N/A",DataTable[[#This Row],[Match Nr.]])</f>
        <v>N/A</v>
      </c>
      <c r="C2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0" t="str">
        <f>IF(AND(DataTable[[#This Row],[Successful Lo. G. S]]="",DataTable[[#This Row],[Successful Hi. G. S.]]=""),"N/A",DataTable[[#This Row],[Successful Lo. G. S]]*2+DataTable[[#This Row],[Successful Hi. G. S.]]*10)</f>
        <v>N/A</v>
      </c>
      <c r="H2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0" s="11" t="str">
        <f>IF(DataTable[[#This Row],[Lo. B. Successful Xings.]]="","N/A",SUM(ProcessedData[[#This Row],[Lo. B. Ti.]],DataTable[[#This Row],[Lo. B. Successful Xings.]]+1))</f>
        <v>N/A</v>
      </c>
      <c r="Z2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1" spans="1:26" x14ac:dyDescent="0.2">
      <c r="A261" t="str">
        <f>IF(DataTable[[#This Row],[Tm.]]="","N/A",DataTable[[#This Row],[Tm.]])</f>
        <v>N/A</v>
      </c>
      <c r="B261" t="str">
        <f>IF(DataTable[[#This Row],[Match Nr.]]="","N/A",DataTable[[#This Row],[Match Nr.]])</f>
        <v>N/A</v>
      </c>
      <c r="C2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1" t="str">
        <f>IF(AND(DataTable[[#This Row],[Successful Lo. G. S]]="",DataTable[[#This Row],[Successful Hi. G. S.]]=""),"N/A",DataTable[[#This Row],[Successful Lo. G. S]]*2+DataTable[[#This Row],[Successful Hi. G. S.]]*10)</f>
        <v>N/A</v>
      </c>
      <c r="H2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1" s="11" t="str">
        <f>IF(DataTable[[#This Row],[Lo. B. Successful Xings.]]="","N/A",SUM(ProcessedData[[#This Row],[Lo. B. Ti.]],DataTable[[#This Row],[Lo. B. Successful Xings.]]+1))</f>
        <v>N/A</v>
      </c>
      <c r="Z2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2" spans="1:26" x14ac:dyDescent="0.2">
      <c r="A262" t="str">
        <f>IF(DataTable[[#This Row],[Tm.]]="","N/A",DataTable[[#This Row],[Tm.]])</f>
        <v>N/A</v>
      </c>
      <c r="B262" t="str">
        <f>IF(DataTable[[#This Row],[Match Nr.]]="","N/A",DataTable[[#This Row],[Match Nr.]])</f>
        <v>N/A</v>
      </c>
      <c r="C2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2" t="str">
        <f>IF(AND(DataTable[[#This Row],[Successful Lo. G. S]]="",DataTable[[#This Row],[Successful Hi. G. S.]]=""),"N/A",DataTable[[#This Row],[Successful Lo. G. S]]*2+DataTable[[#This Row],[Successful Hi. G. S.]]*10)</f>
        <v>N/A</v>
      </c>
      <c r="H2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2" s="11" t="str">
        <f>IF(DataTable[[#This Row],[Lo. B. Successful Xings.]]="","N/A",SUM(ProcessedData[[#This Row],[Lo. B. Ti.]],DataTable[[#This Row],[Lo. B. Successful Xings.]]+1))</f>
        <v>N/A</v>
      </c>
      <c r="Z2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3" spans="1:26" x14ac:dyDescent="0.2">
      <c r="A263" t="str">
        <f>IF(DataTable[[#This Row],[Tm.]]="","N/A",DataTable[[#This Row],[Tm.]])</f>
        <v>N/A</v>
      </c>
      <c r="B263" t="str">
        <f>IF(DataTable[[#This Row],[Match Nr.]]="","N/A",DataTable[[#This Row],[Match Nr.]])</f>
        <v>N/A</v>
      </c>
      <c r="C2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3" t="str">
        <f>IF(AND(DataTable[[#This Row],[Successful Lo. G. S]]="",DataTable[[#This Row],[Successful Hi. G. S.]]=""),"N/A",DataTable[[#This Row],[Successful Lo. G. S]]*2+DataTable[[#This Row],[Successful Hi. G. S.]]*10)</f>
        <v>N/A</v>
      </c>
      <c r="H2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3" s="11" t="str">
        <f>IF(DataTable[[#This Row],[Lo. B. Successful Xings.]]="","N/A",SUM(ProcessedData[[#This Row],[Lo. B. Ti.]],DataTable[[#This Row],[Lo. B. Successful Xings.]]+1))</f>
        <v>N/A</v>
      </c>
      <c r="Z2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4" spans="1:26" x14ac:dyDescent="0.2">
      <c r="A264" t="str">
        <f>IF(DataTable[[#This Row],[Tm.]]="","N/A",DataTable[[#This Row],[Tm.]])</f>
        <v>N/A</v>
      </c>
      <c r="B264" t="str">
        <f>IF(DataTable[[#This Row],[Match Nr.]]="","N/A",DataTable[[#This Row],[Match Nr.]])</f>
        <v>N/A</v>
      </c>
      <c r="C2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4" t="str">
        <f>IF(AND(DataTable[[#This Row],[Successful Lo. G. S]]="",DataTable[[#This Row],[Successful Hi. G. S.]]=""),"N/A",DataTable[[#This Row],[Successful Lo. G. S]]*2+DataTable[[#This Row],[Successful Hi. G. S.]]*10)</f>
        <v>N/A</v>
      </c>
      <c r="H2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4" s="11" t="str">
        <f>IF(DataTable[[#This Row],[Lo. B. Successful Xings.]]="","N/A",SUM(ProcessedData[[#This Row],[Lo. B. Ti.]],DataTable[[#This Row],[Lo. B. Successful Xings.]]+1))</f>
        <v>N/A</v>
      </c>
      <c r="Z2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5" spans="1:26" x14ac:dyDescent="0.2">
      <c r="A265" t="str">
        <f>IF(DataTable[[#This Row],[Tm.]]="","N/A",DataTable[[#This Row],[Tm.]])</f>
        <v>N/A</v>
      </c>
      <c r="B265" t="str">
        <f>IF(DataTable[[#This Row],[Match Nr.]]="","N/A",DataTable[[#This Row],[Match Nr.]])</f>
        <v>N/A</v>
      </c>
      <c r="C2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5" t="str">
        <f>IF(AND(DataTable[[#This Row],[Successful Lo. G. S]]="",DataTable[[#This Row],[Successful Hi. G. S.]]=""),"N/A",DataTable[[#This Row],[Successful Lo. G. S]]*2+DataTable[[#This Row],[Successful Hi. G. S.]]*10)</f>
        <v>N/A</v>
      </c>
      <c r="H2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5" s="11" t="str">
        <f>IF(DataTable[[#This Row],[Lo. B. Successful Xings.]]="","N/A",SUM(ProcessedData[[#This Row],[Lo. B. Ti.]],DataTable[[#This Row],[Lo. B. Successful Xings.]]+1))</f>
        <v>N/A</v>
      </c>
      <c r="Z2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6" spans="1:26" x14ac:dyDescent="0.2">
      <c r="A266" t="str">
        <f>IF(DataTable[[#This Row],[Tm.]]="","N/A",DataTable[[#This Row],[Tm.]])</f>
        <v>N/A</v>
      </c>
      <c r="B266" t="str">
        <f>IF(DataTable[[#This Row],[Match Nr.]]="","N/A",DataTable[[#This Row],[Match Nr.]])</f>
        <v>N/A</v>
      </c>
      <c r="C2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6" t="str">
        <f>IF(AND(DataTable[[#This Row],[Successful Lo. G. S]]="",DataTable[[#This Row],[Successful Hi. G. S.]]=""),"N/A",DataTable[[#This Row],[Successful Lo. G. S]]*2+DataTable[[#This Row],[Successful Hi. G. S.]]*10)</f>
        <v>N/A</v>
      </c>
      <c r="H2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6" s="11" t="str">
        <f>IF(DataTable[[#This Row],[Lo. B. Successful Xings.]]="","N/A",SUM(ProcessedData[[#This Row],[Lo. B. Ti.]],DataTable[[#This Row],[Lo. B. Successful Xings.]]+1))</f>
        <v>N/A</v>
      </c>
      <c r="Z2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7" spans="1:26" x14ac:dyDescent="0.2">
      <c r="A267" t="str">
        <f>IF(DataTable[[#This Row],[Tm.]]="","N/A",DataTable[[#This Row],[Tm.]])</f>
        <v>N/A</v>
      </c>
      <c r="B267" t="str">
        <f>IF(DataTable[[#This Row],[Match Nr.]]="","N/A",DataTable[[#This Row],[Match Nr.]])</f>
        <v>N/A</v>
      </c>
      <c r="C2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7" t="str">
        <f>IF(AND(DataTable[[#This Row],[Successful Lo. G. S]]="",DataTable[[#This Row],[Successful Hi. G. S.]]=""),"N/A",DataTable[[#This Row],[Successful Lo. G. S]]*2+DataTable[[#This Row],[Successful Hi. G. S.]]*10)</f>
        <v>N/A</v>
      </c>
      <c r="H2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7" s="11" t="str">
        <f>IF(DataTable[[#This Row],[Lo. B. Successful Xings.]]="","N/A",SUM(ProcessedData[[#This Row],[Lo. B. Ti.]],DataTable[[#This Row],[Lo. B. Successful Xings.]]+1))</f>
        <v>N/A</v>
      </c>
      <c r="Z2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8" spans="1:26" x14ac:dyDescent="0.2">
      <c r="A268" t="str">
        <f>IF(DataTable[[#This Row],[Tm.]]="","N/A",DataTable[[#This Row],[Tm.]])</f>
        <v>N/A</v>
      </c>
      <c r="B268" t="str">
        <f>IF(DataTable[[#This Row],[Match Nr.]]="","N/A",DataTable[[#This Row],[Match Nr.]])</f>
        <v>N/A</v>
      </c>
      <c r="C2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8" t="str">
        <f>IF(AND(DataTable[[#This Row],[Successful Lo. G. S]]="",DataTable[[#This Row],[Successful Hi. G. S.]]=""),"N/A",DataTable[[#This Row],[Successful Lo. G. S]]*2+DataTable[[#This Row],[Successful Hi. G. S.]]*10)</f>
        <v>N/A</v>
      </c>
      <c r="H2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8" s="11" t="str">
        <f>IF(DataTable[[#This Row],[Lo. B. Successful Xings.]]="","N/A",SUM(ProcessedData[[#This Row],[Lo. B. Ti.]],DataTable[[#This Row],[Lo. B. Successful Xings.]]+1))</f>
        <v>N/A</v>
      </c>
      <c r="Z2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69" spans="1:26" x14ac:dyDescent="0.2">
      <c r="A269" t="str">
        <f>IF(DataTable[[#This Row],[Tm.]]="","N/A",DataTable[[#This Row],[Tm.]])</f>
        <v>N/A</v>
      </c>
      <c r="B269" t="str">
        <f>IF(DataTable[[#This Row],[Match Nr.]]="","N/A",DataTable[[#This Row],[Match Nr.]])</f>
        <v>N/A</v>
      </c>
      <c r="C2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69" t="str">
        <f>IF(AND(DataTable[[#This Row],[Successful Lo. G. S]]="",DataTable[[#This Row],[Successful Hi. G. S.]]=""),"N/A",DataTable[[#This Row],[Successful Lo. G. S]]*2+DataTable[[#This Row],[Successful Hi. G. S.]]*10)</f>
        <v>N/A</v>
      </c>
      <c r="H2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69" s="11" t="str">
        <f>IF(DataTable[[#This Row],[Lo. B. Successful Xings.]]="","N/A",SUM(ProcessedData[[#This Row],[Lo. B. Ti.]],DataTable[[#This Row],[Lo. B. Successful Xings.]]+1))</f>
        <v>N/A</v>
      </c>
      <c r="Z2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0" spans="1:26" x14ac:dyDescent="0.2">
      <c r="A270" t="str">
        <f>IF(DataTable[[#This Row],[Tm.]]="","N/A",DataTable[[#This Row],[Tm.]])</f>
        <v>N/A</v>
      </c>
      <c r="B270" t="str">
        <f>IF(DataTable[[#This Row],[Match Nr.]]="","N/A",DataTable[[#This Row],[Match Nr.]])</f>
        <v>N/A</v>
      </c>
      <c r="C2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0" t="str">
        <f>IF(AND(DataTable[[#This Row],[Successful Lo. G. S]]="",DataTable[[#This Row],[Successful Hi. G. S.]]=""),"N/A",DataTable[[#This Row],[Successful Lo. G. S]]*2+DataTable[[#This Row],[Successful Hi. G. S.]]*10)</f>
        <v>N/A</v>
      </c>
      <c r="H2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0" s="11" t="str">
        <f>IF(DataTable[[#This Row],[Lo. B. Successful Xings.]]="","N/A",SUM(ProcessedData[[#This Row],[Lo. B. Ti.]],DataTable[[#This Row],[Lo. B. Successful Xings.]]+1))</f>
        <v>N/A</v>
      </c>
      <c r="Z2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1" spans="1:26" x14ac:dyDescent="0.2">
      <c r="A271" t="str">
        <f>IF(DataTable[[#This Row],[Tm.]]="","N/A",DataTable[[#This Row],[Tm.]])</f>
        <v>N/A</v>
      </c>
      <c r="B271" t="str">
        <f>IF(DataTable[[#This Row],[Match Nr.]]="","N/A",DataTable[[#This Row],[Match Nr.]])</f>
        <v>N/A</v>
      </c>
      <c r="C2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1" t="str">
        <f>IF(AND(DataTable[[#This Row],[Successful Lo. G. S]]="",DataTable[[#This Row],[Successful Hi. G. S.]]=""),"N/A",DataTable[[#This Row],[Successful Lo. G. S]]*2+DataTable[[#This Row],[Successful Hi. G. S.]]*10)</f>
        <v>N/A</v>
      </c>
      <c r="H2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1" s="11" t="str">
        <f>IF(DataTable[[#This Row],[Lo. B. Successful Xings.]]="","N/A",SUM(ProcessedData[[#This Row],[Lo. B. Ti.]],DataTable[[#This Row],[Lo. B. Successful Xings.]]+1))</f>
        <v>N/A</v>
      </c>
      <c r="Z2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2" spans="1:26" x14ac:dyDescent="0.2">
      <c r="A272" t="str">
        <f>IF(DataTable[[#This Row],[Tm.]]="","N/A",DataTable[[#This Row],[Tm.]])</f>
        <v>N/A</v>
      </c>
      <c r="B272" t="str">
        <f>IF(DataTable[[#This Row],[Match Nr.]]="","N/A",DataTable[[#This Row],[Match Nr.]])</f>
        <v>N/A</v>
      </c>
      <c r="C2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2" t="str">
        <f>IF(AND(DataTable[[#This Row],[Successful Lo. G. S]]="",DataTable[[#This Row],[Successful Hi. G. S.]]=""),"N/A",DataTable[[#This Row],[Successful Lo. G. S]]*2+DataTable[[#This Row],[Successful Hi. G. S.]]*10)</f>
        <v>N/A</v>
      </c>
      <c r="H2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2" s="11" t="str">
        <f>IF(DataTable[[#This Row],[Lo. B. Successful Xings.]]="","N/A",SUM(ProcessedData[[#This Row],[Lo. B. Ti.]],DataTable[[#This Row],[Lo. B. Successful Xings.]]+1))</f>
        <v>N/A</v>
      </c>
      <c r="Z2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3" spans="1:26" x14ac:dyDescent="0.2">
      <c r="A273" t="str">
        <f>IF(DataTable[[#This Row],[Tm.]]="","N/A",DataTable[[#This Row],[Tm.]])</f>
        <v>N/A</v>
      </c>
      <c r="B273" t="str">
        <f>IF(DataTable[[#This Row],[Match Nr.]]="","N/A",DataTable[[#This Row],[Match Nr.]])</f>
        <v>N/A</v>
      </c>
      <c r="C2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3" t="str">
        <f>IF(AND(DataTable[[#This Row],[Successful Lo. G. S]]="",DataTable[[#This Row],[Successful Hi. G. S.]]=""),"N/A",DataTable[[#This Row],[Successful Lo. G. S]]*2+DataTable[[#This Row],[Successful Hi. G. S.]]*10)</f>
        <v>N/A</v>
      </c>
      <c r="H2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3" s="11" t="str">
        <f>IF(DataTable[[#This Row],[Lo. B. Successful Xings.]]="","N/A",SUM(ProcessedData[[#This Row],[Lo. B. Ti.]],DataTable[[#This Row],[Lo. B. Successful Xings.]]+1))</f>
        <v>N/A</v>
      </c>
      <c r="Z2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4" spans="1:26" x14ac:dyDescent="0.2">
      <c r="A274" t="str">
        <f>IF(DataTable[[#This Row],[Tm.]]="","N/A",DataTable[[#This Row],[Tm.]])</f>
        <v>N/A</v>
      </c>
      <c r="B274" t="str">
        <f>IF(DataTable[[#This Row],[Match Nr.]]="","N/A",DataTable[[#This Row],[Match Nr.]])</f>
        <v>N/A</v>
      </c>
      <c r="C2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4" t="str">
        <f>IF(AND(DataTable[[#This Row],[Successful Lo. G. S]]="",DataTable[[#This Row],[Successful Hi. G. S.]]=""),"N/A",DataTable[[#This Row],[Successful Lo. G. S]]*2+DataTable[[#This Row],[Successful Hi. G. S.]]*10)</f>
        <v>N/A</v>
      </c>
      <c r="H2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4" s="11" t="str">
        <f>IF(DataTable[[#This Row],[Lo. B. Successful Xings.]]="","N/A",SUM(ProcessedData[[#This Row],[Lo. B. Ti.]],DataTable[[#This Row],[Lo. B. Successful Xings.]]+1))</f>
        <v>N/A</v>
      </c>
      <c r="Z2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5" spans="1:26" x14ac:dyDescent="0.2">
      <c r="A275" t="str">
        <f>IF(DataTable[[#This Row],[Tm.]]="","N/A",DataTable[[#This Row],[Tm.]])</f>
        <v>N/A</v>
      </c>
      <c r="B275" t="str">
        <f>IF(DataTable[[#This Row],[Match Nr.]]="","N/A",DataTable[[#This Row],[Match Nr.]])</f>
        <v>N/A</v>
      </c>
      <c r="C2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5" t="str">
        <f>IF(AND(DataTable[[#This Row],[Successful Lo. G. S]]="",DataTable[[#This Row],[Successful Hi. G. S.]]=""),"N/A",DataTable[[#This Row],[Successful Lo. G. S]]*2+DataTable[[#This Row],[Successful Hi. G. S.]]*10)</f>
        <v>N/A</v>
      </c>
      <c r="H2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5" s="11" t="str">
        <f>IF(DataTable[[#This Row],[Lo. B. Successful Xings.]]="","N/A",SUM(ProcessedData[[#This Row],[Lo. B. Ti.]],DataTable[[#This Row],[Lo. B. Successful Xings.]]+1))</f>
        <v>N/A</v>
      </c>
      <c r="Z2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6" spans="1:26" x14ac:dyDescent="0.2">
      <c r="A276" t="str">
        <f>IF(DataTable[[#This Row],[Tm.]]="","N/A",DataTable[[#This Row],[Tm.]])</f>
        <v>N/A</v>
      </c>
      <c r="B276" t="str">
        <f>IF(DataTable[[#This Row],[Match Nr.]]="","N/A",DataTable[[#This Row],[Match Nr.]])</f>
        <v>N/A</v>
      </c>
      <c r="C2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6" t="str">
        <f>IF(AND(DataTable[[#This Row],[Successful Lo. G. S]]="",DataTable[[#This Row],[Successful Hi. G. S.]]=""),"N/A",DataTable[[#This Row],[Successful Lo. G. S]]*2+DataTable[[#This Row],[Successful Hi. G. S.]]*10)</f>
        <v>N/A</v>
      </c>
      <c r="H2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6" s="11" t="str">
        <f>IF(DataTable[[#This Row],[Lo. B. Successful Xings.]]="","N/A",SUM(ProcessedData[[#This Row],[Lo. B. Ti.]],DataTable[[#This Row],[Lo. B. Successful Xings.]]+1))</f>
        <v>N/A</v>
      </c>
      <c r="Z2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7" spans="1:26" x14ac:dyDescent="0.2">
      <c r="A277" t="str">
        <f>IF(DataTable[[#This Row],[Tm.]]="","N/A",DataTable[[#This Row],[Tm.]])</f>
        <v>N/A</v>
      </c>
      <c r="B277" t="str">
        <f>IF(DataTable[[#This Row],[Match Nr.]]="","N/A",DataTable[[#This Row],[Match Nr.]])</f>
        <v>N/A</v>
      </c>
      <c r="C2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7" t="str">
        <f>IF(AND(DataTable[[#This Row],[Successful Lo. G. S]]="",DataTable[[#This Row],[Successful Hi. G. S.]]=""),"N/A",DataTable[[#This Row],[Successful Lo. G. S]]*2+DataTable[[#This Row],[Successful Hi. G. S.]]*10)</f>
        <v>N/A</v>
      </c>
      <c r="H2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7" s="11" t="str">
        <f>IF(DataTable[[#This Row],[Lo. B. Successful Xings.]]="","N/A",SUM(ProcessedData[[#This Row],[Lo. B. Ti.]],DataTable[[#This Row],[Lo. B. Successful Xings.]]+1))</f>
        <v>N/A</v>
      </c>
      <c r="Z2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8" spans="1:26" x14ac:dyDescent="0.2">
      <c r="A278" t="str">
        <f>IF(DataTable[[#This Row],[Tm.]]="","N/A",DataTable[[#This Row],[Tm.]])</f>
        <v>N/A</v>
      </c>
      <c r="B278" t="str">
        <f>IF(DataTable[[#This Row],[Match Nr.]]="","N/A",DataTable[[#This Row],[Match Nr.]])</f>
        <v>N/A</v>
      </c>
      <c r="C2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8" t="str">
        <f>IF(AND(DataTable[[#This Row],[Successful Lo. G. S]]="",DataTable[[#This Row],[Successful Hi. G. S.]]=""),"N/A",DataTable[[#This Row],[Successful Lo. G. S]]*2+DataTable[[#This Row],[Successful Hi. G. S.]]*10)</f>
        <v>N/A</v>
      </c>
      <c r="H2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8" s="11" t="str">
        <f>IF(DataTable[[#This Row],[Lo. B. Successful Xings.]]="","N/A",SUM(ProcessedData[[#This Row],[Lo. B. Ti.]],DataTable[[#This Row],[Lo. B. Successful Xings.]]+1))</f>
        <v>N/A</v>
      </c>
      <c r="Z2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79" spans="1:26" x14ac:dyDescent="0.2">
      <c r="A279" t="str">
        <f>IF(DataTable[[#This Row],[Tm.]]="","N/A",DataTable[[#This Row],[Tm.]])</f>
        <v>N/A</v>
      </c>
      <c r="B279" t="str">
        <f>IF(DataTable[[#This Row],[Match Nr.]]="","N/A",DataTable[[#This Row],[Match Nr.]])</f>
        <v>N/A</v>
      </c>
      <c r="C2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79" t="str">
        <f>IF(AND(DataTable[[#This Row],[Successful Lo. G. S]]="",DataTable[[#This Row],[Successful Hi. G. S.]]=""),"N/A",DataTable[[#This Row],[Successful Lo. G. S]]*2+DataTable[[#This Row],[Successful Hi. G. S.]]*10)</f>
        <v>N/A</v>
      </c>
      <c r="H2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79" s="11" t="str">
        <f>IF(DataTable[[#This Row],[Lo. B. Successful Xings.]]="","N/A",SUM(ProcessedData[[#This Row],[Lo. B. Ti.]],DataTable[[#This Row],[Lo. B. Successful Xings.]]+1))</f>
        <v>N/A</v>
      </c>
      <c r="Z2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0" spans="1:26" x14ac:dyDescent="0.2">
      <c r="A280" t="str">
        <f>IF(DataTable[[#This Row],[Tm.]]="","N/A",DataTable[[#This Row],[Tm.]])</f>
        <v>N/A</v>
      </c>
      <c r="B280" t="str">
        <f>IF(DataTable[[#This Row],[Match Nr.]]="","N/A",DataTable[[#This Row],[Match Nr.]])</f>
        <v>N/A</v>
      </c>
      <c r="C2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0" t="str">
        <f>IF(AND(DataTable[[#This Row],[Successful Lo. G. S]]="",DataTable[[#This Row],[Successful Hi. G. S.]]=""),"N/A",DataTable[[#This Row],[Successful Lo. G. S]]*2+DataTable[[#This Row],[Successful Hi. G. S.]]*10)</f>
        <v>N/A</v>
      </c>
      <c r="H2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0" s="11" t="str">
        <f>IF(DataTable[[#This Row],[Lo. B. Successful Xings.]]="","N/A",SUM(ProcessedData[[#This Row],[Lo. B. Ti.]],DataTable[[#This Row],[Lo. B. Successful Xings.]]+1))</f>
        <v>N/A</v>
      </c>
      <c r="Z2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1" spans="1:26" x14ac:dyDescent="0.2">
      <c r="A281" t="str">
        <f>IF(DataTable[[#This Row],[Tm.]]="","N/A",DataTable[[#This Row],[Tm.]])</f>
        <v>N/A</v>
      </c>
      <c r="B281" t="str">
        <f>IF(DataTable[[#This Row],[Match Nr.]]="","N/A",DataTable[[#This Row],[Match Nr.]])</f>
        <v>N/A</v>
      </c>
      <c r="C2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1" t="str">
        <f>IF(AND(DataTable[[#This Row],[Successful Lo. G. S]]="",DataTable[[#This Row],[Successful Hi. G. S.]]=""),"N/A",DataTable[[#This Row],[Successful Lo. G. S]]*2+DataTable[[#This Row],[Successful Hi. G. S.]]*10)</f>
        <v>N/A</v>
      </c>
      <c r="H2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1" s="11" t="str">
        <f>IF(DataTable[[#This Row],[Lo. B. Successful Xings.]]="","N/A",SUM(ProcessedData[[#This Row],[Lo. B. Ti.]],DataTable[[#This Row],[Lo. B. Successful Xings.]]+1))</f>
        <v>N/A</v>
      </c>
      <c r="Z2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2" spans="1:26" x14ac:dyDescent="0.2">
      <c r="A282" t="str">
        <f>IF(DataTable[[#This Row],[Tm.]]="","N/A",DataTable[[#This Row],[Tm.]])</f>
        <v>N/A</v>
      </c>
      <c r="B282" t="str">
        <f>IF(DataTable[[#This Row],[Match Nr.]]="","N/A",DataTable[[#This Row],[Match Nr.]])</f>
        <v>N/A</v>
      </c>
      <c r="C2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2" t="str">
        <f>IF(AND(DataTable[[#This Row],[Successful Lo. G. S]]="",DataTable[[#This Row],[Successful Hi. G. S.]]=""),"N/A",DataTable[[#This Row],[Successful Lo. G. S]]*2+DataTable[[#This Row],[Successful Hi. G. S.]]*10)</f>
        <v>N/A</v>
      </c>
      <c r="H2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2" s="11" t="str">
        <f>IF(DataTable[[#This Row],[Lo. B. Successful Xings.]]="","N/A",SUM(ProcessedData[[#This Row],[Lo. B. Ti.]],DataTable[[#This Row],[Lo. B. Successful Xings.]]+1))</f>
        <v>N/A</v>
      </c>
      <c r="Z2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3" spans="1:26" x14ac:dyDescent="0.2">
      <c r="A283" t="str">
        <f>IF(DataTable[[#This Row],[Tm.]]="","N/A",DataTable[[#This Row],[Tm.]])</f>
        <v>N/A</v>
      </c>
      <c r="B283" t="str">
        <f>IF(DataTable[[#This Row],[Match Nr.]]="","N/A",DataTable[[#This Row],[Match Nr.]])</f>
        <v>N/A</v>
      </c>
      <c r="C2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3" t="str">
        <f>IF(AND(DataTable[[#This Row],[Successful Lo. G. S]]="",DataTable[[#This Row],[Successful Hi. G. S.]]=""),"N/A",DataTable[[#This Row],[Successful Lo. G. S]]*2+DataTable[[#This Row],[Successful Hi. G. S.]]*10)</f>
        <v>N/A</v>
      </c>
      <c r="H2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3" s="11" t="str">
        <f>IF(DataTable[[#This Row],[Lo. B. Successful Xings.]]="","N/A",SUM(ProcessedData[[#This Row],[Lo. B. Ti.]],DataTable[[#This Row],[Lo. B. Successful Xings.]]+1))</f>
        <v>N/A</v>
      </c>
      <c r="Z2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4" spans="1:26" x14ac:dyDescent="0.2">
      <c r="A284" t="str">
        <f>IF(DataTable[[#This Row],[Tm.]]="","N/A",DataTable[[#This Row],[Tm.]])</f>
        <v>N/A</v>
      </c>
      <c r="B284" t="str">
        <f>IF(DataTable[[#This Row],[Match Nr.]]="","N/A",DataTable[[#This Row],[Match Nr.]])</f>
        <v>N/A</v>
      </c>
      <c r="C2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4" t="str">
        <f>IF(AND(DataTable[[#This Row],[Successful Lo. G. S]]="",DataTable[[#This Row],[Successful Hi. G. S.]]=""),"N/A",DataTable[[#This Row],[Successful Lo. G. S]]*2+DataTable[[#This Row],[Successful Hi. G. S.]]*10)</f>
        <v>N/A</v>
      </c>
      <c r="H2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4" s="11" t="str">
        <f>IF(DataTable[[#This Row],[Lo. B. Successful Xings.]]="","N/A",SUM(ProcessedData[[#This Row],[Lo. B. Ti.]],DataTable[[#This Row],[Lo. B. Successful Xings.]]+1))</f>
        <v>N/A</v>
      </c>
      <c r="Z2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5" spans="1:26" x14ac:dyDescent="0.2">
      <c r="A285" t="str">
        <f>IF(DataTable[[#This Row],[Tm.]]="","N/A",DataTable[[#This Row],[Tm.]])</f>
        <v>N/A</v>
      </c>
      <c r="B285" t="str">
        <f>IF(DataTable[[#This Row],[Match Nr.]]="","N/A",DataTable[[#This Row],[Match Nr.]])</f>
        <v>N/A</v>
      </c>
      <c r="C2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5" t="str">
        <f>IF(AND(DataTable[[#This Row],[Successful Lo. G. S]]="",DataTable[[#This Row],[Successful Hi. G. S.]]=""),"N/A",DataTable[[#This Row],[Successful Lo. G. S]]*2+DataTable[[#This Row],[Successful Hi. G. S.]]*10)</f>
        <v>N/A</v>
      </c>
      <c r="H2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5" s="11" t="str">
        <f>IF(DataTable[[#This Row],[Lo. B. Successful Xings.]]="","N/A",SUM(ProcessedData[[#This Row],[Lo. B. Ti.]],DataTable[[#This Row],[Lo. B. Successful Xings.]]+1))</f>
        <v>N/A</v>
      </c>
      <c r="Z2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6" spans="1:26" x14ac:dyDescent="0.2">
      <c r="A286" t="str">
        <f>IF(DataTable[[#This Row],[Tm.]]="","N/A",DataTable[[#This Row],[Tm.]])</f>
        <v>N/A</v>
      </c>
      <c r="B286" t="str">
        <f>IF(DataTable[[#This Row],[Match Nr.]]="","N/A",DataTable[[#This Row],[Match Nr.]])</f>
        <v>N/A</v>
      </c>
      <c r="C2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6" t="str">
        <f>IF(AND(DataTable[[#This Row],[Successful Lo. G. S]]="",DataTable[[#This Row],[Successful Hi. G. S.]]=""),"N/A",DataTable[[#This Row],[Successful Lo. G. S]]*2+DataTable[[#This Row],[Successful Hi. G. S.]]*10)</f>
        <v>N/A</v>
      </c>
      <c r="H2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6" s="11" t="str">
        <f>IF(DataTable[[#This Row],[Lo. B. Successful Xings.]]="","N/A",SUM(ProcessedData[[#This Row],[Lo. B. Ti.]],DataTable[[#This Row],[Lo. B. Successful Xings.]]+1))</f>
        <v>N/A</v>
      </c>
      <c r="Z2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7" spans="1:26" x14ac:dyDescent="0.2">
      <c r="A287" t="str">
        <f>IF(DataTable[[#This Row],[Tm.]]="","N/A",DataTable[[#This Row],[Tm.]])</f>
        <v>N/A</v>
      </c>
      <c r="B287" t="str">
        <f>IF(DataTable[[#This Row],[Match Nr.]]="","N/A",DataTable[[#This Row],[Match Nr.]])</f>
        <v>N/A</v>
      </c>
      <c r="C2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7" t="str">
        <f>IF(AND(DataTable[[#This Row],[Successful Lo. G. S]]="",DataTable[[#This Row],[Successful Hi. G. S.]]=""),"N/A",DataTable[[#This Row],[Successful Lo. G. S]]*2+DataTable[[#This Row],[Successful Hi. G. S.]]*10)</f>
        <v>N/A</v>
      </c>
      <c r="H2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7" s="11" t="str">
        <f>IF(DataTable[[#This Row],[Lo. B. Successful Xings.]]="","N/A",SUM(ProcessedData[[#This Row],[Lo. B. Ti.]],DataTable[[#This Row],[Lo. B. Successful Xings.]]+1))</f>
        <v>N/A</v>
      </c>
      <c r="Z2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8" spans="1:26" x14ac:dyDescent="0.2">
      <c r="A288" t="str">
        <f>IF(DataTable[[#This Row],[Tm.]]="","N/A",DataTable[[#This Row],[Tm.]])</f>
        <v>N/A</v>
      </c>
      <c r="B288" t="str">
        <f>IF(DataTable[[#This Row],[Match Nr.]]="","N/A",DataTable[[#This Row],[Match Nr.]])</f>
        <v>N/A</v>
      </c>
      <c r="C2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8" t="str">
        <f>IF(AND(DataTable[[#This Row],[Successful Lo. G. S]]="",DataTable[[#This Row],[Successful Hi. G. S.]]=""),"N/A",DataTable[[#This Row],[Successful Lo. G. S]]*2+DataTable[[#This Row],[Successful Hi. G. S.]]*10)</f>
        <v>N/A</v>
      </c>
      <c r="H2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8" s="11" t="str">
        <f>IF(DataTable[[#This Row],[Lo. B. Successful Xings.]]="","N/A",SUM(ProcessedData[[#This Row],[Lo. B. Ti.]],DataTable[[#This Row],[Lo. B. Successful Xings.]]+1))</f>
        <v>N/A</v>
      </c>
      <c r="Z2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89" spans="1:26" x14ac:dyDescent="0.2">
      <c r="A289" t="str">
        <f>IF(DataTable[[#This Row],[Tm.]]="","N/A",DataTable[[#This Row],[Tm.]])</f>
        <v>N/A</v>
      </c>
      <c r="B289" t="str">
        <f>IF(DataTable[[#This Row],[Match Nr.]]="","N/A",DataTable[[#This Row],[Match Nr.]])</f>
        <v>N/A</v>
      </c>
      <c r="C2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89" t="str">
        <f>IF(AND(DataTable[[#This Row],[Successful Lo. G. S]]="",DataTable[[#This Row],[Successful Hi. G. S.]]=""),"N/A",DataTable[[#This Row],[Successful Lo. G. S]]*2+DataTable[[#This Row],[Successful Hi. G. S.]]*10)</f>
        <v>N/A</v>
      </c>
      <c r="H2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89" s="11" t="str">
        <f>IF(DataTable[[#This Row],[Lo. B. Successful Xings.]]="","N/A",SUM(ProcessedData[[#This Row],[Lo. B. Ti.]],DataTable[[#This Row],[Lo. B. Successful Xings.]]+1))</f>
        <v>N/A</v>
      </c>
      <c r="Z2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0" spans="1:26" x14ac:dyDescent="0.2">
      <c r="A290" t="str">
        <f>IF(DataTable[[#This Row],[Tm.]]="","N/A",DataTable[[#This Row],[Tm.]])</f>
        <v>N/A</v>
      </c>
      <c r="B290" t="str">
        <f>IF(DataTable[[#This Row],[Match Nr.]]="","N/A",DataTable[[#This Row],[Match Nr.]])</f>
        <v>N/A</v>
      </c>
      <c r="C2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0" t="str">
        <f>IF(AND(DataTable[[#This Row],[Successful Lo. G. S]]="",DataTable[[#This Row],[Successful Hi. G. S.]]=""),"N/A",DataTable[[#This Row],[Successful Lo. G. S]]*2+DataTable[[#This Row],[Successful Hi. G. S.]]*10)</f>
        <v>N/A</v>
      </c>
      <c r="H2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0" s="11" t="str">
        <f>IF(DataTable[[#This Row],[Lo. B. Successful Xings.]]="","N/A",SUM(ProcessedData[[#This Row],[Lo. B. Ti.]],DataTable[[#This Row],[Lo. B. Successful Xings.]]+1))</f>
        <v>N/A</v>
      </c>
      <c r="Z2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1" spans="1:26" x14ac:dyDescent="0.2">
      <c r="A291" t="str">
        <f>IF(DataTable[[#This Row],[Tm.]]="","N/A",DataTable[[#This Row],[Tm.]])</f>
        <v>N/A</v>
      </c>
      <c r="B291" t="str">
        <f>IF(DataTable[[#This Row],[Match Nr.]]="","N/A",DataTable[[#This Row],[Match Nr.]])</f>
        <v>N/A</v>
      </c>
      <c r="C2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1" t="str">
        <f>IF(AND(DataTable[[#This Row],[Successful Lo. G. S]]="",DataTable[[#This Row],[Successful Hi. G. S.]]=""),"N/A",DataTable[[#This Row],[Successful Lo. G. S]]*2+DataTable[[#This Row],[Successful Hi. G. S.]]*10)</f>
        <v>N/A</v>
      </c>
      <c r="H2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1" s="11" t="str">
        <f>IF(DataTable[[#This Row],[Lo. B. Successful Xings.]]="","N/A",SUM(ProcessedData[[#This Row],[Lo. B. Ti.]],DataTable[[#This Row],[Lo. B. Successful Xings.]]+1))</f>
        <v>N/A</v>
      </c>
      <c r="Z2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2" spans="1:26" x14ac:dyDescent="0.2">
      <c r="A292" t="str">
        <f>IF(DataTable[[#This Row],[Tm.]]="","N/A",DataTable[[#This Row],[Tm.]])</f>
        <v>N/A</v>
      </c>
      <c r="B292" t="str">
        <f>IF(DataTable[[#This Row],[Match Nr.]]="","N/A",DataTable[[#This Row],[Match Nr.]])</f>
        <v>N/A</v>
      </c>
      <c r="C2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2" t="str">
        <f>IF(AND(DataTable[[#This Row],[Successful Lo. G. S]]="",DataTable[[#This Row],[Successful Hi. G. S.]]=""),"N/A",DataTable[[#This Row],[Successful Lo. G. S]]*2+DataTable[[#This Row],[Successful Hi. G. S.]]*10)</f>
        <v>N/A</v>
      </c>
      <c r="H2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2" s="11" t="str">
        <f>IF(DataTable[[#This Row],[Lo. B. Successful Xings.]]="","N/A",SUM(ProcessedData[[#This Row],[Lo. B. Ti.]],DataTable[[#This Row],[Lo. B. Successful Xings.]]+1))</f>
        <v>N/A</v>
      </c>
      <c r="Z2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3" spans="1:26" x14ac:dyDescent="0.2">
      <c r="A293" t="str">
        <f>IF(DataTable[[#This Row],[Tm.]]="","N/A",DataTable[[#This Row],[Tm.]])</f>
        <v>N/A</v>
      </c>
      <c r="B293" t="str">
        <f>IF(DataTable[[#This Row],[Match Nr.]]="","N/A",DataTable[[#This Row],[Match Nr.]])</f>
        <v>N/A</v>
      </c>
      <c r="C2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3" t="str">
        <f>IF(AND(DataTable[[#This Row],[Successful Lo. G. S]]="",DataTable[[#This Row],[Successful Hi. G. S.]]=""),"N/A",DataTable[[#This Row],[Successful Lo. G. S]]*2+DataTable[[#This Row],[Successful Hi. G. S.]]*10)</f>
        <v>N/A</v>
      </c>
      <c r="H2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3" s="11" t="str">
        <f>IF(DataTable[[#This Row],[Lo. B. Successful Xings.]]="","N/A",SUM(ProcessedData[[#This Row],[Lo. B. Ti.]],DataTable[[#This Row],[Lo. B. Successful Xings.]]+1))</f>
        <v>N/A</v>
      </c>
      <c r="Z2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4" spans="1:26" x14ac:dyDescent="0.2">
      <c r="A294" t="str">
        <f>IF(DataTable[[#This Row],[Tm.]]="","N/A",DataTable[[#This Row],[Tm.]])</f>
        <v>N/A</v>
      </c>
      <c r="B294" t="str">
        <f>IF(DataTable[[#This Row],[Match Nr.]]="","N/A",DataTable[[#This Row],[Match Nr.]])</f>
        <v>N/A</v>
      </c>
      <c r="C2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4" t="str">
        <f>IF(AND(DataTable[[#This Row],[Successful Lo. G. S]]="",DataTable[[#This Row],[Successful Hi. G. S.]]=""),"N/A",DataTable[[#This Row],[Successful Lo. G. S]]*2+DataTable[[#This Row],[Successful Hi. G. S.]]*10)</f>
        <v>N/A</v>
      </c>
      <c r="H2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4" s="11" t="str">
        <f>IF(DataTable[[#This Row],[Lo. B. Successful Xings.]]="","N/A",SUM(ProcessedData[[#This Row],[Lo. B. Ti.]],DataTable[[#This Row],[Lo. B. Successful Xings.]]+1))</f>
        <v>N/A</v>
      </c>
      <c r="Z2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5" spans="1:26" x14ac:dyDescent="0.2">
      <c r="A295" t="str">
        <f>IF(DataTable[[#This Row],[Tm.]]="","N/A",DataTable[[#This Row],[Tm.]])</f>
        <v>N/A</v>
      </c>
      <c r="B295" t="str">
        <f>IF(DataTable[[#This Row],[Match Nr.]]="","N/A",DataTable[[#This Row],[Match Nr.]])</f>
        <v>N/A</v>
      </c>
      <c r="C2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5" t="str">
        <f>IF(AND(DataTable[[#This Row],[Successful Lo. G. S]]="",DataTable[[#This Row],[Successful Hi. G. S.]]=""),"N/A",DataTable[[#This Row],[Successful Lo. G. S]]*2+DataTable[[#This Row],[Successful Hi. G. S.]]*10)</f>
        <v>N/A</v>
      </c>
      <c r="H2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5" s="11" t="str">
        <f>IF(DataTable[[#This Row],[Lo. B. Successful Xings.]]="","N/A",SUM(ProcessedData[[#This Row],[Lo. B. Ti.]],DataTable[[#This Row],[Lo. B. Successful Xings.]]+1))</f>
        <v>N/A</v>
      </c>
      <c r="Z2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6" spans="1:26" x14ac:dyDescent="0.2">
      <c r="A296" t="str">
        <f>IF(DataTable[[#This Row],[Tm.]]="","N/A",DataTable[[#This Row],[Tm.]])</f>
        <v>N/A</v>
      </c>
      <c r="B296" t="str">
        <f>IF(DataTable[[#This Row],[Match Nr.]]="","N/A",DataTable[[#This Row],[Match Nr.]])</f>
        <v>N/A</v>
      </c>
      <c r="C2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6" t="str">
        <f>IF(AND(DataTable[[#This Row],[Successful Lo. G. S]]="",DataTable[[#This Row],[Successful Hi. G. S.]]=""),"N/A",DataTable[[#This Row],[Successful Lo. G. S]]*2+DataTable[[#This Row],[Successful Hi. G. S.]]*10)</f>
        <v>N/A</v>
      </c>
      <c r="H2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6" s="11" t="str">
        <f>IF(DataTable[[#This Row],[Lo. B. Successful Xings.]]="","N/A",SUM(ProcessedData[[#This Row],[Lo. B. Ti.]],DataTable[[#This Row],[Lo. B. Successful Xings.]]+1))</f>
        <v>N/A</v>
      </c>
      <c r="Z2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7" spans="1:26" x14ac:dyDescent="0.2">
      <c r="A297" t="str">
        <f>IF(DataTable[[#This Row],[Tm.]]="","N/A",DataTable[[#This Row],[Tm.]])</f>
        <v>N/A</v>
      </c>
      <c r="B297" t="str">
        <f>IF(DataTable[[#This Row],[Match Nr.]]="","N/A",DataTable[[#This Row],[Match Nr.]])</f>
        <v>N/A</v>
      </c>
      <c r="C2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7" t="str">
        <f>IF(AND(DataTable[[#This Row],[Successful Lo. G. S]]="",DataTable[[#This Row],[Successful Hi. G. S.]]=""),"N/A",DataTable[[#This Row],[Successful Lo. G. S]]*2+DataTable[[#This Row],[Successful Hi. G. S.]]*10)</f>
        <v>N/A</v>
      </c>
      <c r="H2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7" s="11" t="str">
        <f>IF(DataTable[[#This Row],[Lo. B. Successful Xings.]]="","N/A",SUM(ProcessedData[[#This Row],[Lo. B. Ti.]],DataTable[[#This Row],[Lo. B. Successful Xings.]]+1))</f>
        <v>N/A</v>
      </c>
      <c r="Z2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8" spans="1:26" x14ac:dyDescent="0.2">
      <c r="A298" t="str">
        <f>IF(DataTable[[#This Row],[Tm.]]="","N/A",DataTable[[#This Row],[Tm.]])</f>
        <v>N/A</v>
      </c>
      <c r="B298" t="str">
        <f>IF(DataTable[[#This Row],[Match Nr.]]="","N/A",DataTable[[#This Row],[Match Nr.]])</f>
        <v>N/A</v>
      </c>
      <c r="C2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8" t="str">
        <f>IF(AND(DataTable[[#This Row],[Successful Lo. G. S]]="",DataTable[[#This Row],[Successful Hi. G. S.]]=""),"N/A",DataTable[[#This Row],[Successful Lo. G. S]]*2+DataTable[[#This Row],[Successful Hi. G. S.]]*10)</f>
        <v>N/A</v>
      </c>
      <c r="H2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8" s="11" t="str">
        <f>IF(DataTable[[#This Row],[Lo. B. Successful Xings.]]="","N/A",SUM(ProcessedData[[#This Row],[Lo. B. Ti.]],DataTable[[#This Row],[Lo. B. Successful Xings.]]+1))</f>
        <v>N/A</v>
      </c>
      <c r="Z2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299" spans="1:26" x14ac:dyDescent="0.2">
      <c r="A299" t="str">
        <f>IF(DataTable[[#This Row],[Tm.]]="","N/A",DataTable[[#This Row],[Tm.]])</f>
        <v>N/A</v>
      </c>
      <c r="B299" t="str">
        <f>IF(DataTable[[#This Row],[Match Nr.]]="","N/A",DataTable[[#This Row],[Match Nr.]])</f>
        <v>N/A</v>
      </c>
      <c r="C2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2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2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2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299" t="str">
        <f>IF(AND(DataTable[[#This Row],[Successful Lo. G. S]]="",DataTable[[#This Row],[Successful Hi. G. S.]]=""),"N/A",DataTable[[#This Row],[Successful Lo. G. S]]*2+DataTable[[#This Row],[Successful Hi. G. S.]]*10)</f>
        <v>N/A</v>
      </c>
      <c r="H2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2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2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2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2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2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2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2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2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2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2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2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2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2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2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2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299" s="11" t="str">
        <f>IF(DataTable[[#This Row],[Lo. B. Successful Xings.]]="","N/A",SUM(ProcessedData[[#This Row],[Lo. B. Ti.]],DataTable[[#This Row],[Lo. B. Successful Xings.]]+1))</f>
        <v>N/A</v>
      </c>
      <c r="Z2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0" spans="1:26" x14ac:dyDescent="0.2">
      <c r="A300" t="str">
        <f>IF(DataTable[[#This Row],[Tm.]]="","N/A",DataTable[[#This Row],[Tm.]])</f>
        <v>N/A</v>
      </c>
      <c r="B300" t="str">
        <f>IF(DataTable[[#This Row],[Match Nr.]]="","N/A",DataTable[[#This Row],[Match Nr.]])</f>
        <v>N/A</v>
      </c>
      <c r="C3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0" t="str">
        <f>IF(AND(DataTable[[#This Row],[Successful Lo. G. S]]="",DataTable[[#This Row],[Successful Hi. G. S.]]=""),"N/A",DataTable[[#This Row],[Successful Lo. G. S]]*2+DataTable[[#This Row],[Successful Hi. G. S.]]*10)</f>
        <v>N/A</v>
      </c>
      <c r="H3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0" s="11" t="str">
        <f>IF(DataTable[[#This Row],[Lo. B. Successful Xings.]]="","N/A",SUM(ProcessedData[[#This Row],[Lo. B. Ti.]],DataTable[[#This Row],[Lo. B. Successful Xings.]]+1))</f>
        <v>N/A</v>
      </c>
      <c r="Z3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1" spans="1:26" x14ac:dyDescent="0.2">
      <c r="A301" t="str">
        <f>IF(DataTable[[#This Row],[Tm.]]="","N/A",DataTable[[#This Row],[Tm.]])</f>
        <v>N/A</v>
      </c>
      <c r="B301" t="str">
        <f>IF(DataTable[[#This Row],[Match Nr.]]="","N/A",DataTable[[#This Row],[Match Nr.]])</f>
        <v>N/A</v>
      </c>
      <c r="C3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1" t="str">
        <f>IF(AND(DataTable[[#This Row],[Successful Lo. G. S]]="",DataTable[[#This Row],[Successful Hi. G. S.]]=""),"N/A",DataTable[[#This Row],[Successful Lo. G. S]]*2+DataTable[[#This Row],[Successful Hi. G. S.]]*10)</f>
        <v>N/A</v>
      </c>
      <c r="H3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1" s="11" t="str">
        <f>IF(DataTable[[#This Row],[Lo. B. Successful Xings.]]="","N/A",SUM(ProcessedData[[#This Row],[Lo. B. Ti.]],DataTable[[#This Row],[Lo. B. Successful Xings.]]+1))</f>
        <v>N/A</v>
      </c>
      <c r="Z3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2" spans="1:26" x14ac:dyDescent="0.2">
      <c r="A302" t="str">
        <f>IF(DataTable[[#This Row],[Tm.]]="","N/A",DataTable[[#This Row],[Tm.]])</f>
        <v>N/A</v>
      </c>
      <c r="B302" t="str">
        <f>IF(DataTable[[#This Row],[Match Nr.]]="","N/A",DataTable[[#This Row],[Match Nr.]])</f>
        <v>N/A</v>
      </c>
      <c r="C3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2" t="str">
        <f>IF(AND(DataTable[[#This Row],[Successful Lo. G. S]]="",DataTable[[#This Row],[Successful Hi. G. S.]]=""),"N/A",DataTable[[#This Row],[Successful Lo. G. S]]*2+DataTable[[#This Row],[Successful Hi. G. S.]]*10)</f>
        <v>N/A</v>
      </c>
      <c r="H3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2" s="11" t="str">
        <f>IF(DataTable[[#This Row],[Lo. B. Successful Xings.]]="","N/A",SUM(ProcessedData[[#This Row],[Lo. B. Ti.]],DataTable[[#This Row],[Lo. B. Successful Xings.]]+1))</f>
        <v>N/A</v>
      </c>
      <c r="Z3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3" spans="1:26" x14ac:dyDescent="0.2">
      <c r="A303" t="str">
        <f>IF(DataTable[[#This Row],[Tm.]]="","N/A",DataTable[[#This Row],[Tm.]])</f>
        <v>N/A</v>
      </c>
      <c r="B303" t="str">
        <f>IF(DataTable[[#This Row],[Match Nr.]]="","N/A",DataTable[[#This Row],[Match Nr.]])</f>
        <v>N/A</v>
      </c>
      <c r="C3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3" t="str">
        <f>IF(AND(DataTable[[#This Row],[Successful Lo. G. S]]="",DataTable[[#This Row],[Successful Hi. G. S.]]=""),"N/A",DataTable[[#This Row],[Successful Lo. G. S]]*2+DataTable[[#This Row],[Successful Hi. G. S.]]*10)</f>
        <v>N/A</v>
      </c>
      <c r="H3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3" s="11" t="str">
        <f>IF(DataTable[[#This Row],[Lo. B. Successful Xings.]]="","N/A",SUM(ProcessedData[[#This Row],[Lo. B. Ti.]],DataTable[[#This Row],[Lo. B. Successful Xings.]]+1))</f>
        <v>N/A</v>
      </c>
      <c r="Z3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4" spans="1:26" x14ac:dyDescent="0.2">
      <c r="A304" t="str">
        <f>IF(DataTable[[#This Row],[Tm.]]="","N/A",DataTable[[#This Row],[Tm.]])</f>
        <v>N/A</v>
      </c>
      <c r="B304" t="str">
        <f>IF(DataTable[[#This Row],[Match Nr.]]="","N/A",DataTable[[#This Row],[Match Nr.]])</f>
        <v>N/A</v>
      </c>
      <c r="C3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4" t="str">
        <f>IF(AND(DataTable[[#This Row],[Successful Lo. G. S]]="",DataTable[[#This Row],[Successful Hi. G. S.]]=""),"N/A",DataTable[[#This Row],[Successful Lo. G. S]]*2+DataTable[[#This Row],[Successful Hi. G. S.]]*10)</f>
        <v>N/A</v>
      </c>
      <c r="H3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4" s="11" t="str">
        <f>IF(DataTable[[#This Row],[Lo. B. Successful Xings.]]="","N/A",SUM(ProcessedData[[#This Row],[Lo. B. Ti.]],DataTable[[#This Row],[Lo. B. Successful Xings.]]+1))</f>
        <v>N/A</v>
      </c>
      <c r="Z3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5" spans="1:26" x14ac:dyDescent="0.2">
      <c r="A305" t="str">
        <f>IF(DataTable[[#This Row],[Tm.]]="","N/A",DataTable[[#This Row],[Tm.]])</f>
        <v>N/A</v>
      </c>
      <c r="B305" t="str">
        <f>IF(DataTable[[#This Row],[Match Nr.]]="","N/A",DataTable[[#This Row],[Match Nr.]])</f>
        <v>N/A</v>
      </c>
      <c r="C3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5" t="str">
        <f>IF(AND(DataTable[[#This Row],[Successful Lo. G. S]]="",DataTable[[#This Row],[Successful Hi. G. S.]]=""),"N/A",DataTable[[#This Row],[Successful Lo. G. S]]*2+DataTable[[#This Row],[Successful Hi. G. S.]]*10)</f>
        <v>N/A</v>
      </c>
      <c r="H3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5" s="11" t="str">
        <f>IF(DataTable[[#This Row],[Lo. B. Successful Xings.]]="","N/A",SUM(ProcessedData[[#This Row],[Lo. B. Ti.]],DataTable[[#This Row],[Lo. B. Successful Xings.]]+1))</f>
        <v>N/A</v>
      </c>
      <c r="Z3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6" spans="1:26" x14ac:dyDescent="0.2">
      <c r="A306" t="str">
        <f>IF(DataTable[[#This Row],[Tm.]]="","N/A",DataTable[[#This Row],[Tm.]])</f>
        <v>N/A</v>
      </c>
      <c r="B306" t="str">
        <f>IF(DataTable[[#This Row],[Match Nr.]]="","N/A",DataTable[[#This Row],[Match Nr.]])</f>
        <v>N/A</v>
      </c>
      <c r="C3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6" t="str">
        <f>IF(AND(DataTable[[#This Row],[Successful Lo. G. S]]="",DataTable[[#This Row],[Successful Hi. G. S.]]=""),"N/A",DataTable[[#This Row],[Successful Lo. G. S]]*2+DataTable[[#This Row],[Successful Hi. G. S.]]*10)</f>
        <v>N/A</v>
      </c>
      <c r="H3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6" s="11" t="str">
        <f>IF(DataTable[[#This Row],[Lo. B. Successful Xings.]]="","N/A",SUM(ProcessedData[[#This Row],[Lo. B. Ti.]],DataTable[[#This Row],[Lo. B. Successful Xings.]]+1))</f>
        <v>N/A</v>
      </c>
      <c r="Z3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7" spans="1:26" x14ac:dyDescent="0.2">
      <c r="A307" t="str">
        <f>IF(DataTable[[#This Row],[Tm.]]="","N/A",DataTable[[#This Row],[Tm.]])</f>
        <v>N/A</v>
      </c>
      <c r="B307" t="str">
        <f>IF(DataTable[[#This Row],[Match Nr.]]="","N/A",DataTable[[#This Row],[Match Nr.]])</f>
        <v>N/A</v>
      </c>
      <c r="C3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7" t="str">
        <f>IF(AND(DataTable[[#This Row],[Successful Lo. G. S]]="",DataTable[[#This Row],[Successful Hi. G. S.]]=""),"N/A",DataTable[[#This Row],[Successful Lo. G. S]]*2+DataTable[[#This Row],[Successful Hi. G. S.]]*10)</f>
        <v>N/A</v>
      </c>
      <c r="H3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7" s="11" t="str">
        <f>IF(DataTable[[#This Row],[Lo. B. Successful Xings.]]="","N/A",SUM(ProcessedData[[#This Row],[Lo. B. Ti.]],DataTable[[#This Row],[Lo. B. Successful Xings.]]+1))</f>
        <v>N/A</v>
      </c>
      <c r="Z3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8" spans="1:26" x14ac:dyDescent="0.2">
      <c r="A308" t="str">
        <f>IF(DataTable[[#This Row],[Tm.]]="","N/A",DataTable[[#This Row],[Tm.]])</f>
        <v>N/A</v>
      </c>
      <c r="B308" t="str">
        <f>IF(DataTable[[#This Row],[Match Nr.]]="","N/A",DataTable[[#This Row],[Match Nr.]])</f>
        <v>N/A</v>
      </c>
      <c r="C3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8" t="str">
        <f>IF(AND(DataTable[[#This Row],[Successful Lo. G. S]]="",DataTable[[#This Row],[Successful Hi. G. S.]]=""),"N/A",DataTable[[#This Row],[Successful Lo. G. S]]*2+DataTable[[#This Row],[Successful Hi. G. S.]]*10)</f>
        <v>N/A</v>
      </c>
      <c r="H3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8" s="11" t="str">
        <f>IF(DataTable[[#This Row],[Lo. B. Successful Xings.]]="","N/A",SUM(ProcessedData[[#This Row],[Lo. B. Ti.]],DataTable[[#This Row],[Lo. B. Successful Xings.]]+1))</f>
        <v>N/A</v>
      </c>
      <c r="Z3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09" spans="1:26" x14ac:dyDescent="0.2">
      <c r="A309" t="str">
        <f>IF(DataTable[[#This Row],[Tm.]]="","N/A",DataTable[[#This Row],[Tm.]])</f>
        <v>N/A</v>
      </c>
      <c r="B309" t="str">
        <f>IF(DataTable[[#This Row],[Match Nr.]]="","N/A",DataTable[[#This Row],[Match Nr.]])</f>
        <v>N/A</v>
      </c>
      <c r="C3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09" t="str">
        <f>IF(AND(DataTable[[#This Row],[Successful Lo. G. S]]="",DataTable[[#This Row],[Successful Hi. G. S.]]=""),"N/A",DataTable[[#This Row],[Successful Lo. G. S]]*2+DataTable[[#This Row],[Successful Hi. G. S.]]*10)</f>
        <v>N/A</v>
      </c>
      <c r="H3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09" s="11" t="str">
        <f>IF(DataTable[[#This Row],[Lo. B. Successful Xings.]]="","N/A",SUM(ProcessedData[[#This Row],[Lo. B. Ti.]],DataTable[[#This Row],[Lo. B. Successful Xings.]]+1))</f>
        <v>N/A</v>
      </c>
      <c r="Z3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0" spans="1:26" x14ac:dyDescent="0.2">
      <c r="A310" t="str">
        <f>IF(DataTable[[#This Row],[Tm.]]="","N/A",DataTable[[#This Row],[Tm.]])</f>
        <v>N/A</v>
      </c>
      <c r="B310" t="str">
        <f>IF(DataTable[[#This Row],[Match Nr.]]="","N/A",DataTable[[#This Row],[Match Nr.]])</f>
        <v>N/A</v>
      </c>
      <c r="C3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0" t="str">
        <f>IF(AND(DataTable[[#This Row],[Successful Lo. G. S]]="",DataTable[[#This Row],[Successful Hi. G. S.]]=""),"N/A",DataTable[[#This Row],[Successful Lo. G. S]]*2+DataTable[[#This Row],[Successful Hi. G. S.]]*10)</f>
        <v>N/A</v>
      </c>
      <c r="H3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0" s="11" t="str">
        <f>IF(DataTable[[#This Row],[Lo. B. Successful Xings.]]="","N/A",SUM(ProcessedData[[#This Row],[Lo. B. Ti.]],DataTable[[#This Row],[Lo. B. Successful Xings.]]+1))</f>
        <v>N/A</v>
      </c>
      <c r="Z3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1" spans="1:26" x14ac:dyDescent="0.2">
      <c r="A311" t="str">
        <f>IF(DataTable[[#This Row],[Tm.]]="","N/A",DataTable[[#This Row],[Tm.]])</f>
        <v>N/A</v>
      </c>
      <c r="B311" t="str">
        <f>IF(DataTable[[#This Row],[Match Nr.]]="","N/A",DataTable[[#This Row],[Match Nr.]])</f>
        <v>N/A</v>
      </c>
      <c r="C3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1" t="str">
        <f>IF(AND(DataTable[[#This Row],[Successful Lo. G. S]]="",DataTable[[#This Row],[Successful Hi. G. S.]]=""),"N/A",DataTable[[#This Row],[Successful Lo. G. S]]*2+DataTable[[#This Row],[Successful Hi. G. S.]]*10)</f>
        <v>N/A</v>
      </c>
      <c r="H3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1" s="11" t="str">
        <f>IF(DataTable[[#This Row],[Lo. B. Successful Xings.]]="","N/A",SUM(ProcessedData[[#This Row],[Lo. B. Ti.]],DataTable[[#This Row],[Lo. B. Successful Xings.]]+1))</f>
        <v>N/A</v>
      </c>
      <c r="Z3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2" spans="1:26" x14ac:dyDescent="0.2">
      <c r="A312" t="str">
        <f>IF(DataTable[[#This Row],[Tm.]]="","N/A",DataTable[[#This Row],[Tm.]])</f>
        <v>N/A</v>
      </c>
      <c r="B312" t="str">
        <f>IF(DataTable[[#This Row],[Match Nr.]]="","N/A",DataTable[[#This Row],[Match Nr.]])</f>
        <v>N/A</v>
      </c>
      <c r="C3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2" t="str">
        <f>IF(AND(DataTable[[#This Row],[Successful Lo. G. S]]="",DataTable[[#This Row],[Successful Hi. G. S.]]=""),"N/A",DataTable[[#This Row],[Successful Lo. G. S]]*2+DataTable[[#This Row],[Successful Hi. G. S.]]*10)</f>
        <v>N/A</v>
      </c>
      <c r="H3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2" s="11" t="str">
        <f>IF(DataTable[[#This Row],[Lo. B. Successful Xings.]]="","N/A",SUM(ProcessedData[[#This Row],[Lo. B. Ti.]],DataTable[[#This Row],[Lo. B. Successful Xings.]]+1))</f>
        <v>N/A</v>
      </c>
      <c r="Z3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3" spans="1:26" x14ac:dyDescent="0.2">
      <c r="A313" t="str">
        <f>IF(DataTable[[#This Row],[Tm.]]="","N/A",DataTable[[#This Row],[Tm.]])</f>
        <v>N/A</v>
      </c>
      <c r="B313" t="str">
        <f>IF(DataTable[[#This Row],[Match Nr.]]="","N/A",DataTable[[#This Row],[Match Nr.]])</f>
        <v>N/A</v>
      </c>
      <c r="C3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3" t="str">
        <f>IF(AND(DataTable[[#This Row],[Successful Lo. G. S]]="",DataTable[[#This Row],[Successful Hi. G. S.]]=""),"N/A",DataTable[[#This Row],[Successful Lo. G. S]]*2+DataTable[[#This Row],[Successful Hi. G. S.]]*10)</f>
        <v>N/A</v>
      </c>
      <c r="H3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3" s="11" t="str">
        <f>IF(DataTable[[#This Row],[Lo. B. Successful Xings.]]="","N/A",SUM(ProcessedData[[#This Row],[Lo. B. Ti.]],DataTable[[#This Row],[Lo. B. Successful Xings.]]+1))</f>
        <v>N/A</v>
      </c>
      <c r="Z3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4" spans="1:26" x14ac:dyDescent="0.2">
      <c r="A314" t="str">
        <f>IF(DataTable[[#This Row],[Tm.]]="","N/A",DataTable[[#This Row],[Tm.]])</f>
        <v>N/A</v>
      </c>
      <c r="B314" t="str">
        <f>IF(DataTable[[#This Row],[Match Nr.]]="","N/A",DataTable[[#This Row],[Match Nr.]])</f>
        <v>N/A</v>
      </c>
      <c r="C3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4" t="str">
        <f>IF(AND(DataTable[[#This Row],[Successful Lo. G. S]]="",DataTable[[#This Row],[Successful Hi. G. S.]]=""),"N/A",DataTable[[#This Row],[Successful Lo. G. S]]*2+DataTable[[#This Row],[Successful Hi. G. S.]]*10)</f>
        <v>N/A</v>
      </c>
      <c r="H3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4" s="11" t="str">
        <f>IF(DataTable[[#This Row],[Lo. B. Successful Xings.]]="","N/A",SUM(ProcessedData[[#This Row],[Lo. B. Ti.]],DataTable[[#This Row],[Lo. B. Successful Xings.]]+1))</f>
        <v>N/A</v>
      </c>
      <c r="Z3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5" spans="1:26" x14ac:dyDescent="0.2">
      <c r="A315" t="str">
        <f>IF(DataTable[[#This Row],[Tm.]]="","N/A",DataTable[[#This Row],[Tm.]])</f>
        <v>N/A</v>
      </c>
      <c r="B315" t="str">
        <f>IF(DataTable[[#This Row],[Match Nr.]]="","N/A",DataTable[[#This Row],[Match Nr.]])</f>
        <v>N/A</v>
      </c>
      <c r="C3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5" t="str">
        <f>IF(AND(DataTable[[#This Row],[Successful Lo. G. S]]="",DataTable[[#This Row],[Successful Hi. G. S.]]=""),"N/A",DataTable[[#This Row],[Successful Lo. G. S]]*2+DataTable[[#This Row],[Successful Hi. G. S.]]*10)</f>
        <v>N/A</v>
      </c>
      <c r="H3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5" s="11" t="str">
        <f>IF(DataTable[[#This Row],[Lo. B. Successful Xings.]]="","N/A",SUM(ProcessedData[[#This Row],[Lo. B. Ti.]],DataTable[[#This Row],[Lo. B. Successful Xings.]]+1))</f>
        <v>N/A</v>
      </c>
      <c r="Z3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6" spans="1:26" x14ac:dyDescent="0.2">
      <c r="A316" t="str">
        <f>IF(DataTable[[#This Row],[Tm.]]="","N/A",DataTable[[#This Row],[Tm.]])</f>
        <v>N/A</v>
      </c>
      <c r="B316" t="str">
        <f>IF(DataTable[[#This Row],[Match Nr.]]="","N/A",DataTable[[#This Row],[Match Nr.]])</f>
        <v>N/A</v>
      </c>
      <c r="C3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6" t="str">
        <f>IF(AND(DataTable[[#This Row],[Successful Lo. G. S]]="",DataTable[[#This Row],[Successful Hi. G. S.]]=""),"N/A",DataTable[[#This Row],[Successful Lo. G. S]]*2+DataTable[[#This Row],[Successful Hi. G. S.]]*10)</f>
        <v>N/A</v>
      </c>
      <c r="H3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6" s="11" t="str">
        <f>IF(DataTable[[#This Row],[Lo. B. Successful Xings.]]="","N/A",SUM(ProcessedData[[#This Row],[Lo. B. Ti.]],DataTable[[#This Row],[Lo. B. Successful Xings.]]+1))</f>
        <v>N/A</v>
      </c>
      <c r="Z3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7" spans="1:26" x14ac:dyDescent="0.2">
      <c r="A317" t="str">
        <f>IF(DataTable[[#This Row],[Tm.]]="","N/A",DataTable[[#This Row],[Tm.]])</f>
        <v>N/A</v>
      </c>
      <c r="B317" t="str">
        <f>IF(DataTable[[#This Row],[Match Nr.]]="","N/A",DataTable[[#This Row],[Match Nr.]])</f>
        <v>N/A</v>
      </c>
      <c r="C3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7" t="str">
        <f>IF(AND(DataTable[[#This Row],[Successful Lo. G. S]]="",DataTable[[#This Row],[Successful Hi. G. S.]]=""),"N/A",DataTable[[#This Row],[Successful Lo. G. S]]*2+DataTable[[#This Row],[Successful Hi. G. S.]]*10)</f>
        <v>N/A</v>
      </c>
      <c r="H3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7" s="11" t="str">
        <f>IF(DataTable[[#This Row],[Lo. B. Successful Xings.]]="","N/A",SUM(ProcessedData[[#This Row],[Lo. B. Ti.]],DataTable[[#This Row],[Lo. B. Successful Xings.]]+1))</f>
        <v>N/A</v>
      </c>
      <c r="Z3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8" spans="1:26" x14ac:dyDescent="0.2">
      <c r="A318" t="str">
        <f>IF(DataTable[[#This Row],[Tm.]]="","N/A",DataTable[[#This Row],[Tm.]])</f>
        <v>N/A</v>
      </c>
      <c r="B318" t="str">
        <f>IF(DataTable[[#This Row],[Match Nr.]]="","N/A",DataTable[[#This Row],[Match Nr.]])</f>
        <v>N/A</v>
      </c>
      <c r="C3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8" t="str">
        <f>IF(AND(DataTable[[#This Row],[Successful Lo. G. S]]="",DataTable[[#This Row],[Successful Hi. G. S.]]=""),"N/A",DataTable[[#This Row],[Successful Lo. G. S]]*2+DataTable[[#This Row],[Successful Hi. G. S.]]*10)</f>
        <v>N/A</v>
      </c>
      <c r="H3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8" s="11" t="str">
        <f>IF(DataTable[[#This Row],[Lo. B. Successful Xings.]]="","N/A",SUM(ProcessedData[[#This Row],[Lo. B. Ti.]],DataTable[[#This Row],[Lo. B. Successful Xings.]]+1))</f>
        <v>N/A</v>
      </c>
      <c r="Z3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19" spans="1:26" x14ac:dyDescent="0.2">
      <c r="A319" t="str">
        <f>IF(DataTable[[#This Row],[Tm.]]="","N/A",DataTable[[#This Row],[Tm.]])</f>
        <v>N/A</v>
      </c>
      <c r="B319" t="str">
        <f>IF(DataTable[[#This Row],[Match Nr.]]="","N/A",DataTable[[#This Row],[Match Nr.]])</f>
        <v>N/A</v>
      </c>
      <c r="C3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19" t="str">
        <f>IF(AND(DataTable[[#This Row],[Successful Lo. G. S]]="",DataTable[[#This Row],[Successful Hi. G. S.]]=""),"N/A",DataTable[[#This Row],[Successful Lo. G. S]]*2+DataTable[[#This Row],[Successful Hi. G. S.]]*10)</f>
        <v>N/A</v>
      </c>
      <c r="H3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19" s="11" t="str">
        <f>IF(DataTable[[#This Row],[Lo. B. Successful Xings.]]="","N/A",SUM(ProcessedData[[#This Row],[Lo. B. Ti.]],DataTable[[#This Row],[Lo. B. Successful Xings.]]+1))</f>
        <v>N/A</v>
      </c>
      <c r="Z3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0" spans="1:26" x14ac:dyDescent="0.2">
      <c r="A320" t="str">
        <f>IF(DataTable[[#This Row],[Tm.]]="","N/A",DataTable[[#This Row],[Tm.]])</f>
        <v>N/A</v>
      </c>
      <c r="B320" t="str">
        <f>IF(DataTable[[#This Row],[Match Nr.]]="","N/A",DataTable[[#This Row],[Match Nr.]])</f>
        <v>N/A</v>
      </c>
      <c r="C3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0" t="str">
        <f>IF(AND(DataTable[[#This Row],[Successful Lo. G. S]]="",DataTable[[#This Row],[Successful Hi. G. S.]]=""),"N/A",DataTable[[#This Row],[Successful Lo. G. S]]*2+DataTable[[#This Row],[Successful Hi. G. S.]]*10)</f>
        <v>N/A</v>
      </c>
      <c r="H3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0" s="11" t="str">
        <f>IF(DataTable[[#This Row],[Lo. B. Successful Xings.]]="","N/A",SUM(ProcessedData[[#This Row],[Lo. B. Ti.]],DataTable[[#This Row],[Lo. B. Successful Xings.]]+1))</f>
        <v>N/A</v>
      </c>
      <c r="Z3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1" spans="1:26" x14ac:dyDescent="0.2">
      <c r="A321" t="str">
        <f>IF(DataTable[[#This Row],[Tm.]]="","N/A",DataTable[[#This Row],[Tm.]])</f>
        <v>N/A</v>
      </c>
      <c r="B321" t="str">
        <f>IF(DataTable[[#This Row],[Match Nr.]]="","N/A",DataTable[[#This Row],[Match Nr.]])</f>
        <v>N/A</v>
      </c>
      <c r="C3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1" t="str">
        <f>IF(AND(DataTable[[#This Row],[Successful Lo. G. S]]="",DataTable[[#This Row],[Successful Hi. G. S.]]=""),"N/A",DataTable[[#This Row],[Successful Lo. G. S]]*2+DataTable[[#This Row],[Successful Hi. G. S.]]*10)</f>
        <v>N/A</v>
      </c>
      <c r="H3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1" s="11" t="str">
        <f>IF(DataTable[[#This Row],[Lo. B. Successful Xings.]]="","N/A",SUM(ProcessedData[[#This Row],[Lo. B. Ti.]],DataTable[[#This Row],[Lo. B. Successful Xings.]]+1))</f>
        <v>N/A</v>
      </c>
      <c r="Z3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2" spans="1:26" x14ac:dyDescent="0.2">
      <c r="A322" t="str">
        <f>IF(DataTable[[#This Row],[Tm.]]="","N/A",DataTable[[#This Row],[Tm.]])</f>
        <v>N/A</v>
      </c>
      <c r="B322" t="str">
        <f>IF(DataTable[[#This Row],[Match Nr.]]="","N/A",DataTable[[#This Row],[Match Nr.]])</f>
        <v>N/A</v>
      </c>
      <c r="C3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2" t="str">
        <f>IF(AND(DataTable[[#This Row],[Successful Lo. G. S]]="",DataTable[[#This Row],[Successful Hi. G. S.]]=""),"N/A",DataTable[[#This Row],[Successful Lo. G. S]]*2+DataTable[[#This Row],[Successful Hi. G. S.]]*10)</f>
        <v>N/A</v>
      </c>
      <c r="H3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2" s="11" t="str">
        <f>IF(DataTable[[#This Row],[Lo. B. Successful Xings.]]="","N/A",SUM(ProcessedData[[#This Row],[Lo. B. Ti.]],DataTable[[#This Row],[Lo. B. Successful Xings.]]+1))</f>
        <v>N/A</v>
      </c>
      <c r="Z3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3" spans="1:26" x14ac:dyDescent="0.2">
      <c r="A323" t="str">
        <f>IF(DataTable[[#This Row],[Tm.]]="","N/A",DataTable[[#This Row],[Tm.]])</f>
        <v>N/A</v>
      </c>
      <c r="B323" t="str">
        <f>IF(DataTable[[#This Row],[Match Nr.]]="","N/A",DataTable[[#This Row],[Match Nr.]])</f>
        <v>N/A</v>
      </c>
      <c r="C3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3" t="str">
        <f>IF(AND(DataTable[[#This Row],[Successful Lo. G. S]]="",DataTable[[#This Row],[Successful Hi. G. S.]]=""),"N/A",DataTable[[#This Row],[Successful Lo. G. S]]*2+DataTable[[#This Row],[Successful Hi. G. S.]]*10)</f>
        <v>N/A</v>
      </c>
      <c r="H3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3" s="11" t="str">
        <f>IF(DataTable[[#This Row],[Lo. B. Successful Xings.]]="","N/A",SUM(ProcessedData[[#This Row],[Lo. B. Ti.]],DataTable[[#This Row],[Lo. B. Successful Xings.]]+1))</f>
        <v>N/A</v>
      </c>
      <c r="Z3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4" spans="1:26" x14ac:dyDescent="0.2">
      <c r="A324" t="str">
        <f>IF(DataTable[[#This Row],[Tm.]]="","N/A",DataTable[[#This Row],[Tm.]])</f>
        <v>N/A</v>
      </c>
      <c r="B324" t="str">
        <f>IF(DataTable[[#This Row],[Match Nr.]]="","N/A",DataTable[[#This Row],[Match Nr.]])</f>
        <v>N/A</v>
      </c>
      <c r="C3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4" t="str">
        <f>IF(AND(DataTable[[#This Row],[Successful Lo. G. S]]="",DataTable[[#This Row],[Successful Hi. G. S.]]=""),"N/A",DataTable[[#This Row],[Successful Lo. G. S]]*2+DataTable[[#This Row],[Successful Hi. G. S.]]*10)</f>
        <v>N/A</v>
      </c>
      <c r="H3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4" s="11" t="str">
        <f>IF(DataTable[[#This Row],[Lo. B. Successful Xings.]]="","N/A",SUM(ProcessedData[[#This Row],[Lo. B. Ti.]],DataTable[[#This Row],[Lo. B. Successful Xings.]]+1))</f>
        <v>N/A</v>
      </c>
      <c r="Z3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5" spans="1:26" x14ac:dyDescent="0.2">
      <c r="A325" t="str">
        <f>IF(DataTable[[#This Row],[Tm.]]="","N/A",DataTable[[#This Row],[Tm.]])</f>
        <v>N/A</v>
      </c>
      <c r="B325" t="str">
        <f>IF(DataTable[[#This Row],[Match Nr.]]="","N/A",DataTable[[#This Row],[Match Nr.]])</f>
        <v>N/A</v>
      </c>
      <c r="C3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5" t="str">
        <f>IF(AND(DataTable[[#This Row],[Successful Lo. G. S]]="",DataTable[[#This Row],[Successful Hi. G. S.]]=""),"N/A",DataTable[[#This Row],[Successful Lo. G. S]]*2+DataTable[[#This Row],[Successful Hi. G. S.]]*10)</f>
        <v>N/A</v>
      </c>
      <c r="H3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5" s="11" t="str">
        <f>IF(DataTable[[#This Row],[Lo. B. Successful Xings.]]="","N/A",SUM(ProcessedData[[#This Row],[Lo. B. Ti.]],DataTable[[#This Row],[Lo. B. Successful Xings.]]+1))</f>
        <v>N/A</v>
      </c>
      <c r="Z3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6" spans="1:26" x14ac:dyDescent="0.2">
      <c r="A326" t="str">
        <f>IF(DataTable[[#This Row],[Tm.]]="","N/A",DataTable[[#This Row],[Tm.]])</f>
        <v>N/A</v>
      </c>
      <c r="B326" t="str">
        <f>IF(DataTable[[#This Row],[Match Nr.]]="","N/A",DataTable[[#This Row],[Match Nr.]])</f>
        <v>N/A</v>
      </c>
      <c r="C3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6" t="str">
        <f>IF(AND(DataTable[[#This Row],[Successful Lo. G. S]]="",DataTable[[#This Row],[Successful Hi. G. S.]]=""),"N/A",DataTable[[#This Row],[Successful Lo. G. S]]*2+DataTable[[#This Row],[Successful Hi. G. S.]]*10)</f>
        <v>N/A</v>
      </c>
      <c r="H3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6" s="11" t="str">
        <f>IF(DataTable[[#This Row],[Lo. B. Successful Xings.]]="","N/A",SUM(ProcessedData[[#This Row],[Lo. B. Ti.]],DataTable[[#This Row],[Lo. B. Successful Xings.]]+1))</f>
        <v>N/A</v>
      </c>
      <c r="Z3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7" spans="1:26" x14ac:dyDescent="0.2">
      <c r="A327" t="str">
        <f>IF(DataTable[[#This Row],[Tm.]]="","N/A",DataTable[[#This Row],[Tm.]])</f>
        <v>N/A</v>
      </c>
      <c r="B327" t="str">
        <f>IF(DataTable[[#This Row],[Match Nr.]]="","N/A",DataTable[[#This Row],[Match Nr.]])</f>
        <v>N/A</v>
      </c>
      <c r="C3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7" t="str">
        <f>IF(AND(DataTable[[#This Row],[Successful Lo. G. S]]="",DataTable[[#This Row],[Successful Hi. G. S.]]=""),"N/A",DataTable[[#This Row],[Successful Lo. G. S]]*2+DataTable[[#This Row],[Successful Hi. G. S.]]*10)</f>
        <v>N/A</v>
      </c>
      <c r="H3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7" s="11" t="str">
        <f>IF(DataTable[[#This Row],[Lo. B. Successful Xings.]]="","N/A",SUM(ProcessedData[[#This Row],[Lo. B. Ti.]],DataTable[[#This Row],[Lo. B. Successful Xings.]]+1))</f>
        <v>N/A</v>
      </c>
      <c r="Z3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8" spans="1:26" x14ac:dyDescent="0.2">
      <c r="A328" t="str">
        <f>IF(DataTable[[#This Row],[Tm.]]="","N/A",DataTable[[#This Row],[Tm.]])</f>
        <v>N/A</v>
      </c>
      <c r="B328" t="str">
        <f>IF(DataTable[[#This Row],[Match Nr.]]="","N/A",DataTable[[#This Row],[Match Nr.]])</f>
        <v>N/A</v>
      </c>
      <c r="C3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8" t="str">
        <f>IF(AND(DataTable[[#This Row],[Successful Lo. G. S]]="",DataTable[[#This Row],[Successful Hi. G. S.]]=""),"N/A",DataTable[[#This Row],[Successful Lo. G. S]]*2+DataTable[[#This Row],[Successful Hi. G. S.]]*10)</f>
        <v>N/A</v>
      </c>
      <c r="H3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8" s="11" t="str">
        <f>IF(DataTable[[#This Row],[Lo. B. Successful Xings.]]="","N/A",SUM(ProcessedData[[#This Row],[Lo. B. Ti.]],DataTable[[#This Row],[Lo. B. Successful Xings.]]+1))</f>
        <v>N/A</v>
      </c>
      <c r="Z3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29" spans="1:26" x14ac:dyDescent="0.2">
      <c r="A329" t="str">
        <f>IF(DataTable[[#This Row],[Tm.]]="","N/A",DataTable[[#This Row],[Tm.]])</f>
        <v>N/A</v>
      </c>
      <c r="B329" t="str">
        <f>IF(DataTable[[#This Row],[Match Nr.]]="","N/A",DataTable[[#This Row],[Match Nr.]])</f>
        <v>N/A</v>
      </c>
      <c r="C3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29" t="str">
        <f>IF(AND(DataTable[[#This Row],[Successful Lo. G. S]]="",DataTable[[#This Row],[Successful Hi. G. S.]]=""),"N/A",DataTable[[#This Row],[Successful Lo. G. S]]*2+DataTable[[#This Row],[Successful Hi. G. S.]]*10)</f>
        <v>N/A</v>
      </c>
      <c r="H3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29" s="11" t="str">
        <f>IF(DataTable[[#This Row],[Lo. B. Successful Xings.]]="","N/A",SUM(ProcessedData[[#This Row],[Lo. B. Ti.]],DataTable[[#This Row],[Lo. B. Successful Xings.]]+1))</f>
        <v>N/A</v>
      </c>
      <c r="Z3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0" spans="1:26" x14ac:dyDescent="0.2">
      <c r="A330" t="str">
        <f>IF(DataTable[[#This Row],[Tm.]]="","N/A",DataTable[[#This Row],[Tm.]])</f>
        <v>N/A</v>
      </c>
      <c r="B330" t="str">
        <f>IF(DataTable[[#This Row],[Match Nr.]]="","N/A",DataTable[[#This Row],[Match Nr.]])</f>
        <v>N/A</v>
      </c>
      <c r="C3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0" t="str">
        <f>IF(AND(DataTable[[#This Row],[Successful Lo. G. S]]="",DataTable[[#This Row],[Successful Hi. G. S.]]=""),"N/A",DataTable[[#This Row],[Successful Lo. G. S]]*2+DataTable[[#This Row],[Successful Hi. G. S.]]*10)</f>
        <v>N/A</v>
      </c>
      <c r="H3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0" s="11" t="str">
        <f>IF(DataTable[[#This Row],[Lo. B. Successful Xings.]]="","N/A",SUM(ProcessedData[[#This Row],[Lo. B. Ti.]],DataTable[[#This Row],[Lo. B. Successful Xings.]]+1))</f>
        <v>N/A</v>
      </c>
      <c r="Z3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1" spans="1:26" x14ac:dyDescent="0.2">
      <c r="A331" t="str">
        <f>IF(DataTable[[#This Row],[Tm.]]="","N/A",DataTable[[#This Row],[Tm.]])</f>
        <v>N/A</v>
      </c>
      <c r="B331" t="str">
        <f>IF(DataTable[[#This Row],[Match Nr.]]="","N/A",DataTable[[#This Row],[Match Nr.]])</f>
        <v>N/A</v>
      </c>
      <c r="C3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1" t="str">
        <f>IF(AND(DataTable[[#This Row],[Successful Lo. G. S]]="",DataTable[[#This Row],[Successful Hi. G. S.]]=""),"N/A",DataTable[[#This Row],[Successful Lo. G. S]]*2+DataTable[[#This Row],[Successful Hi. G. S.]]*10)</f>
        <v>N/A</v>
      </c>
      <c r="H3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1" s="11" t="str">
        <f>IF(DataTable[[#This Row],[Lo. B. Successful Xings.]]="","N/A",SUM(ProcessedData[[#This Row],[Lo. B. Ti.]],DataTable[[#This Row],[Lo. B. Successful Xings.]]+1))</f>
        <v>N/A</v>
      </c>
      <c r="Z3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2" spans="1:26" x14ac:dyDescent="0.2">
      <c r="A332" t="str">
        <f>IF(DataTable[[#This Row],[Tm.]]="","N/A",DataTable[[#This Row],[Tm.]])</f>
        <v>N/A</v>
      </c>
      <c r="B332" t="str">
        <f>IF(DataTable[[#This Row],[Match Nr.]]="","N/A",DataTable[[#This Row],[Match Nr.]])</f>
        <v>N/A</v>
      </c>
      <c r="C3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2" t="str">
        <f>IF(AND(DataTable[[#This Row],[Successful Lo. G. S]]="",DataTable[[#This Row],[Successful Hi. G. S.]]=""),"N/A",DataTable[[#This Row],[Successful Lo. G. S]]*2+DataTable[[#This Row],[Successful Hi. G. S.]]*10)</f>
        <v>N/A</v>
      </c>
      <c r="H3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2" s="11" t="str">
        <f>IF(DataTable[[#This Row],[Lo. B. Successful Xings.]]="","N/A",SUM(ProcessedData[[#This Row],[Lo. B. Ti.]],DataTable[[#This Row],[Lo. B. Successful Xings.]]+1))</f>
        <v>N/A</v>
      </c>
      <c r="Z3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3" spans="1:26" x14ac:dyDescent="0.2">
      <c r="A333" t="str">
        <f>IF(DataTable[[#This Row],[Tm.]]="","N/A",DataTable[[#This Row],[Tm.]])</f>
        <v>N/A</v>
      </c>
      <c r="B333" t="str">
        <f>IF(DataTable[[#This Row],[Match Nr.]]="","N/A",DataTable[[#This Row],[Match Nr.]])</f>
        <v>N/A</v>
      </c>
      <c r="C3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3" t="str">
        <f>IF(AND(DataTable[[#This Row],[Successful Lo. G. S]]="",DataTable[[#This Row],[Successful Hi. G. S.]]=""),"N/A",DataTable[[#This Row],[Successful Lo. G. S]]*2+DataTable[[#This Row],[Successful Hi. G. S.]]*10)</f>
        <v>N/A</v>
      </c>
      <c r="H3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3" s="11" t="str">
        <f>IF(DataTable[[#This Row],[Lo. B. Successful Xings.]]="","N/A",SUM(ProcessedData[[#This Row],[Lo. B. Ti.]],DataTable[[#This Row],[Lo. B. Successful Xings.]]+1))</f>
        <v>N/A</v>
      </c>
      <c r="Z3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4" spans="1:26" x14ac:dyDescent="0.2">
      <c r="A334" t="str">
        <f>IF(DataTable[[#This Row],[Tm.]]="","N/A",DataTable[[#This Row],[Tm.]])</f>
        <v>N/A</v>
      </c>
      <c r="B334" t="str">
        <f>IF(DataTable[[#This Row],[Match Nr.]]="","N/A",DataTable[[#This Row],[Match Nr.]])</f>
        <v>N/A</v>
      </c>
      <c r="C3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4" t="str">
        <f>IF(AND(DataTable[[#This Row],[Successful Lo. G. S]]="",DataTable[[#This Row],[Successful Hi. G. S.]]=""),"N/A",DataTable[[#This Row],[Successful Lo. G. S]]*2+DataTable[[#This Row],[Successful Hi. G. S.]]*10)</f>
        <v>N/A</v>
      </c>
      <c r="H3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4" s="11" t="str">
        <f>IF(DataTable[[#This Row],[Lo. B. Successful Xings.]]="","N/A",SUM(ProcessedData[[#This Row],[Lo. B. Ti.]],DataTable[[#This Row],[Lo. B. Successful Xings.]]+1))</f>
        <v>N/A</v>
      </c>
      <c r="Z3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5" spans="1:26" x14ac:dyDescent="0.2">
      <c r="A335" t="str">
        <f>IF(DataTable[[#This Row],[Tm.]]="","N/A",DataTable[[#This Row],[Tm.]])</f>
        <v>N/A</v>
      </c>
      <c r="B335" t="str">
        <f>IF(DataTable[[#This Row],[Match Nr.]]="","N/A",DataTable[[#This Row],[Match Nr.]])</f>
        <v>N/A</v>
      </c>
      <c r="C3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5" t="str">
        <f>IF(AND(DataTable[[#This Row],[Successful Lo. G. S]]="",DataTable[[#This Row],[Successful Hi. G. S.]]=""),"N/A",DataTable[[#This Row],[Successful Lo. G. S]]*2+DataTable[[#This Row],[Successful Hi. G. S.]]*10)</f>
        <v>N/A</v>
      </c>
      <c r="H3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5" s="11" t="str">
        <f>IF(DataTable[[#This Row],[Lo. B. Successful Xings.]]="","N/A",SUM(ProcessedData[[#This Row],[Lo. B. Ti.]],DataTable[[#This Row],[Lo. B. Successful Xings.]]+1))</f>
        <v>N/A</v>
      </c>
      <c r="Z3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6" spans="1:26" x14ac:dyDescent="0.2">
      <c r="A336" t="str">
        <f>IF(DataTable[[#This Row],[Tm.]]="","N/A",DataTable[[#This Row],[Tm.]])</f>
        <v>N/A</v>
      </c>
      <c r="B336" t="str">
        <f>IF(DataTable[[#This Row],[Match Nr.]]="","N/A",DataTable[[#This Row],[Match Nr.]])</f>
        <v>N/A</v>
      </c>
      <c r="C3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6" t="str">
        <f>IF(AND(DataTable[[#This Row],[Successful Lo. G. S]]="",DataTable[[#This Row],[Successful Hi. G. S.]]=""),"N/A",DataTable[[#This Row],[Successful Lo. G. S]]*2+DataTable[[#This Row],[Successful Hi. G. S.]]*10)</f>
        <v>N/A</v>
      </c>
      <c r="H3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6" s="11" t="str">
        <f>IF(DataTable[[#This Row],[Lo. B. Successful Xings.]]="","N/A",SUM(ProcessedData[[#This Row],[Lo. B. Ti.]],DataTable[[#This Row],[Lo. B. Successful Xings.]]+1))</f>
        <v>N/A</v>
      </c>
      <c r="Z3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7" spans="1:26" x14ac:dyDescent="0.2">
      <c r="A337" t="str">
        <f>IF(DataTable[[#This Row],[Tm.]]="","N/A",DataTable[[#This Row],[Tm.]])</f>
        <v>N/A</v>
      </c>
      <c r="B337" t="str">
        <f>IF(DataTable[[#This Row],[Match Nr.]]="","N/A",DataTable[[#This Row],[Match Nr.]])</f>
        <v>N/A</v>
      </c>
      <c r="C3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7" t="str">
        <f>IF(AND(DataTable[[#This Row],[Successful Lo. G. S]]="",DataTable[[#This Row],[Successful Hi. G. S.]]=""),"N/A",DataTable[[#This Row],[Successful Lo. G. S]]*2+DataTable[[#This Row],[Successful Hi. G. S.]]*10)</f>
        <v>N/A</v>
      </c>
      <c r="H3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7" s="11" t="str">
        <f>IF(DataTable[[#This Row],[Lo. B. Successful Xings.]]="","N/A",SUM(ProcessedData[[#This Row],[Lo. B. Ti.]],DataTable[[#This Row],[Lo. B. Successful Xings.]]+1))</f>
        <v>N/A</v>
      </c>
      <c r="Z3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8" spans="1:26" x14ac:dyDescent="0.2">
      <c r="A338" t="str">
        <f>IF(DataTable[[#This Row],[Tm.]]="","N/A",DataTable[[#This Row],[Tm.]])</f>
        <v>N/A</v>
      </c>
      <c r="B338" t="str">
        <f>IF(DataTable[[#This Row],[Match Nr.]]="","N/A",DataTable[[#This Row],[Match Nr.]])</f>
        <v>N/A</v>
      </c>
      <c r="C3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8" t="str">
        <f>IF(AND(DataTable[[#This Row],[Successful Lo. G. S]]="",DataTable[[#This Row],[Successful Hi. G. S.]]=""),"N/A",DataTable[[#This Row],[Successful Lo. G. S]]*2+DataTable[[#This Row],[Successful Hi. G. S.]]*10)</f>
        <v>N/A</v>
      </c>
      <c r="H3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8" s="11" t="str">
        <f>IF(DataTable[[#This Row],[Lo. B. Successful Xings.]]="","N/A",SUM(ProcessedData[[#This Row],[Lo. B. Ti.]],DataTable[[#This Row],[Lo. B. Successful Xings.]]+1))</f>
        <v>N/A</v>
      </c>
      <c r="Z3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39" spans="1:26" x14ac:dyDescent="0.2">
      <c r="A339" t="str">
        <f>IF(DataTable[[#This Row],[Tm.]]="","N/A",DataTable[[#This Row],[Tm.]])</f>
        <v>N/A</v>
      </c>
      <c r="B339" t="str">
        <f>IF(DataTable[[#This Row],[Match Nr.]]="","N/A",DataTable[[#This Row],[Match Nr.]])</f>
        <v>N/A</v>
      </c>
      <c r="C3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39" t="str">
        <f>IF(AND(DataTable[[#This Row],[Successful Lo. G. S]]="",DataTable[[#This Row],[Successful Hi. G. S.]]=""),"N/A",DataTable[[#This Row],[Successful Lo. G. S]]*2+DataTable[[#This Row],[Successful Hi. G. S.]]*10)</f>
        <v>N/A</v>
      </c>
      <c r="H3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39" s="11" t="str">
        <f>IF(DataTable[[#This Row],[Lo. B. Successful Xings.]]="","N/A",SUM(ProcessedData[[#This Row],[Lo. B. Ti.]],DataTable[[#This Row],[Lo. B. Successful Xings.]]+1))</f>
        <v>N/A</v>
      </c>
      <c r="Z3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0" spans="1:26" x14ac:dyDescent="0.2">
      <c r="A340" t="str">
        <f>IF(DataTable[[#This Row],[Tm.]]="","N/A",DataTable[[#This Row],[Tm.]])</f>
        <v>N/A</v>
      </c>
      <c r="B340" t="str">
        <f>IF(DataTable[[#This Row],[Match Nr.]]="","N/A",DataTable[[#This Row],[Match Nr.]])</f>
        <v>N/A</v>
      </c>
      <c r="C3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0" t="str">
        <f>IF(AND(DataTable[[#This Row],[Successful Lo. G. S]]="",DataTable[[#This Row],[Successful Hi. G. S.]]=""),"N/A",DataTable[[#This Row],[Successful Lo. G. S]]*2+DataTable[[#This Row],[Successful Hi. G. S.]]*10)</f>
        <v>N/A</v>
      </c>
      <c r="H3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0" s="11" t="str">
        <f>IF(DataTable[[#This Row],[Lo. B. Successful Xings.]]="","N/A",SUM(ProcessedData[[#This Row],[Lo. B. Ti.]],DataTable[[#This Row],[Lo. B. Successful Xings.]]+1))</f>
        <v>N/A</v>
      </c>
      <c r="Z3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1" spans="1:26" x14ac:dyDescent="0.2">
      <c r="A341" t="str">
        <f>IF(DataTable[[#This Row],[Tm.]]="","N/A",DataTable[[#This Row],[Tm.]])</f>
        <v>N/A</v>
      </c>
      <c r="B341" t="str">
        <f>IF(DataTable[[#This Row],[Match Nr.]]="","N/A",DataTable[[#This Row],[Match Nr.]])</f>
        <v>N/A</v>
      </c>
      <c r="C3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1" t="str">
        <f>IF(AND(DataTable[[#This Row],[Successful Lo. G. S]]="",DataTable[[#This Row],[Successful Hi. G. S.]]=""),"N/A",DataTable[[#This Row],[Successful Lo. G. S]]*2+DataTable[[#This Row],[Successful Hi. G. S.]]*10)</f>
        <v>N/A</v>
      </c>
      <c r="H3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1" s="11" t="str">
        <f>IF(DataTable[[#This Row],[Lo. B. Successful Xings.]]="","N/A",SUM(ProcessedData[[#This Row],[Lo. B. Ti.]],DataTable[[#This Row],[Lo. B. Successful Xings.]]+1))</f>
        <v>N/A</v>
      </c>
      <c r="Z3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2" spans="1:26" x14ac:dyDescent="0.2">
      <c r="A342" t="str">
        <f>IF(DataTable[[#This Row],[Tm.]]="","N/A",DataTable[[#This Row],[Tm.]])</f>
        <v>N/A</v>
      </c>
      <c r="B342" t="str">
        <f>IF(DataTable[[#This Row],[Match Nr.]]="","N/A",DataTable[[#This Row],[Match Nr.]])</f>
        <v>N/A</v>
      </c>
      <c r="C3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2" t="str">
        <f>IF(AND(DataTable[[#This Row],[Successful Lo. G. S]]="",DataTable[[#This Row],[Successful Hi. G. S.]]=""),"N/A",DataTable[[#This Row],[Successful Lo. G. S]]*2+DataTable[[#This Row],[Successful Hi. G. S.]]*10)</f>
        <v>N/A</v>
      </c>
      <c r="H3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2" s="11" t="str">
        <f>IF(DataTable[[#This Row],[Lo. B. Successful Xings.]]="","N/A",SUM(ProcessedData[[#This Row],[Lo. B. Ti.]],DataTable[[#This Row],[Lo. B. Successful Xings.]]+1))</f>
        <v>N/A</v>
      </c>
      <c r="Z3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3" spans="1:26" x14ac:dyDescent="0.2">
      <c r="A343" t="str">
        <f>IF(DataTable[[#This Row],[Tm.]]="","N/A",DataTable[[#This Row],[Tm.]])</f>
        <v>N/A</v>
      </c>
      <c r="B343" t="str">
        <f>IF(DataTable[[#This Row],[Match Nr.]]="","N/A",DataTable[[#This Row],[Match Nr.]])</f>
        <v>N/A</v>
      </c>
      <c r="C3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3" t="str">
        <f>IF(AND(DataTable[[#This Row],[Successful Lo. G. S]]="",DataTable[[#This Row],[Successful Hi. G. S.]]=""),"N/A",DataTable[[#This Row],[Successful Lo. G. S]]*2+DataTable[[#This Row],[Successful Hi. G. S.]]*10)</f>
        <v>N/A</v>
      </c>
      <c r="H3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3" s="11" t="str">
        <f>IF(DataTable[[#This Row],[Lo. B. Successful Xings.]]="","N/A",SUM(ProcessedData[[#This Row],[Lo. B. Ti.]],DataTable[[#This Row],[Lo. B. Successful Xings.]]+1))</f>
        <v>N/A</v>
      </c>
      <c r="Z3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4" spans="1:26" x14ac:dyDescent="0.2">
      <c r="A344" t="str">
        <f>IF(DataTable[[#This Row],[Tm.]]="","N/A",DataTable[[#This Row],[Tm.]])</f>
        <v>N/A</v>
      </c>
      <c r="B344" t="str">
        <f>IF(DataTable[[#This Row],[Match Nr.]]="","N/A",DataTable[[#This Row],[Match Nr.]])</f>
        <v>N/A</v>
      </c>
      <c r="C3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4" t="str">
        <f>IF(AND(DataTable[[#This Row],[Successful Lo. G. S]]="",DataTable[[#This Row],[Successful Hi. G. S.]]=""),"N/A",DataTable[[#This Row],[Successful Lo. G. S]]*2+DataTable[[#This Row],[Successful Hi. G. S.]]*10)</f>
        <v>N/A</v>
      </c>
      <c r="H3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4" s="11" t="str">
        <f>IF(DataTable[[#This Row],[Lo. B. Successful Xings.]]="","N/A",SUM(ProcessedData[[#This Row],[Lo. B. Ti.]],DataTable[[#This Row],[Lo. B. Successful Xings.]]+1))</f>
        <v>N/A</v>
      </c>
      <c r="Z3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5" spans="1:26" x14ac:dyDescent="0.2">
      <c r="A345" t="str">
        <f>IF(DataTable[[#This Row],[Tm.]]="","N/A",DataTable[[#This Row],[Tm.]])</f>
        <v>N/A</v>
      </c>
      <c r="B345" t="str">
        <f>IF(DataTable[[#This Row],[Match Nr.]]="","N/A",DataTable[[#This Row],[Match Nr.]])</f>
        <v>N/A</v>
      </c>
      <c r="C3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5" t="str">
        <f>IF(AND(DataTable[[#This Row],[Successful Lo. G. S]]="",DataTable[[#This Row],[Successful Hi. G. S.]]=""),"N/A",DataTable[[#This Row],[Successful Lo. G. S]]*2+DataTable[[#This Row],[Successful Hi. G. S.]]*10)</f>
        <v>N/A</v>
      </c>
      <c r="H3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5" s="11" t="str">
        <f>IF(DataTable[[#This Row],[Lo. B. Successful Xings.]]="","N/A",SUM(ProcessedData[[#This Row],[Lo. B. Ti.]],DataTable[[#This Row],[Lo. B. Successful Xings.]]+1))</f>
        <v>N/A</v>
      </c>
      <c r="Z3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6" spans="1:26" x14ac:dyDescent="0.2">
      <c r="A346" t="str">
        <f>IF(DataTable[[#This Row],[Tm.]]="","N/A",DataTable[[#This Row],[Tm.]])</f>
        <v>N/A</v>
      </c>
      <c r="B346" t="str">
        <f>IF(DataTable[[#This Row],[Match Nr.]]="","N/A",DataTable[[#This Row],[Match Nr.]])</f>
        <v>N/A</v>
      </c>
      <c r="C3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6" t="str">
        <f>IF(AND(DataTable[[#This Row],[Successful Lo. G. S]]="",DataTable[[#This Row],[Successful Hi. G. S.]]=""),"N/A",DataTable[[#This Row],[Successful Lo. G. S]]*2+DataTable[[#This Row],[Successful Hi. G. S.]]*10)</f>
        <v>N/A</v>
      </c>
      <c r="H3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6" s="11" t="str">
        <f>IF(DataTable[[#This Row],[Lo. B. Successful Xings.]]="","N/A",SUM(ProcessedData[[#This Row],[Lo. B. Ti.]],DataTable[[#This Row],[Lo. B. Successful Xings.]]+1))</f>
        <v>N/A</v>
      </c>
      <c r="Z3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7" spans="1:26" x14ac:dyDescent="0.2">
      <c r="A347" t="str">
        <f>IF(DataTable[[#This Row],[Tm.]]="","N/A",DataTable[[#This Row],[Tm.]])</f>
        <v>N/A</v>
      </c>
      <c r="B347" t="str">
        <f>IF(DataTable[[#This Row],[Match Nr.]]="","N/A",DataTable[[#This Row],[Match Nr.]])</f>
        <v>N/A</v>
      </c>
      <c r="C3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7" t="str">
        <f>IF(AND(DataTable[[#This Row],[Successful Lo. G. S]]="",DataTable[[#This Row],[Successful Hi. G. S.]]=""),"N/A",DataTable[[#This Row],[Successful Lo. G. S]]*2+DataTable[[#This Row],[Successful Hi. G. S.]]*10)</f>
        <v>N/A</v>
      </c>
      <c r="H3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7" s="11" t="str">
        <f>IF(DataTable[[#This Row],[Lo. B. Successful Xings.]]="","N/A",SUM(ProcessedData[[#This Row],[Lo. B. Ti.]],DataTable[[#This Row],[Lo. B. Successful Xings.]]+1))</f>
        <v>N/A</v>
      </c>
      <c r="Z3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8" spans="1:26" x14ac:dyDescent="0.2">
      <c r="A348" t="str">
        <f>IF(DataTable[[#This Row],[Tm.]]="","N/A",DataTable[[#This Row],[Tm.]])</f>
        <v>N/A</v>
      </c>
      <c r="B348" t="str">
        <f>IF(DataTable[[#This Row],[Match Nr.]]="","N/A",DataTable[[#This Row],[Match Nr.]])</f>
        <v>N/A</v>
      </c>
      <c r="C3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8" t="str">
        <f>IF(AND(DataTable[[#This Row],[Successful Lo. G. S]]="",DataTable[[#This Row],[Successful Hi. G. S.]]=""),"N/A",DataTable[[#This Row],[Successful Lo. G. S]]*2+DataTable[[#This Row],[Successful Hi. G. S.]]*10)</f>
        <v>N/A</v>
      </c>
      <c r="H3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8" s="11" t="str">
        <f>IF(DataTable[[#This Row],[Lo. B. Successful Xings.]]="","N/A",SUM(ProcessedData[[#This Row],[Lo. B. Ti.]],DataTable[[#This Row],[Lo. B. Successful Xings.]]+1))</f>
        <v>N/A</v>
      </c>
      <c r="Z3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49" spans="1:26" x14ac:dyDescent="0.2">
      <c r="A349" t="str">
        <f>IF(DataTable[[#This Row],[Tm.]]="","N/A",DataTable[[#This Row],[Tm.]])</f>
        <v>N/A</v>
      </c>
      <c r="B349" t="str">
        <f>IF(DataTable[[#This Row],[Match Nr.]]="","N/A",DataTable[[#This Row],[Match Nr.]])</f>
        <v>N/A</v>
      </c>
      <c r="C3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49" t="str">
        <f>IF(AND(DataTable[[#This Row],[Successful Lo. G. S]]="",DataTable[[#This Row],[Successful Hi. G. S.]]=""),"N/A",DataTable[[#This Row],[Successful Lo. G. S]]*2+DataTable[[#This Row],[Successful Hi. G. S.]]*10)</f>
        <v>N/A</v>
      </c>
      <c r="H3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49" s="11" t="str">
        <f>IF(DataTable[[#This Row],[Lo. B. Successful Xings.]]="","N/A",SUM(ProcessedData[[#This Row],[Lo. B. Ti.]],DataTable[[#This Row],[Lo. B. Successful Xings.]]+1))</f>
        <v>N/A</v>
      </c>
      <c r="Z3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0" spans="1:26" x14ac:dyDescent="0.2">
      <c r="A350" t="str">
        <f>IF(DataTable[[#This Row],[Tm.]]="","N/A",DataTable[[#This Row],[Tm.]])</f>
        <v>N/A</v>
      </c>
      <c r="B350" t="str">
        <f>IF(DataTable[[#This Row],[Match Nr.]]="","N/A",DataTable[[#This Row],[Match Nr.]])</f>
        <v>N/A</v>
      </c>
      <c r="C3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0" t="str">
        <f>IF(AND(DataTable[[#This Row],[Successful Lo. G. S]]="",DataTable[[#This Row],[Successful Hi. G. S.]]=""),"N/A",DataTable[[#This Row],[Successful Lo. G. S]]*2+DataTable[[#This Row],[Successful Hi. G. S.]]*10)</f>
        <v>N/A</v>
      </c>
      <c r="H3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0" s="11" t="str">
        <f>IF(DataTable[[#This Row],[Lo. B. Successful Xings.]]="","N/A",SUM(ProcessedData[[#This Row],[Lo. B. Ti.]],DataTable[[#This Row],[Lo. B. Successful Xings.]]+1))</f>
        <v>N/A</v>
      </c>
      <c r="Z3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1" spans="1:26" x14ac:dyDescent="0.2">
      <c r="A351" t="str">
        <f>IF(DataTable[[#This Row],[Tm.]]="","N/A",DataTable[[#This Row],[Tm.]])</f>
        <v>N/A</v>
      </c>
      <c r="B351" t="str">
        <f>IF(DataTable[[#This Row],[Match Nr.]]="","N/A",DataTable[[#This Row],[Match Nr.]])</f>
        <v>N/A</v>
      </c>
      <c r="C3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1" t="str">
        <f>IF(AND(DataTable[[#This Row],[Successful Lo. G. S]]="",DataTable[[#This Row],[Successful Hi. G. S.]]=""),"N/A",DataTable[[#This Row],[Successful Lo. G. S]]*2+DataTable[[#This Row],[Successful Hi. G. S.]]*10)</f>
        <v>N/A</v>
      </c>
      <c r="H3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1" s="11" t="str">
        <f>IF(DataTable[[#This Row],[Lo. B. Successful Xings.]]="","N/A",SUM(ProcessedData[[#This Row],[Lo. B. Ti.]],DataTable[[#This Row],[Lo. B. Successful Xings.]]+1))</f>
        <v>N/A</v>
      </c>
      <c r="Z3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2" spans="1:26" x14ac:dyDescent="0.2">
      <c r="A352" t="str">
        <f>IF(DataTable[[#This Row],[Tm.]]="","N/A",DataTable[[#This Row],[Tm.]])</f>
        <v>N/A</v>
      </c>
      <c r="B352" t="str">
        <f>IF(DataTable[[#This Row],[Match Nr.]]="","N/A",DataTable[[#This Row],[Match Nr.]])</f>
        <v>N/A</v>
      </c>
      <c r="C3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2" t="str">
        <f>IF(AND(DataTable[[#This Row],[Successful Lo. G. S]]="",DataTable[[#This Row],[Successful Hi. G. S.]]=""),"N/A",DataTable[[#This Row],[Successful Lo. G. S]]*2+DataTable[[#This Row],[Successful Hi. G. S.]]*10)</f>
        <v>N/A</v>
      </c>
      <c r="H3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2" s="11" t="str">
        <f>IF(DataTable[[#This Row],[Lo. B. Successful Xings.]]="","N/A",SUM(ProcessedData[[#This Row],[Lo. B. Ti.]],DataTable[[#This Row],[Lo. B. Successful Xings.]]+1))</f>
        <v>N/A</v>
      </c>
      <c r="Z3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3" spans="1:26" x14ac:dyDescent="0.2">
      <c r="A353" t="str">
        <f>IF(DataTable[[#This Row],[Tm.]]="","N/A",DataTable[[#This Row],[Tm.]])</f>
        <v>N/A</v>
      </c>
      <c r="B353" t="str">
        <f>IF(DataTable[[#This Row],[Match Nr.]]="","N/A",DataTable[[#This Row],[Match Nr.]])</f>
        <v>N/A</v>
      </c>
      <c r="C3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3" t="str">
        <f>IF(AND(DataTable[[#This Row],[Successful Lo. G. S]]="",DataTable[[#This Row],[Successful Hi. G. S.]]=""),"N/A",DataTable[[#This Row],[Successful Lo. G. S]]*2+DataTable[[#This Row],[Successful Hi. G. S.]]*10)</f>
        <v>N/A</v>
      </c>
      <c r="H3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3" s="11" t="str">
        <f>IF(DataTable[[#This Row],[Lo. B. Successful Xings.]]="","N/A",SUM(ProcessedData[[#This Row],[Lo. B. Ti.]],DataTable[[#This Row],[Lo. B. Successful Xings.]]+1))</f>
        <v>N/A</v>
      </c>
      <c r="Z3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4" spans="1:26" x14ac:dyDescent="0.2">
      <c r="A354" t="str">
        <f>IF(DataTable[[#This Row],[Tm.]]="","N/A",DataTable[[#This Row],[Tm.]])</f>
        <v>N/A</v>
      </c>
      <c r="B354" t="str">
        <f>IF(DataTable[[#This Row],[Match Nr.]]="","N/A",DataTable[[#This Row],[Match Nr.]])</f>
        <v>N/A</v>
      </c>
      <c r="C3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4" t="str">
        <f>IF(AND(DataTable[[#This Row],[Successful Lo. G. S]]="",DataTable[[#This Row],[Successful Hi. G. S.]]=""),"N/A",DataTable[[#This Row],[Successful Lo. G. S]]*2+DataTable[[#This Row],[Successful Hi. G. S.]]*10)</f>
        <v>N/A</v>
      </c>
      <c r="H3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4" s="11" t="str">
        <f>IF(DataTable[[#This Row],[Lo. B. Successful Xings.]]="","N/A",SUM(ProcessedData[[#This Row],[Lo. B. Ti.]],DataTable[[#This Row],[Lo. B. Successful Xings.]]+1))</f>
        <v>N/A</v>
      </c>
      <c r="Z3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5" spans="1:26" x14ac:dyDescent="0.2">
      <c r="A355" t="str">
        <f>IF(DataTable[[#This Row],[Tm.]]="","N/A",DataTable[[#This Row],[Tm.]])</f>
        <v>N/A</v>
      </c>
      <c r="B355" t="str">
        <f>IF(DataTable[[#This Row],[Match Nr.]]="","N/A",DataTable[[#This Row],[Match Nr.]])</f>
        <v>N/A</v>
      </c>
      <c r="C3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5" t="str">
        <f>IF(AND(DataTable[[#This Row],[Successful Lo. G. S]]="",DataTable[[#This Row],[Successful Hi. G. S.]]=""),"N/A",DataTable[[#This Row],[Successful Lo. G. S]]*2+DataTable[[#This Row],[Successful Hi. G. S.]]*10)</f>
        <v>N/A</v>
      </c>
      <c r="H3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5" s="11" t="str">
        <f>IF(DataTable[[#This Row],[Lo. B. Successful Xings.]]="","N/A",SUM(ProcessedData[[#This Row],[Lo. B. Ti.]],DataTable[[#This Row],[Lo. B. Successful Xings.]]+1))</f>
        <v>N/A</v>
      </c>
      <c r="Z3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6" spans="1:26" x14ac:dyDescent="0.2">
      <c r="A356" t="str">
        <f>IF(DataTable[[#This Row],[Tm.]]="","N/A",DataTable[[#This Row],[Tm.]])</f>
        <v>N/A</v>
      </c>
      <c r="B356" t="str">
        <f>IF(DataTable[[#This Row],[Match Nr.]]="","N/A",DataTable[[#This Row],[Match Nr.]])</f>
        <v>N/A</v>
      </c>
      <c r="C3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6" t="str">
        <f>IF(AND(DataTable[[#This Row],[Successful Lo. G. S]]="",DataTable[[#This Row],[Successful Hi. G. S.]]=""),"N/A",DataTable[[#This Row],[Successful Lo. G. S]]*2+DataTable[[#This Row],[Successful Hi. G. S.]]*10)</f>
        <v>N/A</v>
      </c>
      <c r="H3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6" s="11" t="str">
        <f>IF(DataTable[[#This Row],[Lo. B. Successful Xings.]]="","N/A",SUM(ProcessedData[[#This Row],[Lo. B. Ti.]],DataTable[[#This Row],[Lo. B. Successful Xings.]]+1))</f>
        <v>N/A</v>
      </c>
      <c r="Z3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7" spans="1:26" x14ac:dyDescent="0.2">
      <c r="A357" t="str">
        <f>IF(DataTable[[#This Row],[Tm.]]="","N/A",DataTable[[#This Row],[Tm.]])</f>
        <v>N/A</v>
      </c>
      <c r="B357" t="str">
        <f>IF(DataTable[[#This Row],[Match Nr.]]="","N/A",DataTable[[#This Row],[Match Nr.]])</f>
        <v>N/A</v>
      </c>
      <c r="C3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7" t="str">
        <f>IF(AND(DataTable[[#This Row],[Successful Lo. G. S]]="",DataTable[[#This Row],[Successful Hi. G. S.]]=""),"N/A",DataTable[[#This Row],[Successful Lo. G. S]]*2+DataTable[[#This Row],[Successful Hi. G. S.]]*10)</f>
        <v>N/A</v>
      </c>
      <c r="H3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7" s="11" t="str">
        <f>IF(DataTable[[#This Row],[Lo. B. Successful Xings.]]="","N/A",SUM(ProcessedData[[#This Row],[Lo. B. Ti.]],DataTable[[#This Row],[Lo. B. Successful Xings.]]+1))</f>
        <v>N/A</v>
      </c>
      <c r="Z3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8" spans="1:26" x14ac:dyDescent="0.2">
      <c r="A358" t="str">
        <f>IF(DataTable[[#This Row],[Tm.]]="","N/A",DataTable[[#This Row],[Tm.]])</f>
        <v>N/A</v>
      </c>
      <c r="B358" t="str">
        <f>IF(DataTable[[#This Row],[Match Nr.]]="","N/A",DataTable[[#This Row],[Match Nr.]])</f>
        <v>N/A</v>
      </c>
      <c r="C3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8" t="str">
        <f>IF(AND(DataTable[[#This Row],[Successful Lo. G. S]]="",DataTable[[#This Row],[Successful Hi. G. S.]]=""),"N/A",DataTable[[#This Row],[Successful Lo. G. S]]*2+DataTable[[#This Row],[Successful Hi. G. S.]]*10)</f>
        <v>N/A</v>
      </c>
      <c r="H3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8" s="11" t="str">
        <f>IF(DataTable[[#This Row],[Lo. B. Successful Xings.]]="","N/A",SUM(ProcessedData[[#This Row],[Lo. B. Ti.]],DataTable[[#This Row],[Lo. B. Successful Xings.]]+1))</f>
        <v>N/A</v>
      </c>
      <c r="Z3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59" spans="1:26" x14ac:dyDescent="0.2">
      <c r="A359" t="str">
        <f>IF(DataTable[[#This Row],[Tm.]]="","N/A",DataTable[[#This Row],[Tm.]])</f>
        <v>N/A</v>
      </c>
      <c r="B359" t="str">
        <f>IF(DataTable[[#This Row],[Match Nr.]]="","N/A",DataTable[[#This Row],[Match Nr.]])</f>
        <v>N/A</v>
      </c>
      <c r="C3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59" t="str">
        <f>IF(AND(DataTable[[#This Row],[Successful Lo. G. S]]="",DataTable[[#This Row],[Successful Hi. G. S.]]=""),"N/A",DataTable[[#This Row],[Successful Lo. G. S]]*2+DataTable[[#This Row],[Successful Hi. G. S.]]*10)</f>
        <v>N/A</v>
      </c>
      <c r="H3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59" s="11" t="str">
        <f>IF(DataTable[[#This Row],[Lo. B. Successful Xings.]]="","N/A",SUM(ProcessedData[[#This Row],[Lo. B. Ti.]],DataTable[[#This Row],[Lo. B. Successful Xings.]]+1))</f>
        <v>N/A</v>
      </c>
      <c r="Z3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0" spans="1:26" x14ac:dyDescent="0.2">
      <c r="A360" t="str">
        <f>IF(DataTable[[#This Row],[Tm.]]="","N/A",DataTable[[#This Row],[Tm.]])</f>
        <v>N/A</v>
      </c>
      <c r="B360" t="str">
        <f>IF(DataTable[[#This Row],[Match Nr.]]="","N/A",DataTable[[#This Row],[Match Nr.]])</f>
        <v>N/A</v>
      </c>
      <c r="C3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0" t="str">
        <f>IF(AND(DataTable[[#This Row],[Successful Lo. G. S]]="",DataTable[[#This Row],[Successful Hi. G. S.]]=""),"N/A",DataTable[[#This Row],[Successful Lo. G. S]]*2+DataTable[[#This Row],[Successful Hi. G. S.]]*10)</f>
        <v>N/A</v>
      </c>
      <c r="H3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0" s="11" t="str">
        <f>IF(DataTable[[#This Row],[Lo. B. Successful Xings.]]="","N/A",SUM(ProcessedData[[#This Row],[Lo. B. Ti.]],DataTable[[#This Row],[Lo. B. Successful Xings.]]+1))</f>
        <v>N/A</v>
      </c>
      <c r="Z3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1" spans="1:26" x14ac:dyDescent="0.2">
      <c r="A361" t="str">
        <f>IF(DataTable[[#This Row],[Tm.]]="","N/A",DataTable[[#This Row],[Tm.]])</f>
        <v>N/A</v>
      </c>
      <c r="B361" t="str">
        <f>IF(DataTable[[#This Row],[Match Nr.]]="","N/A",DataTable[[#This Row],[Match Nr.]])</f>
        <v>N/A</v>
      </c>
      <c r="C3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1" t="str">
        <f>IF(AND(DataTable[[#This Row],[Successful Lo. G. S]]="",DataTable[[#This Row],[Successful Hi. G. S.]]=""),"N/A",DataTable[[#This Row],[Successful Lo. G. S]]*2+DataTable[[#This Row],[Successful Hi. G. S.]]*10)</f>
        <v>N/A</v>
      </c>
      <c r="H3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1" s="11" t="str">
        <f>IF(DataTable[[#This Row],[Lo. B. Successful Xings.]]="","N/A",SUM(ProcessedData[[#This Row],[Lo. B. Ti.]],DataTable[[#This Row],[Lo. B. Successful Xings.]]+1))</f>
        <v>N/A</v>
      </c>
      <c r="Z3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2" spans="1:26" x14ac:dyDescent="0.2">
      <c r="A362" t="str">
        <f>IF(DataTable[[#This Row],[Tm.]]="","N/A",DataTable[[#This Row],[Tm.]])</f>
        <v>N/A</v>
      </c>
      <c r="B362" t="str">
        <f>IF(DataTable[[#This Row],[Match Nr.]]="","N/A",DataTable[[#This Row],[Match Nr.]])</f>
        <v>N/A</v>
      </c>
      <c r="C3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2" t="str">
        <f>IF(AND(DataTable[[#This Row],[Successful Lo. G. S]]="",DataTable[[#This Row],[Successful Hi. G. S.]]=""),"N/A",DataTable[[#This Row],[Successful Lo. G. S]]*2+DataTable[[#This Row],[Successful Hi. G. S.]]*10)</f>
        <v>N/A</v>
      </c>
      <c r="H3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2" s="11" t="str">
        <f>IF(DataTable[[#This Row],[Lo. B. Successful Xings.]]="","N/A",SUM(ProcessedData[[#This Row],[Lo. B. Ti.]],DataTable[[#This Row],[Lo. B. Successful Xings.]]+1))</f>
        <v>N/A</v>
      </c>
      <c r="Z3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3" spans="1:26" x14ac:dyDescent="0.2">
      <c r="A363" t="str">
        <f>IF(DataTable[[#This Row],[Tm.]]="","N/A",DataTable[[#This Row],[Tm.]])</f>
        <v>N/A</v>
      </c>
      <c r="B363" t="str">
        <f>IF(DataTable[[#This Row],[Match Nr.]]="","N/A",DataTable[[#This Row],[Match Nr.]])</f>
        <v>N/A</v>
      </c>
      <c r="C3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3" t="str">
        <f>IF(AND(DataTable[[#This Row],[Successful Lo. G. S]]="",DataTable[[#This Row],[Successful Hi. G. S.]]=""),"N/A",DataTable[[#This Row],[Successful Lo. G. S]]*2+DataTable[[#This Row],[Successful Hi. G. S.]]*10)</f>
        <v>N/A</v>
      </c>
      <c r="H3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3" s="11" t="str">
        <f>IF(DataTable[[#This Row],[Lo. B. Successful Xings.]]="","N/A",SUM(ProcessedData[[#This Row],[Lo. B. Ti.]],DataTable[[#This Row],[Lo. B. Successful Xings.]]+1))</f>
        <v>N/A</v>
      </c>
      <c r="Z3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4" spans="1:26" x14ac:dyDescent="0.2">
      <c r="A364" t="str">
        <f>IF(DataTable[[#This Row],[Tm.]]="","N/A",DataTable[[#This Row],[Tm.]])</f>
        <v>N/A</v>
      </c>
      <c r="B364" t="str">
        <f>IF(DataTable[[#This Row],[Match Nr.]]="","N/A",DataTable[[#This Row],[Match Nr.]])</f>
        <v>N/A</v>
      </c>
      <c r="C3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4" t="str">
        <f>IF(AND(DataTable[[#This Row],[Successful Lo. G. S]]="",DataTable[[#This Row],[Successful Hi. G. S.]]=""),"N/A",DataTable[[#This Row],[Successful Lo. G. S]]*2+DataTable[[#This Row],[Successful Hi. G. S.]]*10)</f>
        <v>N/A</v>
      </c>
      <c r="H3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4" s="11" t="str">
        <f>IF(DataTable[[#This Row],[Lo. B. Successful Xings.]]="","N/A",SUM(ProcessedData[[#This Row],[Lo. B. Ti.]],DataTable[[#This Row],[Lo. B. Successful Xings.]]+1))</f>
        <v>N/A</v>
      </c>
      <c r="Z3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5" spans="1:26" x14ac:dyDescent="0.2">
      <c r="A365" t="str">
        <f>IF(DataTable[[#This Row],[Tm.]]="","N/A",DataTable[[#This Row],[Tm.]])</f>
        <v>N/A</v>
      </c>
      <c r="B365" t="str">
        <f>IF(DataTable[[#This Row],[Match Nr.]]="","N/A",DataTable[[#This Row],[Match Nr.]])</f>
        <v>N/A</v>
      </c>
      <c r="C3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5" t="str">
        <f>IF(AND(DataTable[[#This Row],[Successful Lo. G. S]]="",DataTable[[#This Row],[Successful Hi. G. S.]]=""),"N/A",DataTable[[#This Row],[Successful Lo. G. S]]*2+DataTable[[#This Row],[Successful Hi. G. S.]]*10)</f>
        <v>N/A</v>
      </c>
      <c r="H3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5" s="11" t="str">
        <f>IF(DataTable[[#This Row],[Lo. B. Successful Xings.]]="","N/A",SUM(ProcessedData[[#This Row],[Lo. B. Ti.]],DataTable[[#This Row],[Lo. B. Successful Xings.]]+1))</f>
        <v>N/A</v>
      </c>
      <c r="Z3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6" spans="1:26" x14ac:dyDescent="0.2">
      <c r="A366" t="str">
        <f>IF(DataTable[[#This Row],[Tm.]]="","N/A",DataTable[[#This Row],[Tm.]])</f>
        <v>N/A</v>
      </c>
      <c r="B366" t="str">
        <f>IF(DataTable[[#This Row],[Match Nr.]]="","N/A",DataTable[[#This Row],[Match Nr.]])</f>
        <v>N/A</v>
      </c>
      <c r="C3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6" t="str">
        <f>IF(AND(DataTable[[#This Row],[Successful Lo. G. S]]="",DataTable[[#This Row],[Successful Hi. G. S.]]=""),"N/A",DataTable[[#This Row],[Successful Lo. G. S]]*2+DataTable[[#This Row],[Successful Hi. G. S.]]*10)</f>
        <v>N/A</v>
      </c>
      <c r="H3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6" s="11" t="str">
        <f>IF(DataTable[[#This Row],[Lo. B. Successful Xings.]]="","N/A",SUM(ProcessedData[[#This Row],[Lo. B. Ti.]],DataTable[[#This Row],[Lo. B. Successful Xings.]]+1))</f>
        <v>N/A</v>
      </c>
      <c r="Z3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7" spans="1:26" x14ac:dyDescent="0.2">
      <c r="A367" t="str">
        <f>IF(DataTable[[#This Row],[Tm.]]="","N/A",DataTable[[#This Row],[Tm.]])</f>
        <v>N/A</v>
      </c>
      <c r="B367" t="str">
        <f>IF(DataTable[[#This Row],[Match Nr.]]="","N/A",DataTable[[#This Row],[Match Nr.]])</f>
        <v>N/A</v>
      </c>
      <c r="C3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7" t="str">
        <f>IF(AND(DataTable[[#This Row],[Successful Lo. G. S]]="",DataTable[[#This Row],[Successful Hi. G. S.]]=""),"N/A",DataTable[[#This Row],[Successful Lo. G. S]]*2+DataTable[[#This Row],[Successful Hi. G. S.]]*10)</f>
        <v>N/A</v>
      </c>
      <c r="H3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7" s="11" t="str">
        <f>IF(DataTable[[#This Row],[Lo. B. Successful Xings.]]="","N/A",SUM(ProcessedData[[#This Row],[Lo. B. Ti.]],DataTable[[#This Row],[Lo. B. Successful Xings.]]+1))</f>
        <v>N/A</v>
      </c>
      <c r="Z3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8" spans="1:26" x14ac:dyDescent="0.2">
      <c r="A368" t="str">
        <f>IF(DataTable[[#This Row],[Tm.]]="","N/A",DataTable[[#This Row],[Tm.]])</f>
        <v>N/A</v>
      </c>
      <c r="B368" t="str">
        <f>IF(DataTable[[#This Row],[Match Nr.]]="","N/A",DataTable[[#This Row],[Match Nr.]])</f>
        <v>N/A</v>
      </c>
      <c r="C3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8" t="str">
        <f>IF(AND(DataTable[[#This Row],[Successful Lo. G. S]]="",DataTable[[#This Row],[Successful Hi. G. S.]]=""),"N/A",DataTable[[#This Row],[Successful Lo. G. S]]*2+DataTable[[#This Row],[Successful Hi. G. S.]]*10)</f>
        <v>N/A</v>
      </c>
      <c r="H3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8" s="11" t="str">
        <f>IF(DataTable[[#This Row],[Lo. B. Successful Xings.]]="","N/A",SUM(ProcessedData[[#This Row],[Lo. B. Ti.]],DataTable[[#This Row],[Lo. B. Successful Xings.]]+1))</f>
        <v>N/A</v>
      </c>
      <c r="Z3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69" spans="1:26" x14ac:dyDescent="0.2">
      <c r="A369" t="str">
        <f>IF(DataTable[[#This Row],[Tm.]]="","N/A",DataTable[[#This Row],[Tm.]])</f>
        <v>N/A</v>
      </c>
      <c r="B369" t="str">
        <f>IF(DataTable[[#This Row],[Match Nr.]]="","N/A",DataTable[[#This Row],[Match Nr.]])</f>
        <v>N/A</v>
      </c>
      <c r="C3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69" t="str">
        <f>IF(AND(DataTable[[#This Row],[Successful Lo. G. S]]="",DataTable[[#This Row],[Successful Hi. G. S.]]=""),"N/A",DataTable[[#This Row],[Successful Lo. G. S]]*2+DataTable[[#This Row],[Successful Hi. G. S.]]*10)</f>
        <v>N/A</v>
      </c>
      <c r="H3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69" s="11" t="str">
        <f>IF(DataTable[[#This Row],[Lo. B. Successful Xings.]]="","N/A",SUM(ProcessedData[[#This Row],[Lo. B. Ti.]],DataTable[[#This Row],[Lo. B. Successful Xings.]]+1))</f>
        <v>N/A</v>
      </c>
      <c r="Z3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0" spans="1:26" x14ac:dyDescent="0.2">
      <c r="A370" t="str">
        <f>IF(DataTable[[#This Row],[Tm.]]="","N/A",DataTable[[#This Row],[Tm.]])</f>
        <v>N/A</v>
      </c>
      <c r="B370" t="str">
        <f>IF(DataTable[[#This Row],[Match Nr.]]="","N/A",DataTable[[#This Row],[Match Nr.]])</f>
        <v>N/A</v>
      </c>
      <c r="C3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0" t="str">
        <f>IF(AND(DataTable[[#This Row],[Successful Lo. G. S]]="",DataTable[[#This Row],[Successful Hi. G. S.]]=""),"N/A",DataTable[[#This Row],[Successful Lo. G. S]]*2+DataTable[[#This Row],[Successful Hi. G. S.]]*10)</f>
        <v>N/A</v>
      </c>
      <c r="H3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0" s="11" t="str">
        <f>IF(DataTable[[#This Row],[Lo. B. Successful Xings.]]="","N/A",SUM(ProcessedData[[#This Row],[Lo. B. Ti.]],DataTable[[#This Row],[Lo. B. Successful Xings.]]+1))</f>
        <v>N/A</v>
      </c>
      <c r="Z3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1" spans="1:26" x14ac:dyDescent="0.2">
      <c r="A371" t="str">
        <f>IF(DataTable[[#This Row],[Tm.]]="","N/A",DataTable[[#This Row],[Tm.]])</f>
        <v>N/A</v>
      </c>
      <c r="B371" t="str">
        <f>IF(DataTable[[#This Row],[Match Nr.]]="","N/A",DataTable[[#This Row],[Match Nr.]])</f>
        <v>N/A</v>
      </c>
      <c r="C3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1" t="str">
        <f>IF(AND(DataTable[[#This Row],[Successful Lo. G. S]]="",DataTable[[#This Row],[Successful Hi. G. S.]]=""),"N/A",DataTable[[#This Row],[Successful Lo. G. S]]*2+DataTable[[#This Row],[Successful Hi. G. S.]]*10)</f>
        <v>N/A</v>
      </c>
      <c r="H3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1" s="11" t="str">
        <f>IF(DataTable[[#This Row],[Lo. B. Successful Xings.]]="","N/A",SUM(ProcessedData[[#This Row],[Lo. B. Ti.]],DataTable[[#This Row],[Lo. B. Successful Xings.]]+1))</f>
        <v>N/A</v>
      </c>
      <c r="Z3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2" spans="1:26" x14ac:dyDescent="0.2">
      <c r="A372" t="str">
        <f>IF(DataTable[[#This Row],[Tm.]]="","N/A",DataTable[[#This Row],[Tm.]])</f>
        <v>N/A</v>
      </c>
      <c r="B372" t="str">
        <f>IF(DataTable[[#This Row],[Match Nr.]]="","N/A",DataTable[[#This Row],[Match Nr.]])</f>
        <v>N/A</v>
      </c>
      <c r="C3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2" t="str">
        <f>IF(AND(DataTable[[#This Row],[Successful Lo. G. S]]="",DataTable[[#This Row],[Successful Hi. G. S.]]=""),"N/A",DataTable[[#This Row],[Successful Lo. G. S]]*2+DataTable[[#This Row],[Successful Hi. G. S.]]*10)</f>
        <v>N/A</v>
      </c>
      <c r="H3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2" s="11" t="str">
        <f>IF(DataTable[[#This Row],[Lo. B. Successful Xings.]]="","N/A",SUM(ProcessedData[[#This Row],[Lo. B. Ti.]],DataTable[[#This Row],[Lo. B. Successful Xings.]]+1))</f>
        <v>N/A</v>
      </c>
      <c r="Z3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3" spans="1:26" x14ac:dyDescent="0.2">
      <c r="A373" t="str">
        <f>IF(DataTable[[#This Row],[Tm.]]="","N/A",DataTable[[#This Row],[Tm.]])</f>
        <v>N/A</v>
      </c>
      <c r="B373" t="str">
        <f>IF(DataTable[[#This Row],[Match Nr.]]="","N/A",DataTable[[#This Row],[Match Nr.]])</f>
        <v>N/A</v>
      </c>
      <c r="C3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3" t="str">
        <f>IF(AND(DataTable[[#This Row],[Successful Lo. G. S]]="",DataTable[[#This Row],[Successful Hi. G. S.]]=""),"N/A",DataTable[[#This Row],[Successful Lo. G. S]]*2+DataTable[[#This Row],[Successful Hi. G. S.]]*10)</f>
        <v>N/A</v>
      </c>
      <c r="H3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3" s="11" t="str">
        <f>IF(DataTable[[#This Row],[Lo. B. Successful Xings.]]="","N/A",SUM(ProcessedData[[#This Row],[Lo. B. Ti.]],DataTable[[#This Row],[Lo. B. Successful Xings.]]+1))</f>
        <v>N/A</v>
      </c>
      <c r="Z3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4" spans="1:26" x14ac:dyDescent="0.2">
      <c r="A374" t="str">
        <f>IF(DataTable[[#This Row],[Tm.]]="","N/A",DataTable[[#This Row],[Tm.]])</f>
        <v>N/A</v>
      </c>
      <c r="B374" t="str">
        <f>IF(DataTable[[#This Row],[Match Nr.]]="","N/A",DataTable[[#This Row],[Match Nr.]])</f>
        <v>N/A</v>
      </c>
      <c r="C3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4" t="str">
        <f>IF(AND(DataTable[[#This Row],[Successful Lo. G. S]]="",DataTable[[#This Row],[Successful Hi. G. S.]]=""),"N/A",DataTable[[#This Row],[Successful Lo. G. S]]*2+DataTable[[#This Row],[Successful Hi. G. S.]]*10)</f>
        <v>N/A</v>
      </c>
      <c r="H3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4" s="11" t="str">
        <f>IF(DataTable[[#This Row],[Lo. B. Successful Xings.]]="","N/A",SUM(ProcessedData[[#This Row],[Lo. B. Ti.]],DataTable[[#This Row],[Lo. B. Successful Xings.]]+1))</f>
        <v>N/A</v>
      </c>
      <c r="Z3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5" spans="1:26" x14ac:dyDescent="0.2">
      <c r="A375" t="str">
        <f>IF(DataTable[[#This Row],[Tm.]]="","N/A",DataTable[[#This Row],[Tm.]])</f>
        <v>N/A</v>
      </c>
      <c r="B375" t="str">
        <f>IF(DataTable[[#This Row],[Match Nr.]]="","N/A",DataTable[[#This Row],[Match Nr.]])</f>
        <v>N/A</v>
      </c>
      <c r="C3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5" t="str">
        <f>IF(AND(DataTable[[#This Row],[Successful Lo. G. S]]="",DataTable[[#This Row],[Successful Hi. G. S.]]=""),"N/A",DataTable[[#This Row],[Successful Lo. G. S]]*2+DataTable[[#This Row],[Successful Hi. G. S.]]*10)</f>
        <v>N/A</v>
      </c>
      <c r="H3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5" s="11" t="str">
        <f>IF(DataTable[[#This Row],[Lo. B. Successful Xings.]]="","N/A",SUM(ProcessedData[[#This Row],[Lo. B. Ti.]],DataTable[[#This Row],[Lo. B. Successful Xings.]]+1))</f>
        <v>N/A</v>
      </c>
      <c r="Z3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6" spans="1:26" x14ac:dyDescent="0.2">
      <c r="A376" t="str">
        <f>IF(DataTable[[#This Row],[Tm.]]="","N/A",DataTable[[#This Row],[Tm.]])</f>
        <v>N/A</v>
      </c>
      <c r="B376" t="str">
        <f>IF(DataTable[[#This Row],[Match Nr.]]="","N/A",DataTable[[#This Row],[Match Nr.]])</f>
        <v>N/A</v>
      </c>
      <c r="C3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6" t="str">
        <f>IF(AND(DataTable[[#This Row],[Successful Lo. G. S]]="",DataTable[[#This Row],[Successful Hi. G. S.]]=""),"N/A",DataTable[[#This Row],[Successful Lo. G. S]]*2+DataTable[[#This Row],[Successful Hi. G. S.]]*10)</f>
        <v>N/A</v>
      </c>
      <c r="H3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6" s="11" t="str">
        <f>IF(DataTable[[#This Row],[Lo. B. Successful Xings.]]="","N/A",SUM(ProcessedData[[#This Row],[Lo. B. Ti.]],DataTable[[#This Row],[Lo. B. Successful Xings.]]+1))</f>
        <v>N/A</v>
      </c>
      <c r="Z3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7" spans="1:26" x14ac:dyDescent="0.2">
      <c r="A377" t="str">
        <f>IF(DataTable[[#This Row],[Tm.]]="","N/A",DataTable[[#This Row],[Tm.]])</f>
        <v>N/A</v>
      </c>
      <c r="B377" t="str">
        <f>IF(DataTable[[#This Row],[Match Nr.]]="","N/A",DataTable[[#This Row],[Match Nr.]])</f>
        <v>N/A</v>
      </c>
      <c r="C3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7" t="str">
        <f>IF(AND(DataTable[[#This Row],[Successful Lo. G. S]]="",DataTable[[#This Row],[Successful Hi. G. S.]]=""),"N/A",DataTable[[#This Row],[Successful Lo. G. S]]*2+DataTable[[#This Row],[Successful Hi. G. S.]]*10)</f>
        <v>N/A</v>
      </c>
      <c r="H3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7" s="11" t="str">
        <f>IF(DataTable[[#This Row],[Lo. B. Successful Xings.]]="","N/A",SUM(ProcessedData[[#This Row],[Lo. B. Ti.]],DataTable[[#This Row],[Lo. B. Successful Xings.]]+1))</f>
        <v>N/A</v>
      </c>
      <c r="Z3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8" spans="1:26" x14ac:dyDescent="0.2">
      <c r="A378" t="str">
        <f>IF(DataTable[[#This Row],[Tm.]]="","N/A",DataTable[[#This Row],[Tm.]])</f>
        <v>N/A</v>
      </c>
      <c r="B378" t="str">
        <f>IF(DataTable[[#This Row],[Match Nr.]]="","N/A",DataTable[[#This Row],[Match Nr.]])</f>
        <v>N/A</v>
      </c>
      <c r="C3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8" t="str">
        <f>IF(AND(DataTable[[#This Row],[Successful Lo. G. S]]="",DataTable[[#This Row],[Successful Hi. G. S.]]=""),"N/A",DataTable[[#This Row],[Successful Lo. G. S]]*2+DataTable[[#This Row],[Successful Hi. G. S.]]*10)</f>
        <v>N/A</v>
      </c>
      <c r="H3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8" s="11" t="str">
        <f>IF(DataTable[[#This Row],[Lo. B. Successful Xings.]]="","N/A",SUM(ProcessedData[[#This Row],[Lo. B. Ti.]],DataTable[[#This Row],[Lo. B. Successful Xings.]]+1))</f>
        <v>N/A</v>
      </c>
      <c r="Z3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79" spans="1:26" x14ac:dyDescent="0.2">
      <c r="A379" t="str">
        <f>IF(DataTable[[#This Row],[Tm.]]="","N/A",DataTable[[#This Row],[Tm.]])</f>
        <v>N/A</v>
      </c>
      <c r="B379" t="str">
        <f>IF(DataTable[[#This Row],[Match Nr.]]="","N/A",DataTable[[#This Row],[Match Nr.]])</f>
        <v>N/A</v>
      </c>
      <c r="C3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79" t="str">
        <f>IF(AND(DataTable[[#This Row],[Successful Lo. G. S]]="",DataTable[[#This Row],[Successful Hi. G. S.]]=""),"N/A",DataTable[[#This Row],[Successful Lo. G. S]]*2+DataTable[[#This Row],[Successful Hi. G. S.]]*10)</f>
        <v>N/A</v>
      </c>
      <c r="H3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79" s="11" t="str">
        <f>IF(DataTable[[#This Row],[Lo. B. Successful Xings.]]="","N/A",SUM(ProcessedData[[#This Row],[Lo. B. Ti.]],DataTable[[#This Row],[Lo. B. Successful Xings.]]+1))</f>
        <v>N/A</v>
      </c>
      <c r="Z3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0" spans="1:26" x14ac:dyDescent="0.2">
      <c r="A380" t="str">
        <f>IF(DataTable[[#This Row],[Tm.]]="","N/A",DataTable[[#This Row],[Tm.]])</f>
        <v>N/A</v>
      </c>
      <c r="B380" t="str">
        <f>IF(DataTable[[#This Row],[Match Nr.]]="","N/A",DataTable[[#This Row],[Match Nr.]])</f>
        <v>N/A</v>
      </c>
      <c r="C3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0" t="str">
        <f>IF(AND(DataTable[[#This Row],[Successful Lo. G. S]]="",DataTable[[#This Row],[Successful Hi. G. S.]]=""),"N/A",DataTable[[#This Row],[Successful Lo. G. S]]*2+DataTable[[#This Row],[Successful Hi. G. S.]]*10)</f>
        <v>N/A</v>
      </c>
      <c r="H3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0" s="11" t="str">
        <f>IF(DataTable[[#This Row],[Lo. B. Successful Xings.]]="","N/A",SUM(ProcessedData[[#This Row],[Lo. B. Ti.]],DataTable[[#This Row],[Lo. B. Successful Xings.]]+1))</f>
        <v>N/A</v>
      </c>
      <c r="Z3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1" spans="1:26" x14ac:dyDescent="0.2">
      <c r="A381" t="str">
        <f>IF(DataTable[[#This Row],[Tm.]]="","N/A",DataTable[[#This Row],[Tm.]])</f>
        <v>N/A</v>
      </c>
      <c r="B381" t="str">
        <f>IF(DataTable[[#This Row],[Match Nr.]]="","N/A",DataTable[[#This Row],[Match Nr.]])</f>
        <v>N/A</v>
      </c>
      <c r="C3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1" t="str">
        <f>IF(AND(DataTable[[#This Row],[Successful Lo. G. S]]="",DataTable[[#This Row],[Successful Hi. G. S.]]=""),"N/A",DataTable[[#This Row],[Successful Lo. G. S]]*2+DataTable[[#This Row],[Successful Hi. G. S.]]*10)</f>
        <v>N/A</v>
      </c>
      <c r="H3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1" s="11" t="str">
        <f>IF(DataTable[[#This Row],[Lo. B. Successful Xings.]]="","N/A",SUM(ProcessedData[[#This Row],[Lo. B. Ti.]],DataTable[[#This Row],[Lo. B. Successful Xings.]]+1))</f>
        <v>N/A</v>
      </c>
      <c r="Z3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2" spans="1:26" x14ac:dyDescent="0.2">
      <c r="A382" t="str">
        <f>IF(DataTable[[#This Row],[Tm.]]="","N/A",DataTable[[#This Row],[Tm.]])</f>
        <v>N/A</v>
      </c>
      <c r="B382" t="str">
        <f>IF(DataTable[[#This Row],[Match Nr.]]="","N/A",DataTable[[#This Row],[Match Nr.]])</f>
        <v>N/A</v>
      </c>
      <c r="C3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2" t="str">
        <f>IF(AND(DataTable[[#This Row],[Successful Lo. G. S]]="",DataTable[[#This Row],[Successful Hi. G. S.]]=""),"N/A",DataTable[[#This Row],[Successful Lo. G. S]]*2+DataTable[[#This Row],[Successful Hi. G. S.]]*10)</f>
        <v>N/A</v>
      </c>
      <c r="H3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2" s="11" t="str">
        <f>IF(DataTable[[#This Row],[Lo. B. Successful Xings.]]="","N/A",SUM(ProcessedData[[#This Row],[Lo. B. Ti.]],DataTable[[#This Row],[Lo. B. Successful Xings.]]+1))</f>
        <v>N/A</v>
      </c>
      <c r="Z3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3" spans="1:26" x14ac:dyDescent="0.2">
      <c r="A383" t="str">
        <f>IF(DataTable[[#This Row],[Tm.]]="","N/A",DataTable[[#This Row],[Tm.]])</f>
        <v>N/A</v>
      </c>
      <c r="B383" t="str">
        <f>IF(DataTable[[#This Row],[Match Nr.]]="","N/A",DataTable[[#This Row],[Match Nr.]])</f>
        <v>N/A</v>
      </c>
      <c r="C3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3" t="str">
        <f>IF(AND(DataTable[[#This Row],[Successful Lo. G. S]]="",DataTable[[#This Row],[Successful Hi. G. S.]]=""),"N/A",DataTable[[#This Row],[Successful Lo. G. S]]*2+DataTable[[#This Row],[Successful Hi. G. S.]]*10)</f>
        <v>N/A</v>
      </c>
      <c r="H3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3" s="11" t="str">
        <f>IF(DataTable[[#This Row],[Lo. B. Successful Xings.]]="","N/A",SUM(ProcessedData[[#This Row],[Lo. B. Ti.]],DataTable[[#This Row],[Lo. B. Successful Xings.]]+1))</f>
        <v>N/A</v>
      </c>
      <c r="Z3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4" spans="1:26" x14ac:dyDescent="0.2">
      <c r="A384" t="str">
        <f>IF(DataTable[[#This Row],[Tm.]]="","N/A",DataTable[[#This Row],[Tm.]])</f>
        <v>N/A</v>
      </c>
      <c r="B384" t="str">
        <f>IF(DataTable[[#This Row],[Match Nr.]]="","N/A",DataTable[[#This Row],[Match Nr.]])</f>
        <v>N/A</v>
      </c>
      <c r="C3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4" t="str">
        <f>IF(AND(DataTable[[#This Row],[Successful Lo. G. S]]="",DataTable[[#This Row],[Successful Hi. G. S.]]=""),"N/A",DataTable[[#This Row],[Successful Lo. G. S]]*2+DataTable[[#This Row],[Successful Hi. G. S.]]*10)</f>
        <v>N/A</v>
      </c>
      <c r="H3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4" s="11" t="str">
        <f>IF(DataTable[[#This Row],[Lo. B. Successful Xings.]]="","N/A",SUM(ProcessedData[[#This Row],[Lo. B. Ti.]],DataTable[[#This Row],[Lo. B. Successful Xings.]]+1))</f>
        <v>N/A</v>
      </c>
      <c r="Z3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5" spans="1:26" x14ac:dyDescent="0.2">
      <c r="A385" t="str">
        <f>IF(DataTable[[#This Row],[Tm.]]="","N/A",DataTable[[#This Row],[Tm.]])</f>
        <v>N/A</v>
      </c>
      <c r="B385" t="str">
        <f>IF(DataTable[[#This Row],[Match Nr.]]="","N/A",DataTable[[#This Row],[Match Nr.]])</f>
        <v>N/A</v>
      </c>
      <c r="C3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5" t="str">
        <f>IF(AND(DataTable[[#This Row],[Successful Lo. G. S]]="",DataTable[[#This Row],[Successful Hi. G. S.]]=""),"N/A",DataTable[[#This Row],[Successful Lo. G. S]]*2+DataTable[[#This Row],[Successful Hi. G. S.]]*10)</f>
        <v>N/A</v>
      </c>
      <c r="H3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5" s="11" t="str">
        <f>IF(DataTable[[#This Row],[Lo. B. Successful Xings.]]="","N/A",SUM(ProcessedData[[#This Row],[Lo. B. Ti.]],DataTable[[#This Row],[Lo. B. Successful Xings.]]+1))</f>
        <v>N/A</v>
      </c>
      <c r="Z3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6" spans="1:26" x14ac:dyDescent="0.2">
      <c r="A386" t="str">
        <f>IF(DataTable[[#This Row],[Tm.]]="","N/A",DataTable[[#This Row],[Tm.]])</f>
        <v>N/A</v>
      </c>
      <c r="B386" t="str">
        <f>IF(DataTable[[#This Row],[Match Nr.]]="","N/A",DataTable[[#This Row],[Match Nr.]])</f>
        <v>N/A</v>
      </c>
      <c r="C3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6" t="str">
        <f>IF(AND(DataTable[[#This Row],[Successful Lo. G. S]]="",DataTable[[#This Row],[Successful Hi. G. S.]]=""),"N/A",DataTable[[#This Row],[Successful Lo. G. S]]*2+DataTable[[#This Row],[Successful Hi. G. S.]]*10)</f>
        <v>N/A</v>
      </c>
      <c r="H3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6" s="11" t="str">
        <f>IF(DataTable[[#This Row],[Lo. B. Successful Xings.]]="","N/A",SUM(ProcessedData[[#This Row],[Lo. B. Ti.]],DataTable[[#This Row],[Lo. B. Successful Xings.]]+1))</f>
        <v>N/A</v>
      </c>
      <c r="Z3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7" spans="1:26" x14ac:dyDescent="0.2">
      <c r="A387" t="str">
        <f>IF(DataTable[[#This Row],[Tm.]]="","N/A",DataTable[[#This Row],[Tm.]])</f>
        <v>N/A</v>
      </c>
      <c r="B387" t="str">
        <f>IF(DataTable[[#This Row],[Match Nr.]]="","N/A",DataTable[[#This Row],[Match Nr.]])</f>
        <v>N/A</v>
      </c>
      <c r="C3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7" t="str">
        <f>IF(AND(DataTable[[#This Row],[Successful Lo. G. S]]="",DataTable[[#This Row],[Successful Hi. G. S.]]=""),"N/A",DataTable[[#This Row],[Successful Lo. G. S]]*2+DataTable[[#This Row],[Successful Hi. G. S.]]*10)</f>
        <v>N/A</v>
      </c>
      <c r="H3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7" s="11" t="str">
        <f>IF(DataTable[[#This Row],[Lo. B. Successful Xings.]]="","N/A",SUM(ProcessedData[[#This Row],[Lo. B. Ti.]],DataTable[[#This Row],[Lo. B. Successful Xings.]]+1))</f>
        <v>N/A</v>
      </c>
      <c r="Z3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8" spans="1:26" x14ac:dyDescent="0.2">
      <c r="A388" t="str">
        <f>IF(DataTable[[#This Row],[Tm.]]="","N/A",DataTable[[#This Row],[Tm.]])</f>
        <v>N/A</v>
      </c>
      <c r="B388" t="str">
        <f>IF(DataTable[[#This Row],[Match Nr.]]="","N/A",DataTable[[#This Row],[Match Nr.]])</f>
        <v>N/A</v>
      </c>
      <c r="C3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8" t="str">
        <f>IF(AND(DataTable[[#This Row],[Successful Lo. G. S]]="",DataTable[[#This Row],[Successful Hi. G. S.]]=""),"N/A",DataTable[[#This Row],[Successful Lo. G. S]]*2+DataTable[[#This Row],[Successful Hi. G. S.]]*10)</f>
        <v>N/A</v>
      </c>
      <c r="H3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8" s="11" t="str">
        <f>IF(DataTable[[#This Row],[Lo. B. Successful Xings.]]="","N/A",SUM(ProcessedData[[#This Row],[Lo. B. Ti.]],DataTable[[#This Row],[Lo. B. Successful Xings.]]+1))</f>
        <v>N/A</v>
      </c>
      <c r="Z3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89" spans="1:26" x14ac:dyDescent="0.2">
      <c r="A389" t="str">
        <f>IF(DataTable[[#This Row],[Tm.]]="","N/A",DataTable[[#This Row],[Tm.]])</f>
        <v>N/A</v>
      </c>
      <c r="B389" t="str">
        <f>IF(DataTable[[#This Row],[Match Nr.]]="","N/A",DataTable[[#This Row],[Match Nr.]])</f>
        <v>N/A</v>
      </c>
      <c r="C3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89" t="str">
        <f>IF(AND(DataTable[[#This Row],[Successful Lo. G. S]]="",DataTable[[#This Row],[Successful Hi. G. S.]]=""),"N/A",DataTable[[#This Row],[Successful Lo. G. S]]*2+DataTable[[#This Row],[Successful Hi. G. S.]]*10)</f>
        <v>N/A</v>
      </c>
      <c r="H3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89" s="11" t="str">
        <f>IF(DataTable[[#This Row],[Lo. B. Successful Xings.]]="","N/A",SUM(ProcessedData[[#This Row],[Lo. B. Ti.]],DataTable[[#This Row],[Lo. B. Successful Xings.]]+1))</f>
        <v>N/A</v>
      </c>
      <c r="Z3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0" spans="1:26" x14ac:dyDescent="0.2">
      <c r="A390" t="str">
        <f>IF(DataTable[[#This Row],[Tm.]]="","N/A",DataTable[[#This Row],[Tm.]])</f>
        <v>N/A</v>
      </c>
      <c r="B390" t="str">
        <f>IF(DataTable[[#This Row],[Match Nr.]]="","N/A",DataTable[[#This Row],[Match Nr.]])</f>
        <v>N/A</v>
      </c>
      <c r="C3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0" t="str">
        <f>IF(AND(DataTable[[#This Row],[Successful Lo. G. S]]="",DataTable[[#This Row],[Successful Hi. G. S.]]=""),"N/A",DataTable[[#This Row],[Successful Lo. G. S]]*2+DataTable[[#This Row],[Successful Hi. G. S.]]*10)</f>
        <v>N/A</v>
      </c>
      <c r="H3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0" s="11" t="str">
        <f>IF(DataTable[[#This Row],[Lo. B. Successful Xings.]]="","N/A",SUM(ProcessedData[[#This Row],[Lo. B. Ti.]],DataTable[[#This Row],[Lo. B. Successful Xings.]]+1))</f>
        <v>N/A</v>
      </c>
      <c r="Z3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1" spans="1:26" x14ac:dyDescent="0.2">
      <c r="A391" t="str">
        <f>IF(DataTable[[#This Row],[Tm.]]="","N/A",DataTable[[#This Row],[Tm.]])</f>
        <v>N/A</v>
      </c>
      <c r="B391" t="str">
        <f>IF(DataTable[[#This Row],[Match Nr.]]="","N/A",DataTable[[#This Row],[Match Nr.]])</f>
        <v>N/A</v>
      </c>
      <c r="C3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1" t="str">
        <f>IF(AND(DataTable[[#This Row],[Successful Lo. G. S]]="",DataTable[[#This Row],[Successful Hi. G. S.]]=""),"N/A",DataTable[[#This Row],[Successful Lo. G. S]]*2+DataTable[[#This Row],[Successful Hi. G. S.]]*10)</f>
        <v>N/A</v>
      </c>
      <c r="H3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1" s="11" t="str">
        <f>IF(DataTable[[#This Row],[Lo. B. Successful Xings.]]="","N/A",SUM(ProcessedData[[#This Row],[Lo. B. Ti.]],DataTable[[#This Row],[Lo. B. Successful Xings.]]+1))</f>
        <v>N/A</v>
      </c>
      <c r="Z3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2" spans="1:26" x14ac:dyDescent="0.2">
      <c r="A392" t="str">
        <f>IF(DataTable[[#This Row],[Tm.]]="","N/A",DataTable[[#This Row],[Tm.]])</f>
        <v>N/A</v>
      </c>
      <c r="B392" t="str">
        <f>IF(DataTable[[#This Row],[Match Nr.]]="","N/A",DataTable[[#This Row],[Match Nr.]])</f>
        <v>N/A</v>
      </c>
      <c r="C3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2" t="str">
        <f>IF(AND(DataTable[[#This Row],[Successful Lo. G. S]]="",DataTable[[#This Row],[Successful Hi. G. S.]]=""),"N/A",DataTable[[#This Row],[Successful Lo. G. S]]*2+DataTable[[#This Row],[Successful Hi. G. S.]]*10)</f>
        <v>N/A</v>
      </c>
      <c r="H3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2" s="11" t="str">
        <f>IF(DataTable[[#This Row],[Lo. B. Successful Xings.]]="","N/A",SUM(ProcessedData[[#This Row],[Lo. B. Ti.]],DataTable[[#This Row],[Lo. B. Successful Xings.]]+1))</f>
        <v>N/A</v>
      </c>
      <c r="Z3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3" spans="1:26" x14ac:dyDescent="0.2">
      <c r="A393" t="str">
        <f>IF(DataTable[[#This Row],[Tm.]]="","N/A",DataTable[[#This Row],[Tm.]])</f>
        <v>N/A</v>
      </c>
      <c r="B393" t="str">
        <f>IF(DataTable[[#This Row],[Match Nr.]]="","N/A",DataTable[[#This Row],[Match Nr.]])</f>
        <v>N/A</v>
      </c>
      <c r="C3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3" t="str">
        <f>IF(AND(DataTable[[#This Row],[Successful Lo. G. S]]="",DataTable[[#This Row],[Successful Hi. G. S.]]=""),"N/A",DataTable[[#This Row],[Successful Lo. G. S]]*2+DataTable[[#This Row],[Successful Hi. G. S.]]*10)</f>
        <v>N/A</v>
      </c>
      <c r="H3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3" s="11" t="str">
        <f>IF(DataTable[[#This Row],[Lo. B. Successful Xings.]]="","N/A",SUM(ProcessedData[[#This Row],[Lo. B. Ti.]],DataTable[[#This Row],[Lo. B. Successful Xings.]]+1))</f>
        <v>N/A</v>
      </c>
      <c r="Z3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4" spans="1:26" x14ac:dyDescent="0.2">
      <c r="A394" t="str">
        <f>IF(DataTable[[#This Row],[Tm.]]="","N/A",DataTable[[#This Row],[Tm.]])</f>
        <v>N/A</v>
      </c>
      <c r="B394" t="str">
        <f>IF(DataTable[[#This Row],[Match Nr.]]="","N/A",DataTable[[#This Row],[Match Nr.]])</f>
        <v>N/A</v>
      </c>
      <c r="C3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4" t="str">
        <f>IF(AND(DataTable[[#This Row],[Successful Lo. G. S]]="",DataTable[[#This Row],[Successful Hi. G. S.]]=""),"N/A",DataTable[[#This Row],[Successful Lo. G. S]]*2+DataTable[[#This Row],[Successful Hi. G. S.]]*10)</f>
        <v>N/A</v>
      </c>
      <c r="H3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4" s="11" t="str">
        <f>IF(DataTable[[#This Row],[Lo. B. Successful Xings.]]="","N/A",SUM(ProcessedData[[#This Row],[Lo. B. Ti.]],DataTable[[#This Row],[Lo. B. Successful Xings.]]+1))</f>
        <v>N/A</v>
      </c>
      <c r="Z3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5" spans="1:26" x14ac:dyDescent="0.2">
      <c r="A395" t="str">
        <f>IF(DataTable[[#This Row],[Tm.]]="","N/A",DataTable[[#This Row],[Tm.]])</f>
        <v>N/A</v>
      </c>
      <c r="B395" t="str">
        <f>IF(DataTable[[#This Row],[Match Nr.]]="","N/A",DataTable[[#This Row],[Match Nr.]])</f>
        <v>N/A</v>
      </c>
      <c r="C3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5" t="str">
        <f>IF(AND(DataTable[[#This Row],[Successful Lo. G. S]]="",DataTable[[#This Row],[Successful Hi. G. S.]]=""),"N/A",DataTable[[#This Row],[Successful Lo. G. S]]*2+DataTable[[#This Row],[Successful Hi. G. S.]]*10)</f>
        <v>N/A</v>
      </c>
      <c r="H3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5" s="11" t="str">
        <f>IF(DataTable[[#This Row],[Lo. B. Successful Xings.]]="","N/A",SUM(ProcessedData[[#This Row],[Lo. B. Ti.]],DataTable[[#This Row],[Lo. B. Successful Xings.]]+1))</f>
        <v>N/A</v>
      </c>
      <c r="Z3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6" spans="1:26" x14ac:dyDescent="0.2">
      <c r="A396" t="str">
        <f>IF(DataTable[[#This Row],[Tm.]]="","N/A",DataTable[[#This Row],[Tm.]])</f>
        <v>N/A</v>
      </c>
      <c r="B396" t="str">
        <f>IF(DataTable[[#This Row],[Match Nr.]]="","N/A",DataTable[[#This Row],[Match Nr.]])</f>
        <v>N/A</v>
      </c>
      <c r="C3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6" t="str">
        <f>IF(AND(DataTable[[#This Row],[Successful Lo. G. S]]="",DataTable[[#This Row],[Successful Hi. G. S.]]=""),"N/A",DataTable[[#This Row],[Successful Lo. G. S]]*2+DataTable[[#This Row],[Successful Hi. G. S.]]*10)</f>
        <v>N/A</v>
      </c>
      <c r="H3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6" s="11" t="str">
        <f>IF(DataTable[[#This Row],[Lo. B. Successful Xings.]]="","N/A",SUM(ProcessedData[[#This Row],[Lo. B. Ti.]],DataTable[[#This Row],[Lo. B. Successful Xings.]]+1))</f>
        <v>N/A</v>
      </c>
      <c r="Z3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7" spans="1:26" x14ac:dyDescent="0.2">
      <c r="A397" t="str">
        <f>IF(DataTable[[#This Row],[Tm.]]="","N/A",DataTable[[#This Row],[Tm.]])</f>
        <v>N/A</v>
      </c>
      <c r="B397" t="str">
        <f>IF(DataTable[[#This Row],[Match Nr.]]="","N/A",DataTable[[#This Row],[Match Nr.]])</f>
        <v>N/A</v>
      </c>
      <c r="C3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7" t="str">
        <f>IF(AND(DataTable[[#This Row],[Successful Lo. G. S]]="",DataTable[[#This Row],[Successful Hi. G. S.]]=""),"N/A",DataTable[[#This Row],[Successful Lo. G. S]]*2+DataTable[[#This Row],[Successful Hi. G. S.]]*10)</f>
        <v>N/A</v>
      </c>
      <c r="H3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7" s="11" t="str">
        <f>IF(DataTable[[#This Row],[Lo. B. Successful Xings.]]="","N/A",SUM(ProcessedData[[#This Row],[Lo. B. Ti.]],DataTable[[#This Row],[Lo. B. Successful Xings.]]+1))</f>
        <v>N/A</v>
      </c>
      <c r="Z3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8" spans="1:26" x14ac:dyDescent="0.2">
      <c r="A398" t="str">
        <f>IF(DataTable[[#This Row],[Tm.]]="","N/A",DataTable[[#This Row],[Tm.]])</f>
        <v>N/A</v>
      </c>
      <c r="B398" t="str">
        <f>IF(DataTable[[#This Row],[Match Nr.]]="","N/A",DataTable[[#This Row],[Match Nr.]])</f>
        <v>N/A</v>
      </c>
      <c r="C3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8" t="str">
        <f>IF(AND(DataTable[[#This Row],[Successful Lo. G. S]]="",DataTable[[#This Row],[Successful Hi. G. S.]]=""),"N/A",DataTable[[#This Row],[Successful Lo. G. S]]*2+DataTable[[#This Row],[Successful Hi. G. S.]]*10)</f>
        <v>N/A</v>
      </c>
      <c r="H3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8" s="11" t="str">
        <f>IF(DataTable[[#This Row],[Lo. B. Successful Xings.]]="","N/A",SUM(ProcessedData[[#This Row],[Lo. B. Ti.]],DataTable[[#This Row],[Lo. B. Successful Xings.]]+1))</f>
        <v>N/A</v>
      </c>
      <c r="Z3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399" spans="1:26" x14ac:dyDescent="0.2">
      <c r="A399" t="str">
        <f>IF(DataTable[[#This Row],[Tm.]]="","N/A",DataTable[[#This Row],[Tm.]])</f>
        <v>N/A</v>
      </c>
      <c r="B399" t="str">
        <f>IF(DataTable[[#This Row],[Match Nr.]]="","N/A",DataTable[[#This Row],[Match Nr.]])</f>
        <v>N/A</v>
      </c>
      <c r="C3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3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3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3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399" t="str">
        <f>IF(AND(DataTable[[#This Row],[Successful Lo. G. S]]="",DataTable[[#This Row],[Successful Hi. G. S.]]=""),"N/A",DataTable[[#This Row],[Successful Lo. G. S]]*2+DataTable[[#This Row],[Successful Hi. G. S.]]*10)</f>
        <v>N/A</v>
      </c>
      <c r="H3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3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3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3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3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3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3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3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3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3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3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3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3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3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3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3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399" s="11" t="str">
        <f>IF(DataTable[[#This Row],[Lo. B. Successful Xings.]]="","N/A",SUM(ProcessedData[[#This Row],[Lo. B. Ti.]],DataTable[[#This Row],[Lo. B. Successful Xings.]]+1))</f>
        <v>N/A</v>
      </c>
      <c r="Z3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0" spans="1:26" x14ac:dyDescent="0.2">
      <c r="A400" t="str">
        <f>IF(DataTable[[#This Row],[Tm.]]="","N/A",DataTable[[#This Row],[Tm.]])</f>
        <v>N/A</v>
      </c>
      <c r="B400" t="str">
        <f>IF(DataTable[[#This Row],[Match Nr.]]="","N/A",DataTable[[#This Row],[Match Nr.]])</f>
        <v>N/A</v>
      </c>
      <c r="C4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0" t="str">
        <f>IF(AND(DataTable[[#This Row],[Successful Lo. G. S]]="",DataTable[[#This Row],[Successful Hi. G. S.]]=""),"N/A",DataTable[[#This Row],[Successful Lo. G. S]]*2+DataTable[[#This Row],[Successful Hi. G. S.]]*10)</f>
        <v>N/A</v>
      </c>
      <c r="H4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0" s="11" t="str">
        <f>IF(DataTable[[#This Row],[Lo. B. Successful Xings.]]="","N/A",SUM(ProcessedData[[#This Row],[Lo. B. Ti.]],DataTable[[#This Row],[Lo. B. Successful Xings.]]+1))</f>
        <v>N/A</v>
      </c>
      <c r="Z4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1" spans="1:26" x14ac:dyDescent="0.2">
      <c r="A401" t="str">
        <f>IF(DataTable[[#This Row],[Tm.]]="","N/A",DataTable[[#This Row],[Tm.]])</f>
        <v>N/A</v>
      </c>
      <c r="B401" t="str">
        <f>IF(DataTable[[#This Row],[Match Nr.]]="","N/A",DataTable[[#This Row],[Match Nr.]])</f>
        <v>N/A</v>
      </c>
      <c r="C4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1" t="str">
        <f>IF(AND(DataTable[[#This Row],[Successful Lo. G. S]]="",DataTable[[#This Row],[Successful Hi. G. S.]]=""),"N/A",DataTable[[#This Row],[Successful Lo. G. S]]*2+DataTable[[#This Row],[Successful Hi. G. S.]]*10)</f>
        <v>N/A</v>
      </c>
      <c r="H4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1" s="11" t="str">
        <f>IF(DataTable[[#This Row],[Lo. B. Successful Xings.]]="","N/A",SUM(ProcessedData[[#This Row],[Lo. B. Ti.]],DataTable[[#This Row],[Lo. B. Successful Xings.]]+1))</f>
        <v>N/A</v>
      </c>
      <c r="Z4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2" spans="1:26" x14ac:dyDescent="0.2">
      <c r="A402" t="str">
        <f>IF(DataTable[[#This Row],[Tm.]]="","N/A",DataTable[[#This Row],[Tm.]])</f>
        <v>N/A</v>
      </c>
      <c r="B402" t="str">
        <f>IF(DataTable[[#This Row],[Match Nr.]]="","N/A",DataTable[[#This Row],[Match Nr.]])</f>
        <v>N/A</v>
      </c>
      <c r="C4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2" t="str">
        <f>IF(AND(DataTable[[#This Row],[Successful Lo. G. S]]="",DataTable[[#This Row],[Successful Hi. G. S.]]=""),"N/A",DataTable[[#This Row],[Successful Lo. G. S]]*2+DataTable[[#This Row],[Successful Hi. G. S.]]*10)</f>
        <v>N/A</v>
      </c>
      <c r="H4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2" s="11" t="str">
        <f>IF(DataTable[[#This Row],[Lo. B. Successful Xings.]]="","N/A",SUM(ProcessedData[[#This Row],[Lo. B. Ti.]],DataTable[[#This Row],[Lo. B. Successful Xings.]]+1))</f>
        <v>N/A</v>
      </c>
      <c r="Z4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3" spans="1:26" x14ac:dyDescent="0.2">
      <c r="A403" t="str">
        <f>IF(DataTable[[#This Row],[Tm.]]="","N/A",DataTable[[#This Row],[Tm.]])</f>
        <v>N/A</v>
      </c>
      <c r="B403" t="str">
        <f>IF(DataTable[[#This Row],[Match Nr.]]="","N/A",DataTable[[#This Row],[Match Nr.]])</f>
        <v>N/A</v>
      </c>
      <c r="C4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3" t="str">
        <f>IF(AND(DataTable[[#This Row],[Successful Lo. G. S]]="",DataTable[[#This Row],[Successful Hi. G. S.]]=""),"N/A",DataTable[[#This Row],[Successful Lo. G. S]]*2+DataTable[[#This Row],[Successful Hi. G. S.]]*10)</f>
        <v>N/A</v>
      </c>
      <c r="H4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3" s="11" t="str">
        <f>IF(DataTable[[#This Row],[Lo. B. Successful Xings.]]="","N/A",SUM(ProcessedData[[#This Row],[Lo. B. Ti.]],DataTable[[#This Row],[Lo. B. Successful Xings.]]+1))</f>
        <v>N/A</v>
      </c>
      <c r="Z4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4" spans="1:26" x14ac:dyDescent="0.2">
      <c r="A404" t="str">
        <f>IF(DataTable[[#This Row],[Tm.]]="","N/A",DataTable[[#This Row],[Tm.]])</f>
        <v>N/A</v>
      </c>
      <c r="B404" t="str">
        <f>IF(DataTable[[#This Row],[Match Nr.]]="","N/A",DataTable[[#This Row],[Match Nr.]])</f>
        <v>N/A</v>
      </c>
      <c r="C4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4" t="str">
        <f>IF(AND(DataTable[[#This Row],[Successful Lo. G. S]]="",DataTable[[#This Row],[Successful Hi. G. S.]]=""),"N/A",DataTable[[#This Row],[Successful Lo. G. S]]*2+DataTable[[#This Row],[Successful Hi. G. S.]]*10)</f>
        <v>N/A</v>
      </c>
      <c r="H4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4" s="11" t="str">
        <f>IF(DataTable[[#This Row],[Lo. B. Successful Xings.]]="","N/A",SUM(ProcessedData[[#This Row],[Lo. B. Ti.]],DataTable[[#This Row],[Lo. B. Successful Xings.]]+1))</f>
        <v>N/A</v>
      </c>
      <c r="Z4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5" spans="1:26" x14ac:dyDescent="0.2">
      <c r="A405" t="str">
        <f>IF(DataTable[[#This Row],[Tm.]]="","N/A",DataTable[[#This Row],[Tm.]])</f>
        <v>N/A</v>
      </c>
      <c r="B405" t="str">
        <f>IF(DataTable[[#This Row],[Match Nr.]]="","N/A",DataTable[[#This Row],[Match Nr.]])</f>
        <v>N/A</v>
      </c>
      <c r="C4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5" t="str">
        <f>IF(AND(DataTable[[#This Row],[Successful Lo. G. S]]="",DataTable[[#This Row],[Successful Hi. G. S.]]=""),"N/A",DataTable[[#This Row],[Successful Lo. G. S]]*2+DataTable[[#This Row],[Successful Hi. G. S.]]*10)</f>
        <v>N/A</v>
      </c>
      <c r="H4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5" s="11" t="str">
        <f>IF(DataTable[[#This Row],[Lo. B. Successful Xings.]]="","N/A",SUM(ProcessedData[[#This Row],[Lo. B. Ti.]],DataTable[[#This Row],[Lo. B. Successful Xings.]]+1))</f>
        <v>N/A</v>
      </c>
      <c r="Z4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6" spans="1:26" x14ac:dyDescent="0.2">
      <c r="A406" t="str">
        <f>IF(DataTable[[#This Row],[Tm.]]="","N/A",DataTable[[#This Row],[Tm.]])</f>
        <v>N/A</v>
      </c>
      <c r="B406" t="str">
        <f>IF(DataTable[[#This Row],[Match Nr.]]="","N/A",DataTable[[#This Row],[Match Nr.]])</f>
        <v>N/A</v>
      </c>
      <c r="C4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6" t="str">
        <f>IF(AND(DataTable[[#This Row],[Successful Lo. G. S]]="",DataTable[[#This Row],[Successful Hi. G. S.]]=""),"N/A",DataTable[[#This Row],[Successful Lo. G. S]]*2+DataTable[[#This Row],[Successful Hi. G. S.]]*10)</f>
        <v>N/A</v>
      </c>
      <c r="H4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6" s="11" t="str">
        <f>IF(DataTable[[#This Row],[Lo. B. Successful Xings.]]="","N/A",SUM(ProcessedData[[#This Row],[Lo. B. Ti.]],DataTable[[#This Row],[Lo. B. Successful Xings.]]+1))</f>
        <v>N/A</v>
      </c>
      <c r="Z4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7" spans="1:26" x14ac:dyDescent="0.2">
      <c r="A407" t="str">
        <f>IF(DataTable[[#This Row],[Tm.]]="","N/A",DataTable[[#This Row],[Tm.]])</f>
        <v>N/A</v>
      </c>
      <c r="B407" t="str">
        <f>IF(DataTable[[#This Row],[Match Nr.]]="","N/A",DataTable[[#This Row],[Match Nr.]])</f>
        <v>N/A</v>
      </c>
      <c r="C4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7" t="str">
        <f>IF(AND(DataTable[[#This Row],[Successful Lo. G. S]]="",DataTable[[#This Row],[Successful Hi. G. S.]]=""),"N/A",DataTable[[#This Row],[Successful Lo. G. S]]*2+DataTable[[#This Row],[Successful Hi. G. S.]]*10)</f>
        <v>N/A</v>
      </c>
      <c r="H4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7" s="11" t="str">
        <f>IF(DataTable[[#This Row],[Lo. B. Successful Xings.]]="","N/A",SUM(ProcessedData[[#This Row],[Lo. B. Ti.]],DataTable[[#This Row],[Lo. B. Successful Xings.]]+1))</f>
        <v>N/A</v>
      </c>
      <c r="Z4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8" spans="1:26" x14ac:dyDescent="0.2">
      <c r="A408" t="str">
        <f>IF(DataTable[[#This Row],[Tm.]]="","N/A",DataTable[[#This Row],[Tm.]])</f>
        <v>N/A</v>
      </c>
      <c r="B408" t="str">
        <f>IF(DataTable[[#This Row],[Match Nr.]]="","N/A",DataTable[[#This Row],[Match Nr.]])</f>
        <v>N/A</v>
      </c>
      <c r="C4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8" t="str">
        <f>IF(AND(DataTable[[#This Row],[Successful Lo. G. S]]="",DataTable[[#This Row],[Successful Hi. G. S.]]=""),"N/A",DataTable[[#This Row],[Successful Lo. G. S]]*2+DataTable[[#This Row],[Successful Hi. G. S.]]*10)</f>
        <v>N/A</v>
      </c>
      <c r="H4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8" s="11" t="str">
        <f>IF(DataTable[[#This Row],[Lo. B. Successful Xings.]]="","N/A",SUM(ProcessedData[[#This Row],[Lo. B. Ti.]],DataTable[[#This Row],[Lo. B. Successful Xings.]]+1))</f>
        <v>N/A</v>
      </c>
      <c r="Z4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09" spans="1:26" x14ac:dyDescent="0.2">
      <c r="A409" t="str">
        <f>IF(DataTable[[#This Row],[Tm.]]="","N/A",DataTable[[#This Row],[Tm.]])</f>
        <v>N/A</v>
      </c>
      <c r="B409" t="str">
        <f>IF(DataTable[[#This Row],[Match Nr.]]="","N/A",DataTable[[#This Row],[Match Nr.]])</f>
        <v>N/A</v>
      </c>
      <c r="C4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09" t="str">
        <f>IF(AND(DataTable[[#This Row],[Successful Lo. G. S]]="",DataTable[[#This Row],[Successful Hi. G. S.]]=""),"N/A",DataTable[[#This Row],[Successful Lo. G. S]]*2+DataTable[[#This Row],[Successful Hi. G. S.]]*10)</f>
        <v>N/A</v>
      </c>
      <c r="H4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09" s="11" t="str">
        <f>IF(DataTable[[#This Row],[Lo. B. Successful Xings.]]="","N/A",SUM(ProcessedData[[#This Row],[Lo. B. Ti.]],DataTable[[#This Row],[Lo. B. Successful Xings.]]+1))</f>
        <v>N/A</v>
      </c>
      <c r="Z4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0" spans="1:26" x14ac:dyDescent="0.2">
      <c r="A410" t="str">
        <f>IF(DataTable[[#This Row],[Tm.]]="","N/A",DataTable[[#This Row],[Tm.]])</f>
        <v>N/A</v>
      </c>
      <c r="B410" t="str">
        <f>IF(DataTable[[#This Row],[Match Nr.]]="","N/A",DataTable[[#This Row],[Match Nr.]])</f>
        <v>N/A</v>
      </c>
      <c r="C4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0" t="str">
        <f>IF(AND(DataTable[[#This Row],[Successful Lo. G. S]]="",DataTable[[#This Row],[Successful Hi. G. S.]]=""),"N/A",DataTable[[#This Row],[Successful Lo. G. S]]*2+DataTable[[#This Row],[Successful Hi. G. S.]]*10)</f>
        <v>N/A</v>
      </c>
      <c r="H4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0" s="11" t="str">
        <f>IF(DataTable[[#This Row],[Lo. B. Successful Xings.]]="","N/A",SUM(ProcessedData[[#This Row],[Lo. B. Ti.]],DataTable[[#This Row],[Lo. B. Successful Xings.]]+1))</f>
        <v>N/A</v>
      </c>
      <c r="Z4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1" spans="1:26" x14ac:dyDescent="0.2">
      <c r="A411" t="str">
        <f>IF(DataTable[[#This Row],[Tm.]]="","N/A",DataTable[[#This Row],[Tm.]])</f>
        <v>N/A</v>
      </c>
      <c r="B411" t="str">
        <f>IF(DataTable[[#This Row],[Match Nr.]]="","N/A",DataTable[[#This Row],[Match Nr.]])</f>
        <v>N/A</v>
      </c>
      <c r="C4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1" t="str">
        <f>IF(AND(DataTable[[#This Row],[Successful Lo. G. S]]="",DataTable[[#This Row],[Successful Hi. G. S.]]=""),"N/A",DataTable[[#This Row],[Successful Lo. G. S]]*2+DataTable[[#This Row],[Successful Hi. G. S.]]*10)</f>
        <v>N/A</v>
      </c>
      <c r="H4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1" s="11" t="str">
        <f>IF(DataTable[[#This Row],[Lo. B. Successful Xings.]]="","N/A",SUM(ProcessedData[[#This Row],[Lo. B. Ti.]],DataTable[[#This Row],[Lo. B. Successful Xings.]]+1))</f>
        <v>N/A</v>
      </c>
      <c r="Z4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2" spans="1:26" x14ac:dyDescent="0.2">
      <c r="A412" t="str">
        <f>IF(DataTable[[#This Row],[Tm.]]="","N/A",DataTable[[#This Row],[Tm.]])</f>
        <v>N/A</v>
      </c>
      <c r="B412" t="str">
        <f>IF(DataTable[[#This Row],[Match Nr.]]="","N/A",DataTable[[#This Row],[Match Nr.]])</f>
        <v>N/A</v>
      </c>
      <c r="C4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2" t="str">
        <f>IF(AND(DataTable[[#This Row],[Successful Lo. G. S]]="",DataTable[[#This Row],[Successful Hi. G. S.]]=""),"N/A",DataTable[[#This Row],[Successful Lo. G. S]]*2+DataTable[[#This Row],[Successful Hi. G. S.]]*10)</f>
        <v>N/A</v>
      </c>
      <c r="H4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2" s="11" t="str">
        <f>IF(DataTable[[#This Row],[Lo. B. Successful Xings.]]="","N/A",SUM(ProcessedData[[#This Row],[Lo. B. Ti.]],DataTable[[#This Row],[Lo. B. Successful Xings.]]+1))</f>
        <v>N/A</v>
      </c>
      <c r="Z4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3" spans="1:26" x14ac:dyDescent="0.2">
      <c r="A413" t="str">
        <f>IF(DataTable[[#This Row],[Tm.]]="","N/A",DataTable[[#This Row],[Tm.]])</f>
        <v>N/A</v>
      </c>
      <c r="B413" t="str">
        <f>IF(DataTable[[#This Row],[Match Nr.]]="","N/A",DataTable[[#This Row],[Match Nr.]])</f>
        <v>N/A</v>
      </c>
      <c r="C4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3" t="str">
        <f>IF(AND(DataTable[[#This Row],[Successful Lo. G. S]]="",DataTable[[#This Row],[Successful Hi. G. S.]]=""),"N/A",DataTable[[#This Row],[Successful Lo. G. S]]*2+DataTable[[#This Row],[Successful Hi. G. S.]]*10)</f>
        <v>N/A</v>
      </c>
      <c r="H4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3" s="11" t="str">
        <f>IF(DataTable[[#This Row],[Lo. B. Successful Xings.]]="","N/A",SUM(ProcessedData[[#This Row],[Lo. B. Ti.]],DataTable[[#This Row],[Lo. B. Successful Xings.]]+1))</f>
        <v>N/A</v>
      </c>
      <c r="Z4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4" spans="1:26" x14ac:dyDescent="0.2">
      <c r="A414" t="str">
        <f>IF(DataTable[[#This Row],[Tm.]]="","N/A",DataTable[[#This Row],[Tm.]])</f>
        <v>N/A</v>
      </c>
      <c r="B414" t="str">
        <f>IF(DataTable[[#This Row],[Match Nr.]]="","N/A",DataTable[[#This Row],[Match Nr.]])</f>
        <v>N/A</v>
      </c>
      <c r="C4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4" t="str">
        <f>IF(AND(DataTable[[#This Row],[Successful Lo. G. S]]="",DataTable[[#This Row],[Successful Hi. G. S.]]=""),"N/A",DataTable[[#This Row],[Successful Lo. G. S]]*2+DataTable[[#This Row],[Successful Hi. G. S.]]*10)</f>
        <v>N/A</v>
      </c>
      <c r="H4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4" s="11" t="str">
        <f>IF(DataTable[[#This Row],[Lo. B. Successful Xings.]]="","N/A",SUM(ProcessedData[[#This Row],[Lo. B. Ti.]],DataTable[[#This Row],[Lo. B. Successful Xings.]]+1))</f>
        <v>N/A</v>
      </c>
      <c r="Z4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5" spans="1:26" x14ac:dyDescent="0.2">
      <c r="A415" t="str">
        <f>IF(DataTable[[#This Row],[Tm.]]="","N/A",DataTable[[#This Row],[Tm.]])</f>
        <v>N/A</v>
      </c>
      <c r="B415" t="str">
        <f>IF(DataTable[[#This Row],[Match Nr.]]="","N/A",DataTable[[#This Row],[Match Nr.]])</f>
        <v>N/A</v>
      </c>
      <c r="C4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5" t="str">
        <f>IF(AND(DataTable[[#This Row],[Successful Lo. G. S]]="",DataTable[[#This Row],[Successful Hi. G. S.]]=""),"N/A",DataTable[[#This Row],[Successful Lo. G. S]]*2+DataTable[[#This Row],[Successful Hi. G. S.]]*10)</f>
        <v>N/A</v>
      </c>
      <c r="H4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5" s="11" t="str">
        <f>IF(DataTable[[#This Row],[Lo. B. Successful Xings.]]="","N/A",SUM(ProcessedData[[#This Row],[Lo. B. Ti.]],DataTable[[#This Row],[Lo. B. Successful Xings.]]+1))</f>
        <v>N/A</v>
      </c>
      <c r="Z4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6" spans="1:26" x14ac:dyDescent="0.2">
      <c r="A416" t="str">
        <f>IF(DataTable[[#This Row],[Tm.]]="","N/A",DataTable[[#This Row],[Tm.]])</f>
        <v>N/A</v>
      </c>
      <c r="B416" t="str">
        <f>IF(DataTable[[#This Row],[Match Nr.]]="","N/A",DataTable[[#This Row],[Match Nr.]])</f>
        <v>N/A</v>
      </c>
      <c r="C4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6" t="str">
        <f>IF(AND(DataTable[[#This Row],[Successful Lo. G. S]]="",DataTable[[#This Row],[Successful Hi. G. S.]]=""),"N/A",DataTable[[#This Row],[Successful Lo. G. S]]*2+DataTable[[#This Row],[Successful Hi. G. S.]]*10)</f>
        <v>N/A</v>
      </c>
      <c r="H4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6" s="11" t="str">
        <f>IF(DataTable[[#This Row],[Lo. B. Successful Xings.]]="","N/A",SUM(ProcessedData[[#This Row],[Lo. B. Ti.]],DataTable[[#This Row],[Lo. B. Successful Xings.]]+1))</f>
        <v>N/A</v>
      </c>
      <c r="Z4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7" spans="1:26" x14ac:dyDescent="0.2">
      <c r="A417" t="str">
        <f>IF(DataTable[[#This Row],[Tm.]]="","N/A",DataTable[[#This Row],[Tm.]])</f>
        <v>N/A</v>
      </c>
      <c r="B417" t="str">
        <f>IF(DataTable[[#This Row],[Match Nr.]]="","N/A",DataTable[[#This Row],[Match Nr.]])</f>
        <v>N/A</v>
      </c>
      <c r="C4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7" t="str">
        <f>IF(AND(DataTable[[#This Row],[Successful Lo. G. S]]="",DataTable[[#This Row],[Successful Hi. G. S.]]=""),"N/A",DataTable[[#This Row],[Successful Lo. G. S]]*2+DataTable[[#This Row],[Successful Hi. G. S.]]*10)</f>
        <v>N/A</v>
      </c>
      <c r="H4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7" s="11" t="str">
        <f>IF(DataTable[[#This Row],[Lo. B. Successful Xings.]]="","N/A",SUM(ProcessedData[[#This Row],[Lo. B. Ti.]],DataTable[[#This Row],[Lo. B. Successful Xings.]]+1))</f>
        <v>N/A</v>
      </c>
      <c r="Z4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8" spans="1:26" x14ac:dyDescent="0.2">
      <c r="A418" t="str">
        <f>IF(DataTable[[#This Row],[Tm.]]="","N/A",DataTable[[#This Row],[Tm.]])</f>
        <v>N/A</v>
      </c>
      <c r="B418" t="str">
        <f>IF(DataTable[[#This Row],[Match Nr.]]="","N/A",DataTable[[#This Row],[Match Nr.]])</f>
        <v>N/A</v>
      </c>
      <c r="C4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8" t="str">
        <f>IF(AND(DataTable[[#This Row],[Successful Lo. G. S]]="",DataTable[[#This Row],[Successful Hi. G. S.]]=""),"N/A",DataTable[[#This Row],[Successful Lo. G. S]]*2+DataTable[[#This Row],[Successful Hi. G. S.]]*10)</f>
        <v>N/A</v>
      </c>
      <c r="H4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8" s="11" t="str">
        <f>IF(DataTable[[#This Row],[Lo. B. Successful Xings.]]="","N/A",SUM(ProcessedData[[#This Row],[Lo. B. Ti.]],DataTable[[#This Row],[Lo. B. Successful Xings.]]+1))</f>
        <v>N/A</v>
      </c>
      <c r="Z4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19" spans="1:26" x14ac:dyDescent="0.2">
      <c r="A419" t="str">
        <f>IF(DataTable[[#This Row],[Tm.]]="","N/A",DataTable[[#This Row],[Tm.]])</f>
        <v>N/A</v>
      </c>
      <c r="B419" t="str">
        <f>IF(DataTable[[#This Row],[Match Nr.]]="","N/A",DataTable[[#This Row],[Match Nr.]])</f>
        <v>N/A</v>
      </c>
      <c r="C4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19" t="str">
        <f>IF(AND(DataTable[[#This Row],[Successful Lo. G. S]]="",DataTable[[#This Row],[Successful Hi. G. S.]]=""),"N/A",DataTable[[#This Row],[Successful Lo. G. S]]*2+DataTable[[#This Row],[Successful Hi. G. S.]]*10)</f>
        <v>N/A</v>
      </c>
      <c r="H4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19" s="11" t="str">
        <f>IF(DataTable[[#This Row],[Lo. B. Successful Xings.]]="","N/A",SUM(ProcessedData[[#This Row],[Lo. B. Ti.]],DataTable[[#This Row],[Lo. B. Successful Xings.]]+1))</f>
        <v>N/A</v>
      </c>
      <c r="Z4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0" spans="1:26" x14ac:dyDescent="0.2">
      <c r="A420" t="str">
        <f>IF(DataTable[[#This Row],[Tm.]]="","N/A",DataTable[[#This Row],[Tm.]])</f>
        <v>N/A</v>
      </c>
      <c r="B420" t="str">
        <f>IF(DataTable[[#This Row],[Match Nr.]]="","N/A",DataTable[[#This Row],[Match Nr.]])</f>
        <v>N/A</v>
      </c>
      <c r="C4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0" t="str">
        <f>IF(AND(DataTable[[#This Row],[Successful Lo. G. S]]="",DataTable[[#This Row],[Successful Hi. G. S.]]=""),"N/A",DataTable[[#This Row],[Successful Lo. G. S]]*2+DataTable[[#This Row],[Successful Hi. G. S.]]*10)</f>
        <v>N/A</v>
      </c>
      <c r="H4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0" s="11" t="str">
        <f>IF(DataTable[[#This Row],[Lo. B. Successful Xings.]]="","N/A",SUM(ProcessedData[[#This Row],[Lo. B. Ti.]],DataTable[[#This Row],[Lo. B. Successful Xings.]]+1))</f>
        <v>N/A</v>
      </c>
      <c r="Z4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1" spans="1:26" x14ac:dyDescent="0.2">
      <c r="A421" t="str">
        <f>IF(DataTable[[#This Row],[Tm.]]="","N/A",DataTable[[#This Row],[Tm.]])</f>
        <v>N/A</v>
      </c>
      <c r="B421" t="str">
        <f>IF(DataTable[[#This Row],[Match Nr.]]="","N/A",DataTable[[#This Row],[Match Nr.]])</f>
        <v>N/A</v>
      </c>
      <c r="C4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1" t="str">
        <f>IF(AND(DataTable[[#This Row],[Successful Lo. G. S]]="",DataTable[[#This Row],[Successful Hi. G. S.]]=""),"N/A",DataTable[[#This Row],[Successful Lo. G. S]]*2+DataTable[[#This Row],[Successful Hi. G. S.]]*10)</f>
        <v>N/A</v>
      </c>
      <c r="H4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1" s="11" t="str">
        <f>IF(DataTable[[#This Row],[Lo. B. Successful Xings.]]="","N/A",SUM(ProcessedData[[#This Row],[Lo. B. Ti.]],DataTable[[#This Row],[Lo. B. Successful Xings.]]+1))</f>
        <v>N/A</v>
      </c>
      <c r="Z4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2" spans="1:26" x14ac:dyDescent="0.2">
      <c r="A422" t="str">
        <f>IF(DataTable[[#This Row],[Tm.]]="","N/A",DataTable[[#This Row],[Tm.]])</f>
        <v>N/A</v>
      </c>
      <c r="B422" t="str">
        <f>IF(DataTable[[#This Row],[Match Nr.]]="","N/A",DataTable[[#This Row],[Match Nr.]])</f>
        <v>N/A</v>
      </c>
      <c r="C4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2" t="str">
        <f>IF(AND(DataTable[[#This Row],[Successful Lo. G. S]]="",DataTable[[#This Row],[Successful Hi. G. S.]]=""),"N/A",DataTable[[#This Row],[Successful Lo. G. S]]*2+DataTable[[#This Row],[Successful Hi. G. S.]]*10)</f>
        <v>N/A</v>
      </c>
      <c r="H4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2" s="11" t="str">
        <f>IF(DataTable[[#This Row],[Lo. B. Successful Xings.]]="","N/A",SUM(ProcessedData[[#This Row],[Lo. B. Ti.]],DataTable[[#This Row],[Lo. B. Successful Xings.]]+1))</f>
        <v>N/A</v>
      </c>
      <c r="Z4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3" spans="1:26" x14ac:dyDescent="0.2">
      <c r="A423" t="str">
        <f>IF(DataTable[[#This Row],[Tm.]]="","N/A",DataTable[[#This Row],[Tm.]])</f>
        <v>N/A</v>
      </c>
      <c r="B423" t="str">
        <f>IF(DataTable[[#This Row],[Match Nr.]]="","N/A",DataTable[[#This Row],[Match Nr.]])</f>
        <v>N/A</v>
      </c>
      <c r="C4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3" t="str">
        <f>IF(AND(DataTable[[#This Row],[Successful Lo. G. S]]="",DataTable[[#This Row],[Successful Hi. G. S.]]=""),"N/A",DataTable[[#This Row],[Successful Lo. G. S]]*2+DataTable[[#This Row],[Successful Hi. G. S.]]*10)</f>
        <v>N/A</v>
      </c>
      <c r="H4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3" s="11" t="str">
        <f>IF(DataTable[[#This Row],[Lo. B. Successful Xings.]]="","N/A",SUM(ProcessedData[[#This Row],[Lo. B. Ti.]],DataTable[[#This Row],[Lo. B. Successful Xings.]]+1))</f>
        <v>N/A</v>
      </c>
      <c r="Z4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4" spans="1:26" x14ac:dyDescent="0.2">
      <c r="A424" t="str">
        <f>IF(DataTable[[#This Row],[Tm.]]="","N/A",DataTable[[#This Row],[Tm.]])</f>
        <v>N/A</v>
      </c>
      <c r="B424" t="str">
        <f>IF(DataTable[[#This Row],[Match Nr.]]="","N/A",DataTable[[#This Row],[Match Nr.]])</f>
        <v>N/A</v>
      </c>
      <c r="C4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4" t="str">
        <f>IF(AND(DataTable[[#This Row],[Successful Lo. G. S]]="",DataTable[[#This Row],[Successful Hi. G. S.]]=""),"N/A",DataTable[[#This Row],[Successful Lo. G. S]]*2+DataTable[[#This Row],[Successful Hi. G. S.]]*10)</f>
        <v>N/A</v>
      </c>
      <c r="H4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4" s="11" t="str">
        <f>IF(DataTable[[#This Row],[Lo. B. Successful Xings.]]="","N/A",SUM(ProcessedData[[#This Row],[Lo. B. Ti.]],DataTable[[#This Row],[Lo. B. Successful Xings.]]+1))</f>
        <v>N/A</v>
      </c>
      <c r="Z4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5" spans="1:26" x14ac:dyDescent="0.2">
      <c r="A425" t="str">
        <f>IF(DataTable[[#This Row],[Tm.]]="","N/A",DataTable[[#This Row],[Tm.]])</f>
        <v>N/A</v>
      </c>
      <c r="B425" t="str">
        <f>IF(DataTable[[#This Row],[Match Nr.]]="","N/A",DataTable[[#This Row],[Match Nr.]])</f>
        <v>N/A</v>
      </c>
      <c r="C4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5" t="str">
        <f>IF(AND(DataTable[[#This Row],[Successful Lo. G. S]]="",DataTable[[#This Row],[Successful Hi. G. S.]]=""),"N/A",DataTable[[#This Row],[Successful Lo. G. S]]*2+DataTable[[#This Row],[Successful Hi. G. S.]]*10)</f>
        <v>N/A</v>
      </c>
      <c r="H4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5" s="11" t="str">
        <f>IF(DataTable[[#This Row],[Lo. B. Successful Xings.]]="","N/A",SUM(ProcessedData[[#This Row],[Lo. B. Ti.]],DataTable[[#This Row],[Lo. B. Successful Xings.]]+1))</f>
        <v>N/A</v>
      </c>
      <c r="Z4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6" spans="1:26" x14ac:dyDescent="0.2">
      <c r="A426" t="str">
        <f>IF(DataTable[[#This Row],[Tm.]]="","N/A",DataTable[[#This Row],[Tm.]])</f>
        <v>N/A</v>
      </c>
      <c r="B426" t="str">
        <f>IF(DataTable[[#This Row],[Match Nr.]]="","N/A",DataTable[[#This Row],[Match Nr.]])</f>
        <v>N/A</v>
      </c>
      <c r="C4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6" t="str">
        <f>IF(AND(DataTable[[#This Row],[Successful Lo. G. S]]="",DataTable[[#This Row],[Successful Hi. G. S.]]=""),"N/A",DataTable[[#This Row],[Successful Lo. G. S]]*2+DataTable[[#This Row],[Successful Hi. G. S.]]*10)</f>
        <v>N/A</v>
      </c>
      <c r="H4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6" s="11" t="str">
        <f>IF(DataTable[[#This Row],[Lo. B. Successful Xings.]]="","N/A",SUM(ProcessedData[[#This Row],[Lo. B. Ti.]],DataTable[[#This Row],[Lo. B. Successful Xings.]]+1))</f>
        <v>N/A</v>
      </c>
      <c r="Z4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7" spans="1:26" x14ac:dyDescent="0.2">
      <c r="A427" t="str">
        <f>IF(DataTable[[#This Row],[Tm.]]="","N/A",DataTable[[#This Row],[Tm.]])</f>
        <v>N/A</v>
      </c>
      <c r="B427" t="str">
        <f>IF(DataTable[[#This Row],[Match Nr.]]="","N/A",DataTable[[#This Row],[Match Nr.]])</f>
        <v>N/A</v>
      </c>
      <c r="C4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7" t="str">
        <f>IF(AND(DataTable[[#This Row],[Successful Lo. G. S]]="",DataTable[[#This Row],[Successful Hi. G. S.]]=""),"N/A",DataTable[[#This Row],[Successful Lo. G. S]]*2+DataTable[[#This Row],[Successful Hi. G. S.]]*10)</f>
        <v>N/A</v>
      </c>
      <c r="H4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7" s="11" t="str">
        <f>IF(DataTable[[#This Row],[Lo. B. Successful Xings.]]="","N/A",SUM(ProcessedData[[#This Row],[Lo. B. Ti.]],DataTable[[#This Row],[Lo. B. Successful Xings.]]+1))</f>
        <v>N/A</v>
      </c>
      <c r="Z4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8" spans="1:26" x14ac:dyDescent="0.2">
      <c r="A428" t="str">
        <f>IF(DataTable[[#This Row],[Tm.]]="","N/A",DataTable[[#This Row],[Tm.]])</f>
        <v>N/A</v>
      </c>
      <c r="B428" t="str">
        <f>IF(DataTable[[#This Row],[Match Nr.]]="","N/A",DataTable[[#This Row],[Match Nr.]])</f>
        <v>N/A</v>
      </c>
      <c r="C4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8" t="str">
        <f>IF(AND(DataTable[[#This Row],[Successful Lo. G. S]]="",DataTable[[#This Row],[Successful Hi. G. S.]]=""),"N/A",DataTable[[#This Row],[Successful Lo. G. S]]*2+DataTable[[#This Row],[Successful Hi. G. S.]]*10)</f>
        <v>N/A</v>
      </c>
      <c r="H4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8" s="11" t="str">
        <f>IF(DataTable[[#This Row],[Lo. B. Successful Xings.]]="","N/A",SUM(ProcessedData[[#This Row],[Lo. B. Ti.]],DataTable[[#This Row],[Lo. B. Successful Xings.]]+1))</f>
        <v>N/A</v>
      </c>
      <c r="Z4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29" spans="1:26" x14ac:dyDescent="0.2">
      <c r="A429" t="str">
        <f>IF(DataTable[[#This Row],[Tm.]]="","N/A",DataTable[[#This Row],[Tm.]])</f>
        <v>N/A</v>
      </c>
      <c r="B429" t="str">
        <f>IF(DataTable[[#This Row],[Match Nr.]]="","N/A",DataTable[[#This Row],[Match Nr.]])</f>
        <v>N/A</v>
      </c>
      <c r="C4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29" t="str">
        <f>IF(AND(DataTable[[#This Row],[Successful Lo. G. S]]="",DataTable[[#This Row],[Successful Hi. G. S.]]=""),"N/A",DataTable[[#This Row],[Successful Lo. G. S]]*2+DataTable[[#This Row],[Successful Hi. G. S.]]*10)</f>
        <v>N/A</v>
      </c>
      <c r="H4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29" s="11" t="str">
        <f>IF(DataTable[[#This Row],[Lo. B. Successful Xings.]]="","N/A",SUM(ProcessedData[[#This Row],[Lo. B. Ti.]],DataTable[[#This Row],[Lo. B. Successful Xings.]]+1))</f>
        <v>N/A</v>
      </c>
      <c r="Z4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0" spans="1:26" x14ac:dyDescent="0.2">
      <c r="A430" t="str">
        <f>IF(DataTable[[#This Row],[Tm.]]="","N/A",DataTable[[#This Row],[Tm.]])</f>
        <v>N/A</v>
      </c>
      <c r="B430" t="str">
        <f>IF(DataTable[[#This Row],[Match Nr.]]="","N/A",DataTable[[#This Row],[Match Nr.]])</f>
        <v>N/A</v>
      </c>
      <c r="C4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0" t="str">
        <f>IF(AND(DataTable[[#This Row],[Successful Lo. G. S]]="",DataTable[[#This Row],[Successful Hi. G. S.]]=""),"N/A",DataTable[[#This Row],[Successful Lo. G. S]]*2+DataTable[[#This Row],[Successful Hi. G. S.]]*10)</f>
        <v>N/A</v>
      </c>
      <c r="H4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0" s="11" t="str">
        <f>IF(DataTable[[#This Row],[Lo. B. Successful Xings.]]="","N/A",SUM(ProcessedData[[#This Row],[Lo. B. Ti.]],DataTable[[#This Row],[Lo. B. Successful Xings.]]+1))</f>
        <v>N/A</v>
      </c>
      <c r="Z4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1" spans="1:26" x14ac:dyDescent="0.2">
      <c r="A431" t="str">
        <f>IF(DataTable[[#This Row],[Tm.]]="","N/A",DataTable[[#This Row],[Tm.]])</f>
        <v>N/A</v>
      </c>
      <c r="B431" t="str">
        <f>IF(DataTable[[#This Row],[Match Nr.]]="","N/A",DataTable[[#This Row],[Match Nr.]])</f>
        <v>N/A</v>
      </c>
      <c r="C4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1" t="str">
        <f>IF(AND(DataTable[[#This Row],[Successful Lo. G. S]]="",DataTable[[#This Row],[Successful Hi. G. S.]]=""),"N/A",DataTable[[#This Row],[Successful Lo. G. S]]*2+DataTable[[#This Row],[Successful Hi. G. S.]]*10)</f>
        <v>N/A</v>
      </c>
      <c r="H4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1" s="11" t="str">
        <f>IF(DataTable[[#This Row],[Lo. B. Successful Xings.]]="","N/A",SUM(ProcessedData[[#This Row],[Lo. B. Ti.]],DataTable[[#This Row],[Lo. B. Successful Xings.]]+1))</f>
        <v>N/A</v>
      </c>
      <c r="Z4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2" spans="1:26" x14ac:dyDescent="0.2">
      <c r="A432" t="str">
        <f>IF(DataTable[[#This Row],[Tm.]]="","N/A",DataTable[[#This Row],[Tm.]])</f>
        <v>N/A</v>
      </c>
      <c r="B432" t="str">
        <f>IF(DataTable[[#This Row],[Match Nr.]]="","N/A",DataTable[[#This Row],[Match Nr.]])</f>
        <v>N/A</v>
      </c>
      <c r="C4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2" t="str">
        <f>IF(AND(DataTable[[#This Row],[Successful Lo. G. S]]="",DataTable[[#This Row],[Successful Hi. G. S.]]=""),"N/A",DataTable[[#This Row],[Successful Lo. G. S]]*2+DataTable[[#This Row],[Successful Hi. G. S.]]*10)</f>
        <v>N/A</v>
      </c>
      <c r="H4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2" s="11" t="str">
        <f>IF(DataTable[[#This Row],[Lo. B. Successful Xings.]]="","N/A",SUM(ProcessedData[[#This Row],[Lo. B. Ti.]],DataTable[[#This Row],[Lo. B. Successful Xings.]]+1))</f>
        <v>N/A</v>
      </c>
      <c r="Z4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3" spans="1:26" x14ac:dyDescent="0.2">
      <c r="A433" t="str">
        <f>IF(DataTable[[#This Row],[Tm.]]="","N/A",DataTable[[#This Row],[Tm.]])</f>
        <v>N/A</v>
      </c>
      <c r="B433" t="str">
        <f>IF(DataTable[[#This Row],[Match Nr.]]="","N/A",DataTable[[#This Row],[Match Nr.]])</f>
        <v>N/A</v>
      </c>
      <c r="C4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3" t="str">
        <f>IF(AND(DataTable[[#This Row],[Successful Lo. G. S]]="",DataTable[[#This Row],[Successful Hi. G. S.]]=""),"N/A",DataTable[[#This Row],[Successful Lo. G. S]]*2+DataTable[[#This Row],[Successful Hi. G. S.]]*10)</f>
        <v>N/A</v>
      </c>
      <c r="H4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3" s="11" t="str">
        <f>IF(DataTable[[#This Row],[Lo. B. Successful Xings.]]="","N/A",SUM(ProcessedData[[#This Row],[Lo. B. Ti.]],DataTable[[#This Row],[Lo. B. Successful Xings.]]+1))</f>
        <v>N/A</v>
      </c>
      <c r="Z4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4" spans="1:26" x14ac:dyDescent="0.2">
      <c r="A434" t="str">
        <f>IF(DataTable[[#This Row],[Tm.]]="","N/A",DataTable[[#This Row],[Tm.]])</f>
        <v>N/A</v>
      </c>
      <c r="B434" t="str">
        <f>IF(DataTable[[#This Row],[Match Nr.]]="","N/A",DataTable[[#This Row],[Match Nr.]])</f>
        <v>N/A</v>
      </c>
      <c r="C4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4" t="str">
        <f>IF(AND(DataTable[[#This Row],[Successful Lo. G. S]]="",DataTable[[#This Row],[Successful Hi. G. S.]]=""),"N/A",DataTable[[#This Row],[Successful Lo. G. S]]*2+DataTable[[#This Row],[Successful Hi. G. S.]]*10)</f>
        <v>N/A</v>
      </c>
      <c r="H4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4" s="11" t="str">
        <f>IF(DataTable[[#This Row],[Lo. B. Successful Xings.]]="","N/A",SUM(ProcessedData[[#This Row],[Lo. B. Ti.]],DataTable[[#This Row],[Lo. B. Successful Xings.]]+1))</f>
        <v>N/A</v>
      </c>
      <c r="Z4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5" spans="1:26" x14ac:dyDescent="0.2">
      <c r="A435" t="str">
        <f>IF(DataTable[[#This Row],[Tm.]]="","N/A",DataTable[[#This Row],[Tm.]])</f>
        <v>N/A</v>
      </c>
      <c r="B435" t="str">
        <f>IF(DataTable[[#This Row],[Match Nr.]]="","N/A",DataTable[[#This Row],[Match Nr.]])</f>
        <v>N/A</v>
      </c>
      <c r="C4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5" t="str">
        <f>IF(AND(DataTable[[#This Row],[Successful Lo. G. S]]="",DataTable[[#This Row],[Successful Hi. G. S.]]=""),"N/A",DataTable[[#This Row],[Successful Lo. G. S]]*2+DataTable[[#This Row],[Successful Hi. G. S.]]*10)</f>
        <v>N/A</v>
      </c>
      <c r="H4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5" s="11" t="str">
        <f>IF(DataTable[[#This Row],[Lo. B. Successful Xings.]]="","N/A",SUM(ProcessedData[[#This Row],[Lo. B. Ti.]],DataTable[[#This Row],[Lo. B. Successful Xings.]]+1))</f>
        <v>N/A</v>
      </c>
      <c r="Z4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6" spans="1:26" x14ac:dyDescent="0.2">
      <c r="A436" t="str">
        <f>IF(DataTable[[#This Row],[Tm.]]="","N/A",DataTable[[#This Row],[Tm.]])</f>
        <v>N/A</v>
      </c>
      <c r="B436" t="str">
        <f>IF(DataTable[[#This Row],[Match Nr.]]="","N/A",DataTable[[#This Row],[Match Nr.]])</f>
        <v>N/A</v>
      </c>
      <c r="C4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6" t="str">
        <f>IF(AND(DataTable[[#This Row],[Successful Lo. G. S]]="",DataTable[[#This Row],[Successful Hi. G. S.]]=""),"N/A",DataTable[[#This Row],[Successful Lo. G. S]]*2+DataTable[[#This Row],[Successful Hi. G. S.]]*10)</f>
        <v>N/A</v>
      </c>
      <c r="H4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6" s="11" t="str">
        <f>IF(DataTable[[#This Row],[Lo. B. Successful Xings.]]="","N/A",SUM(ProcessedData[[#This Row],[Lo. B. Ti.]],DataTable[[#This Row],[Lo. B. Successful Xings.]]+1))</f>
        <v>N/A</v>
      </c>
      <c r="Z4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7" spans="1:26" x14ac:dyDescent="0.2">
      <c r="A437" t="str">
        <f>IF(DataTable[[#This Row],[Tm.]]="","N/A",DataTable[[#This Row],[Tm.]])</f>
        <v>N/A</v>
      </c>
      <c r="B437" t="str">
        <f>IF(DataTable[[#This Row],[Match Nr.]]="","N/A",DataTable[[#This Row],[Match Nr.]])</f>
        <v>N/A</v>
      </c>
      <c r="C4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7" t="str">
        <f>IF(AND(DataTable[[#This Row],[Successful Lo. G. S]]="",DataTable[[#This Row],[Successful Hi. G. S.]]=""),"N/A",DataTable[[#This Row],[Successful Lo. G. S]]*2+DataTable[[#This Row],[Successful Hi. G. S.]]*10)</f>
        <v>N/A</v>
      </c>
      <c r="H4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7" s="11" t="str">
        <f>IF(DataTable[[#This Row],[Lo. B. Successful Xings.]]="","N/A",SUM(ProcessedData[[#This Row],[Lo. B. Ti.]],DataTable[[#This Row],[Lo. B. Successful Xings.]]+1))</f>
        <v>N/A</v>
      </c>
      <c r="Z4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8" spans="1:26" x14ac:dyDescent="0.2">
      <c r="A438" t="str">
        <f>IF(DataTable[[#This Row],[Tm.]]="","N/A",DataTable[[#This Row],[Tm.]])</f>
        <v>N/A</v>
      </c>
      <c r="B438" t="str">
        <f>IF(DataTable[[#This Row],[Match Nr.]]="","N/A",DataTable[[#This Row],[Match Nr.]])</f>
        <v>N/A</v>
      </c>
      <c r="C4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8" t="str">
        <f>IF(AND(DataTable[[#This Row],[Successful Lo. G. S]]="",DataTable[[#This Row],[Successful Hi. G. S.]]=""),"N/A",DataTable[[#This Row],[Successful Lo. G. S]]*2+DataTable[[#This Row],[Successful Hi. G. S.]]*10)</f>
        <v>N/A</v>
      </c>
      <c r="H4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8" s="11" t="str">
        <f>IF(DataTable[[#This Row],[Lo. B. Successful Xings.]]="","N/A",SUM(ProcessedData[[#This Row],[Lo. B. Ti.]],DataTable[[#This Row],[Lo. B. Successful Xings.]]+1))</f>
        <v>N/A</v>
      </c>
      <c r="Z4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39" spans="1:26" x14ac:dyDescent="0.2">
      <c r="A439" t="str">
        <f>IF(DataTable[[#This Row],[Tm.]]="","N/A",DataTable[[#This Row],[Tm.]])</f>
        <v>N/A</v>
      </c>
      <c r="B439" t="str">
        <f>IF(DataTable[[#This Row],[Match Nr.]]="","N/A",DataTable[[#This Row],[Match Nr.]])</f>
        <v>N/A</v>
      </c>
      <c r="C4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39" t="str">
        <f>IF(AND(DataTable[[#This Row],[Successful Lo. G. S]]="",DataTable[[#This Row],[Successful Hi. G. S.]]=""),"N/A",DataTable[[#This Row],[Successful Lo. G. S]]*2+DataTable[[#This Row],[Successful Hi. G. S.]]*10)</f>
        <v>N/A</v>
      </c>
      <c r="H4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39" s="11" t="str">
        <f>IF(DataTable[[#This Row],[Lo. B. Successful Xings.]]="","N/A",SUM(ProcessedData[[#This Row],[Lo. B. Ti.]],DataTable[[#This Row],[Lo. B. Successful Xings.]]+1))</f>
        <v>N/A</v>
      </c>
      <c r="Z4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0" spans="1:26" x14ac:dyDescent="0.2">
      <c r="A440" t="str">
        <f>IF(DataTable[[#This Row],[Tm.]]="","N/A",DataTable[[#This Row],[Tm.]])</f>
        <v>N/A</v>
      </c>
      <c r="B440" t="str">
        <f>IF(DataTable[[#This Row],[Match Nr.]]="","N/A",DataTable[[#This Row],[Match Nr.]])</f>
        <v>N/A</v>
      </c>
      <c r="C4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0" t="str">
        <f>IF(AND(DataTable[[#This Row],[Successful Lo. G. S]]="",DataTable[[#This Row],[Successful Hi. G. S.]]=""),"N/A",DataTable[[#This Row],[Successful Lo. G. S]]*2+DataTable[[#This Row],[Successful Hi. G. S.]]*10)</f>
        <v>N/A</v>
      </c>
      <c r="H4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0" s="11" t="str">
        <f>IF(DataTable[[#This Row],[Lo. B. Successful Xings.]]="","N/A",SUM(ProcessedData[[#This Row],[Lo. B. Ti.]],DataTable[[#This Row],[Lo. B. Successful Xings.]]+1))</f>
        <v>N/A</v>
      </c>
      <c r="Z4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1" spans="1:26" x14ac:dyDescent="0.2">
      <c r="A441" t="str">
        <f>IF(DataTable[[#This Row],[Tm.]]="","N/A",DataTable[[#This Row],[Tm.]])</f>
        <v>N/A</v>
      </c>
      <c r="B441" t="str">
        <f>IF(DataTable[[#This Row],[Match Nr.]]="","N/A",DataTable[[#This Row],[Match Nr.]])</f>
        <v>N/A</v>
      </c>
      <c r="C4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1" t="str">
        <f>IF(AND(DataTable[[#This Row],[Successful Lo. G. S]]="",DataTable[[#This Row],[Successful Hi. G. S.]]=""),"N/A",DataTable[[#This Row],[Successful Lo. G. S]]*2+DataTable[[#This Row],[Successful Hi. G. S.]]*10)</f>
        <v>N/A</v>
      </c>
      <c r="H4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1" s="11" t="str">
        <f>IF(DataTable[[#This Row],[Lo. B. Successful Xings.]]="","N/A",SUM(ProcessedData[[#This Row],[Lo. B. Ti.]],DataTable[[#This Row],[Lo. B. Successful Xings.]]+1))</f>
        <v>N/A</v>
      </c>
      <c r="Z4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2" spans="1:26" x14ac:dyDescent="0.2">
      <c r="A442" t="str">
        <f>IF(DataTable[[#This Row],[Tm.]]="","N/A",DataTable[[#This Row],[Tm.]])</f>
        <v>N/A</v>
      </c>
      <c r="B442" t="str">
        <f>IF(DataTable[[#This Row],[Match Nr.]]="","N/A",DataTable[[#This Row],[Match Nr.]])</f>
        <v>N/A</v>
      </c>
      <c r="C4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2" t="str">
        <f>IF(AND(DataTable[[#This Row],[Successful Lo. G. S]]="",DataTable[[#This Row],[Successful Hi. G. S.]]=""),"N/A",DataTable[[#This Row],[Successful Lo. G. S]]*2+DataTable[[#This Row],[Successful Hi. G. S.]]*10)</f>
        <v>N/A</v>
      </c>
      <c r="H4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2" s="11" t="str">
        <f>IF(DataTable[[#This Row],[Lo. B. Successful Xings.]]="","N/A",SUM(ProcessedData[[#This Row],[Lo. B. Ti.]],DataTable[[#This Row],[Lo. B. Successful Xings.]]+1))</f>
        <v>N/A</v>
      </c>
      <c r="Z4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3" spans="1:26" x14ac:dyDescent="0.2">
      <c r="A443" t="str">
        <f>IF(DataTable[[#This Row],[Tm.]]="","N/A",DataTable[[#This Row],[Tm.]])</f>
        <v>N/A</v>
      </c>
      <c r="B443" t="str">
        <f>IF(DataTable[[#This Row],[Match Nr.]]="","N/A",DataTable[[#This Row],[Match Nr.]])</f>
        <v>N/A</v>
      </c>
      <c r="C4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3" t="str">
        <f>IF(AND(DataTable[[#This Row],[Successful Lo. G. S]]="",DataTable[[#This Row],[Successful Hi. G. S.]]=""),"N/A",DataTable[[#This Row],[Successful Lo. G. S]]*2+DataTable[[#This Row],[Successful Hi. G. S.]]*10)</f>
        <v>N/A</v>
      </c>
      <c r="H4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3" s="11" t="str">
        <f>IF(DataTable[[#This Row],[Lo. B. Successful Xings.]]="","N/A",SUM(ProcessedData[[#This Row],[Lo. B. Ti.]],DataTable[[#This Row],[Lo. B. Successful Xings.]]+1))</f>
        <v>N/A</v>
      </c>
      <c r="Z4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4" spans="1:26" x14ac:dyDescent="0.2">
      <c r="A444" t="str">
        <f>IF(DataTable[[#This Row],[Tm.]]="","N/A",DataTable[[#This Row],[Tm.]])</f>
        <v>N/A</v>
      </c>
      <c r="B444" t="str">
        <f>IF(DataTable[[#This Row],[Match Nr.]]="","N/A",DataTable[[#This Row],[Match Nr.]])</f>
        <v>N/A</v>
      </c>
      <c r="C4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4" t="str">
        <f>IF(AND(DataTable[[#This Row],[Successful Lo. G. S]]="",DataTable[[#This Row],[Successful Hi. G. S.]]=""),"N/A",DataTable[[#This Row],[Successful Lo. G. S]]*2+DataTable[[#This Row],[Successful Hi. G. S.]]*10)</f>
        <v>N/A</v>
      </c>
      <c r="H4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4" s="11" t="str">
        <f>IF(DataTable[[#This Row],[Lo. B. Successful Xings.]]="","N/A",SUM(ProcessedData[[#This Row],[Lo. B. Ti.]],DataTable[[#This Row],[Lo. B. Successful Xings.]]+1))</f>
        <v>N/A</v>
      </c>
      <c r="Z4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5" spans="1:26" x14ac:dyDescent="0.2">
      <c r="A445" t="str">
        <f>IF(DataTable[[#This Row],[Tm.]]="","N/A",DataTable[[#This Row],[Tm.]])</f>
        <v>N/A</v>
      </c>
      <c r="B445" t="str">
        <f>IF(DataTable[[#This Row],[Match Nr.]]="","N/A",DataTable[[#This Row],[Match Nr.]])</f>
        <v>N/A</v>
      </c>
      <c r="C4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5" t="str">
        <f>IF(AND(DataTable[[#This Row],[Successful Lo. G. S]]="",DataTable[[#This Row],[Successful Hi. G. S.]]=""),"N/A",DataTable[[#This Row],[Successful Lo. G. S]]*2+DataTable[[#This Row],[Successful Hi. G. S.]]*10)</f>
        <v>N/A</v>
      </c>
      <c r="H4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5" s="11" t="str">
        <f>IF(DataTable[[#This Row],[Lo. B. Successful Xings.]]="","N/A",SUM(ProcessedData[[#This Row],[Lo. B. Ti.]],DataTable[[#This Row],[Lo. B. Successful Xings.]]+1))</f>
        <v>N/A</v>
      </c>
      <c r="Z4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6" spans="1:26" x14ac:dyDescent="0.2">
      <c r="A446" t="str">
        <f>IF(DataTable[[#This Row],[Tm.]]="","N/A",DataTable[[#This Row],[Tm.]])</f>
        <v>N/A</v>
      </c>
      <c r="B446" t="str">
        <f>IF(DataTable[[#This Row],[Match Nr.]]="","N/A",DataTable[[#This Row],[Match Nr.]])</f>
        <v>N/A</v>
      </c>
      <c r="C4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6" t="str">
        <f>IF(AND(DataTable[[#This Row],[Successful Lo. G. S]]="",DataTable[[#This Row],[Successful Hi. G. S.]]=""),"N/A",DataTable[[#This Row],[Successful Lo. G. S]]*2+DataTable[[#This Row],[Successful Hi. G. S.]]*10)</f>
        <v>N/A</v>
      </c>
      <c r="H4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6" s="11" t="str">
        <f>IF(DataTable[[#This Row],[Lo. B. Successful Xings.]]="","N/A",SUM(ProcessedData[[#This Row],[Lo. B. Ti.]],DataTable[[#This Row],[Lo. B. Successful Xings.]]+1))</f>
        <v>N/A</v>
      </c>
      <c r="Z4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7" spans="1:26" x14ac:dyDescent="0.2">
      <c r="A447" t="str">
        <f>IF(DataTable[[#This Row],[Tm.]]="","N/A",DataTable[[#This Row],[Tm.]])</f>
        <v>N/A</v>
      </c>
      <c r="B447" t="str">
        <f>IF(DataTable[[#This Row],[Match Nr.]]="","N/A",DataTable[[#This Row],[Match Nr.]])</f>
        <v>N/A</v>
      </c>
      <c r="C4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7" t="str">
        <f>IF(AND(DataTable[[#This Row],[Successful Lo. G. S]]="",DataTable[[#This Row],[Successful Hi. G. S.]]=""),"N/A",DataTable[[#This Row],[Successful Lo. G. S]]*2+DataTable[[#This Row],[Successful Hi. G. S.]]*10)</f>
        <v>N/A</v>
      </c>
      <c r="H4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7" s="11" t="str">
        <f>IF(DataTable[[#This Row],[Lo. B. Successful Xings.]]="","N/A",SUM(ProcessedData[[#This Row],[Lo. B. Ti.]],DataTable[[#This Row],[Lo. B. Successful Xings.]]+1))</f>
        <v>N/A</v>
      </c>
      <c r="Z4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8" spans="1:26" x14ac:dyDescent="0.2">
      <c r="A448" t="str">
        <f>IF(DataTable[[#This Row],[Tm.]]="","N/A",DataTable[[#This Row],[Tm.]])</f>
        <v>N/A</v>
      </c>
      <c r="B448" t="str">
        <f>IF(DataTable[[#This Row],[Match Nr.]]="","N/A",DataTable[[#This Row],[Match Nr.]])</f>
        <v>N/A</v>
      </c>
      <c r="C4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8" t="str">
        <f>IF(AND(DataTable[[#This Row],[Successful Lo. G. S]]="",DataTable[[#This Row],[Successful Hi. G. S.]]=""),"N/A",DataTable[[#This Row],[Successful Lo. G. S]]*2+DataTable[[#This Row],[Successful Hi. G. S.]]*10)</f>
        <v>N/A</v>
      </c>
      <c r="H4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8" s="11" t="str">
        <f>IF(DataTable[[#This Row],[Lo. B. Successful Xings.]]="","N/A",SUM(ProcessedData[[#This Row],[Lo. B. Ti.]],DataTable[[#This Row],[Lo. B. Successful Xings.]]+1))</f>
        <v>N/A</v>
      </c>
      <c r="Z4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49" spans="1:26" x14ac:dyDescent="0.2">
      <c r="A449" t="str">
        <f>IF(DataTable[[#This Row],[Tm.]]="","N/A",DataTable[[#This Row],[Tm.]])</f>
        <v>N/A</v>
      </c>
      <c r="B449" t="str">
        <f>IF(DataTable[[#This Row],[Match Nr.]]="","N/A",DataTable[[#This Row],[Match Nr.]])</f>
        <v>N/A</v>
      </c>
      <c r="C4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49" t="str">
        <f>IF(AND(DataTable[[#This Row],[Successful Lo. G. S]]="",DataTable[[#This Row],[Successful Hi. G. S.]]=""),"N/A",DataTable[[#This Row],[Successful Lo. G. S]]*2+DataTable[[#This Row],[Successful Hi. G. S.]]*10)</f>
        <v>N/A</v>
      </c>
      <c r="H4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49" s="11" t="str">
        <f>IF(DataTable[[#This Row],[Lo. B. Successful Xings.]]="","N/A",SUM(ProcessedData[[#This Row],[Lo. B. Ti.]],DataTable[[#This Row],[Lo. B. Successful Xings.]]+1))</f>
        <v>N/A</v>
      </c>
      <c r="Z4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0" spans="1:26" x14ac:dyDescent="0.2">
      <c r="A450" t="str">
        <f>IF(DataTable[[#This Row],[Tm.]]="","N/A",DataTable[[#This Row],[Tm.]])</f>
        <v>N/A</v>
      </c>
      <c r="B450" t="str">
        <f>IF(DataTable[[#This Row],[Match Nr.]]="","N/A",DataTable[[#This Row],[Match Nr.]])</f>
        <v>N/A</v>
      </c>
      <c r="C4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0" t="str">
        <f>IF(AND(DataTable[[#This Row],[Successful Lo. G. S]]="",DataTable[[#This Row],[Successful Hi. G. S.]]=""),"N/A",DataTable[[#This Row],[Successful Lo. G. S]]*2+DataTable[[#This Row],[Successful Hi. G. S.]]*10)</f>
        <v>N/A</v>
      </c>
      <c r="H4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0" s="11" t="str">
        <f>IF(DataTable[[#This Row],[Lo. B. Successful Xings.]]="","N/A",SUM(ProcessedData[[#This Row],[Lo. B. Ti.]],DataTable[[#This Row],[Lo. B. Successful Xings.]]+1))</f>
        <v>N/A</v>
      </c>
      <c r="Z4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1" spans="1:26" x14ac:dyDescent="0.2">
      <c r="A451" t="str">
        <f>IF(DataTable[[#This Row],[Tm.]]="","N/A",DataTable[[#This Row],[Tm.]])</f>
        <v>N/A</v>
      </c>
      <c r="B451" t="str">
        <f>IF(DataTable[[#This Row],[Match Nr.]]="","N/A",DataTable[[#This Row],[Match Nr.]])</f>
        <v>N/A</v>
      </c>
      <c r="C4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1" t="str">
        <f>IF(AND(DataTable[[#This Row],[Successful Lo. G. S]]="",DataTable[[#This Row],[Successful Hi. G. S.]]=""),"N/A",DataTable[[#This Row],[Successful Lo. G. S]]*2+DataTable[[#This Row],[Successful Hi. G. S.]]*10)</f>
        <v>N/A</v>
      </c>
      <c r="H4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1" s="11" t="str">
        <f>IF(DataTable[[#This Row],[Lo. B. Successful Xings.]]="","N/A",SUM(ProcessedData[[#This Row],[Lo. B. Ti.]],DataTable[[#This Row],[Lo. B. Successful Xings.]]+1))</f>
        <v>N/A</v>
      </c>
      <c r="Z4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2" spans="1:26" x14ac:dyDescent="0.2">
      <c r="A452" t="str">
        <f>IF(DataTable[[#This Row],[Tm.]]="","N/A",DataTable[[#This Row],[Tm.]])</f>
        <v>N/A</v>
      </c>
      <c r="B452" t="str">
        <f>IF(DataTable[[#This Row],[Match Nr.]]="","N/A",DataTable[[#This Row],[Match Nr.]])</f>
        <v>N/A</v>
      </c>
      <c r="C4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2" t="str">
        <f>IF(AND(DataTable[[#This Row],[Successful Lo. G. S]]="",DataTable[[#This Row],[Successful Hi. G. S.]]=""),"N/A",DataTable[[#This Row],[Successful Lo. G. S]]*2+DataTable[[#This Row],[Successful Hi. G. S.]]*10)</f>
        <v>N/A</v>
      </c>
      <c r="H4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2" s="11" t="str">
        <f>IF(DataTable[[#This Row],[Lo. B. Successful Xings.]]="","N/A",SUM(ProcessedData[[#This Row],[Lo. B. Ti.]],DataTable[[#This Row],[Lo. B. Successful Xings.]]+1))</f>
        <v>N/A</v>
      </c>
      <c r="Z4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3" spans="1:26" x14ac:dyDescent="0.2">
      <c r="A453" t="str">
        <f>IF(DataTable[[#This Row],[Tm.]]="","N/A",DataTable[[#This Row],[Tm.]])</f>
        <v>N/A</v>
      </c>
      <c r="B453" t="str">
        <f>IF(DataTable[[#This Row],[Match Nr.]]="","N/A",DataTable[[#This Row],[Match Nr.]])</f>
        <v>N/A</v>
      </c>
      <c r="C4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3" t="str">
        <f>IF(AND(DataTable[[#This Row],[Successful Lo. G. S]]="",DataTable[[#This Row],[Successful Hi. G. S.]]=""),"N/A",DataTable[[#This Row],[Successful Lo. G. S]]*2+DataTable[[#This Row],[Successful Hi. G. S.]]*10)</f>
        <v>N/A</v>
      </c>
      <c r="H4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3" s="11" t="str">
        <f>IF(DataTable[[#This Row],[Lo. B. Successful Xings.]]="","N/A",SUM(ProcessedData[[#This Row],[Lo. B. Ti.]],DataTable[[#This Row],[Lo. B. Successful Xings.]]+1))</f>
        <v>N/A</v>
      </c>
      <c r="Z4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4" spans="1:26" x14ac:dyDescent="0.2">
      <c r="A454" t="str">
        <f>IF(DataTable[[#This Row],[Tm.]]="","N/A",DataTable[[#This Row],[Tm.]])</f>
        <v>N/A</v>
      </c>
      <c r="B454" t="str">
        <f>IF(DataTable[[#This Row],[Match Nr.]]="","N/A",DataTable[[#This Row],[Match Nr.]])</f>
        <v>N/A</v>
      </c>
      <c r="C4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4" t="str">
        <f>IF(AND(DataTable[[#This Row],[Successful Lo. G. S]]="",DataTable[[#This Row],[Successful Hi. G. S.]]=""),"N/A",DataTable[[#This Row],[Successful Lo. G. S]]*2+DataTable[[#This Row],[Successful Hi. G. S.]]*10)</f>
        <v>N/A</v>
      </c>
      <c r="H4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4" s="11" t="str">
        <f>IF(DataTable[[#This Row],[Lo. B. Successful Xings.]]="","N/A",SUM(ProcessedData[[#This Row],[Lo. B. Ti.]],DataTable[[#This Row],[Lo. B. Successful Xings.]]+1))</f>
        <v>N/A</v>
      </c>
      <c r="Z4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5" spans="1:26" x14ac:dyDescent="0.2">
      <c r="A455" t="str">
        <f>IF(DataTable[[#This Row],[Tm.]]="","N/A",DataTable[[#This Row],[Tm.]])</f>
        <v>N/A</v>
      </c>
      <c r="B455" t="str">
        <f>IF(DataTable[[#This Row],[Match Nr.]]="","N/A",DataTable[[#This Row],[Match Nr.]])</f>
        <v>N/A</v>
      </c>
      <c r="C4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5" t="str">
        <f>IF(AND(DataTable[[#This Row],[Successful Lo. G. S]]="",DataTable[[#This Row],[Successful Hi. G. S.]]=""),"N/A",DataTable[[#This Row],[Successful Lo. G. S]]*2+DataTable[[#This Row],[Successful Hi. G. S.]]*10)</f>
        <v>N/A</v>
      </c>
      <c r="H4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5" s="11" t="str">
        <f>IF(DataTable[[#This Row],[Lo. B. Successful Xings.]]="","N/A",SUM(ProcessedData[[#This Row],[Lo. B. Ti.]],DataTable[[#This Row],[Lo. B. Successful Xings.]]+1))</f>
        <v>N/A</v>
      </c>
      <c r="Z4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6" spans="1:26" x14ac:dyDescent="0.2">
      <c r="A456" t="str">
        <f>IF(DataTable[[#This Row],[Tm.]]="","N/A",DataTable[[#This Row],[Tm.]])</f>
        <v>N/A</v>
      </c>
      <c r="B456" t="str">
        <f>IF(DataTable[[#This Row],[Match Nr.]]="","N/A",DataTable[[#This Row],[Match Nr.]])</f>
        <v>N/A</v>
      </c>
      <c r="C4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6" t="str">
        <f>IF(AND(DataTable[[#This Row],[Successful Lo. G. S]]="",DataTable[[#This Row],[Successful Hi. G. S.]]=""),"N/A",DataTable[[#This Row],[Successful Lo. G. S]]*2+DataTable[[#This Row],[Successful Hi. G. S.]]*10)</f>
        <v>N/A</v>
      </c>
      <c r="H4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6" s="11" t="str">
        <f>IF(DataTable[[#This Row],[Lo. B. Successful Xings.]]="","N/A",SUM(ProcessedData[[#This Row],[Lo. B. Ti.]],DataTable[[#This Row],[Lo. B. Successful Xings.]]+1))</f>
        <v>N/A</v>
      </c>
      <c r="Z4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7" spans="1:26" x14ac:dyDescent="0.2">
      <c r="A457" t="str">
        <f>IF(DataTable[[#This Row],[Tm.]]="","N/A",DataTable[[#This Row],[Tm.]])</f>
        <v>N/A</v>
      </c>
      <c r="B457" t="str">
        <f>IF(DataTable[[#This Row],[Match Nr.]]="","N/A",DataTable[[#This Row],[Match Nr.]])</f>
        <v>N/A</v>
      </c>
      <c r="C4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7" t="str">
        <f>IF(AND(DataTable[[#This Row],[Successful Lo. G. S]]="",DataTable[[#This Row],[Successful Hi. G. S.]]=""),"N/A",DataTable[[#This Row],[Successful Lo. G. S]]*2+DataTable[[#This Row],[Successful Hi. G. S.]]*10)</f>
        <v>N/A</v>
      </c>
      <c r="H4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7" s="11" t="str">
        <f>IF(DataTable[[#This Row],[Lo. B. Successful Xings.]]="","N/A",SUM(ProcessedData[[#This Row],[Lo. B. Ti.]],DataTable[[#This Row],[Lo. B. Successful Xings.]]+1))</f>
        <v>N/A</v>
      </c>
      <c r="Z4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8" spans="1:26" x14ac:dyDescent="0.2">
      <c r="A458" t="str">
        <f>IF(DataTable[[#This Row],[Tm.]]="","N/A",DataTable[[#This Row],[Tm.]])</f>
        <v>N/A</v>
      </c>
      <c r="B458" t="str">
        <f>IF(DataTable[[#This Row],[Match Nr.]]="","N/A",DataTable[[#This Row],[Match Nr.]])</f>
        <v>N/A</v>
      </c>
      <c r="C4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8" t="str">
        <f>IF(AND(DataTable[[#This Row],[Successful Lo. G. S]]="",DataTable[[#This Row],[Successful Hi. G. S.]]=""),"N/A",DataTable[[#This Row],[Successful Lo. G. S]]*2+DataTable[[#This Row],[Successful Hi. G. S.]]*10)</f>
        <v>N/A</v>
      </c>
      <c r="H4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8" s="11" t="str">
        <f>IF(DataTable[[#This Row],[Lo. B. Successful Xings.]]="","N/A",SUM(ProcessedData[[#This Row],[Lo. B. Ti.]],DataTable[[#This Row],[Lo. B. Successful Xings.]]+1))</f>
        <v>N/A</v>
      </c>
      <c r="Z4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59" spans="1:26" x14ac:dyDescent="0.2">
      <c r="A459" t="str">
        <f>IF(DataTable[[#This Row],[Tm.]]="","N/A",DataTable[[#This Row],[Tm.]])</f>
        <v>N/A</v>
      </c>
      <c r="B459" t="str">
        <f>IF(DataTable[[#This Row],[Match Nr.]]="","N/A",DataTable[[#This Row],[Match Nr.]])</f>
        <v>N/A</v>
      </c>
      <c r="C4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59" t="str">
        <f>IF(AND(DataTable[[#This Row],[Successful Lo. G. S]]="",DataTable[[#This Row],[Successful Hi. G. S.]]=""),"N/A",DataTable[[#This Row],[Successful Lo. G. S]]*2+DataTable[[#This Row],[Successful Hi. G. S.]]*10)</f>
        <v>N/A</v>
      </c>
      <c r="H4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59" s="11" t="str">
        <f>IF(DataTable[[#This Row],[Lo. B. Successful Xings.]]="","N/A",SUM(ProcessedData[[#This Row],[Lo. B. Ti.]],DataTable[[#This Row],[Lo. B. Successful Xings.]]+1))</f>
        <v>N/A</v>
      </c>
      <c r="Z4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0" spans="1:26" x14ac:dyDescent="0.2">
      <c r="A460" t="str">
        <f>IF(DataTable[[#This Row],[Tm.]]="","N/A",DataTable[[#This Row],[Tm.]])</f>
        <v>N/A</v>
      </c>
      <c r="B460" t="str">
        <f>IF(DataTable[[#This Row],[Match Nr.]]="","N/A",DataTable[[#This Row],[Match Nr.]])</f>
        <v>N/A</v>
      </c>
      <c r="C4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0" t="str">
        <f>IF(AND(DataTable[[#This Row],[Successful Lo. G. S]]="",DataTable[[#This Row],[Successful Hi. G. S.]]=""),"N/A",DataTable[[#This Row],[Successful Lo. G. S]]*2+DataTable[[#This Row],[Successful Hi. G. S.]]*10)</f>
        <v>N/A</v>
      </c>
      <c r="H4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0" s="11" t="str">
        <f>IF(DataTable[[#This Row],[Lo. B. Successful Xings.]]="","N/A",SUM(ProcessedData[[#This Row],[Lo. B. Ti.]],DataTable[[#This Row],[Lo. B. Successful Xings.]]+1))</f>
        <v>N/A</v>
      </c>
      <c r="Z4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1" spans="1:26" x14ac:dyDescent="0.2">
      <c r="A461" t="str">
        <f>IF(DataTable[[#This Row],[Tm.]]="","N/A",DataTable[[#This Row],[Tm.]])</f>
        <v>N/A</v>
      </c>
      <c r="B461" t="str">
        <f>IF(DataTable[[#This Row],[Match Nr.]]="","N/A",DataTable[[#This Row],[Match Nr.]])</f>
        <v>N/A</v>
      </c>
      <c r="C4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1" t="str">
        <f>IF(AND(DataTable[[#This Row],[Successful Lo. G. S]]="",DataTable[[#This Row],[Successful Hi. G. S.]]=""),"N/A",DataTable[[#This Row],[Successful Lo. G. S]]*2+DataTable[[#This Row],[Successful Hi. G. S.]]*10)</f>
        <v>N/A</v>
      </c>
      <c r="H4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1" s="11" t="str">
        <f>IF(DataTable[[#This Row],[Lo. B. Successful Xings.]]="","N/A",SUM(ProcessedData[[#This Row],[Lo. B. Ti.]],DataTable[[#This Row],[Lo. B. Successful Xings.]]+1))</f>
        <v>N/A</v>
      </c>
      <c r="Z4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2" spans="1:26" x14ac:dyDescent="0.2">
      <c r="A462" t="str">
        <f>IF(DataTable[[#This Row],[Tm.]]="","N/A",DataTable[[#This Row],[Tm.]])</f>
        <v>N/A</v>
      </c>
      <c r="B462" t="str">
        <f>IF(DataTable[[#This Row],[Match Nr.]]="","N/A",DataTable[[#This Row],[Match Nr.]])</f>
        <v>N/A</v>
      </c>
      <c r="C4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2" t="str">
        <f>IF(AND(DataTable[[#This Row],[Successful Lo. G. S]]="",DataTable[[#This Row],[Successful Hi. G. S.]]=""),"N/A",DataTable[[#This Row],[Successful Lo. G. S]]*2+DataTable[[#This Row],[Successful Hi. G. S.]]*10)</f>
        <v>N/A</v>
      </c>
      <c r="H4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2" s="11" t="str">
        <f>IF(DataTable[[#This Row],[Lo. B. Successful Xings.]]="","N/A",SUM(ProcessedData[[#This Row],[Lo. B. Ti.]],DataTable[[#This Row],[Lo. B. Successful Xings.]]+1))</f>
        <v>N/A</v>
      </c>
      <c r="Z4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3" spans="1:26" x14ac:dyDescent="0.2">
      <c r="A463" t="str">
        <f>IF(DataTable[[#This Row],[Tm.]]="","N/A",DataTable[[#This Row],[Tm.]])</f>
        <v>N/A</v>
      </c>
      <c r="B463" t="str">
        <f>IF(DataTable[[#This Row],[Match Nr.]]="","N/A",DataTable[[#This Row],[Match Nr.]])</f>
        <v>N/A</v>
      </c>
      <c r="C4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3" t="str">
        <f>IF(AND(DataTable[[#This Row],[Successful Lo. G. S]]="",DataTable[[#This Row],[Successful Hi. G. S.]]=""),"N/A",DataTable[[#This Row],[Successful Lo. G. S]]*2+DataTable[[#This Row],[Successful Hi. G. S.]]*10)</f>
        <v>N/A</v>
      </c>
      <c r="H4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3" s="11" t="str">
        <f>IF(DataTable[[#This Row],[Lo. B. Successful Xings.]]="","N/A",SUM(ProcessedData[[#This Row],[Lo. B. Ti.]],DataTable[[#This Row],[Lo. B. Successful Xings.]]+1))</f>
        <v>N/A</v>
      </c>
      <c r="Z4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4" spans="1:26" x14ac:dyDescent="0.2">
      <c r="A464" t="str">
        <f>IF(DataTable[[#This Row],[Tm.]]="","N/A",DataTable[[#This Row],[Tm.]])</f>
        <v>N/A</v>
      </c>
      <c r="B464" t="str">
        <f>IF(DataTable[[#This Row],[Match Nr.]]="","N/A",DataTable[[#This Row],[Match Nr.]])</f>
        <v>N/A</v>
      </c>
      <c r="C4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4" t="str">
        <f>IF(AND(DataTable[[#This Row],[Successful Lo. G. S]]="",DataTable[[#This Row],[Successful Hi. G. S.]]=""),"N/A",DataTable[[#This Row],[Successful Lo. G. S]]*2+DataTable[[#This Row],[Successful Hi. G. S.]]*10)</f>
        <v>N/A</v>
      </c>
      <c r="H4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4" s="11" t="str">
        <f>IF(DataTable[[#This Row],[Lo. B. Successful Xings.]]="","N/A",SUM(ProcessedData[[#This Row],[Lo. B. Ti.]],DataTable[[#This Row],[Lo. B. Successful Xings.]]+1))</f>
        <v>N/A</v>
      </c>
      <c r="Z4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5" spans="1:26" x14ac:dyDescent="0.2">
      <c r="A465" t="str">
        <f>IF(DataTable[[#This Row],[Tm.]]="","N/A",DataTable[[#This Row],[Tm.]])</f>
        <v>N/A</v>
      </c>
      <c r="B465" t="str">
        <f>IF(DataTable[[#This Row],[Match Nr.]]="","N/A",DataTable[[#This Row],[Match Nr.]])</f>
        <v>N/A</v>
      </c>
      <c r="C4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5" t="str">
        <f>IF(AND(DataTable[[#This Row],[Successful Lo. G. S]]="",DataTable[[#This Row],[Successful Hi. G. S.]]=""),"N/A",DataTable[[#This Row],[Successful Lo. G. S]]*2+DataTable[[#This Row],[Successful Hi. G. S.]]*10)</f>
        <v>N/A</v>
      </c>
      <c r="H4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5" s="11" t="str">
        <f>IF(DataTable[[#This Row],[Lo. B. Successful Xings.]]="","N/A",SUM(ProcessedData[[#This Row],[Lo. B. Ti.]],DataTable[[#This Row],[Lo. B. Successful Xings.]]+1))</f>
        <v>N/A</v>
      </c>
      <c r="Z4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6" spans="1:26" x14ac:dyDescent="0.2">
      <c r="A466" t="str">
        <f>IF(DataTable[[#This Row],[Tm.]]="","N/A",DataTable[[#This Row],[Tm.]])</f>
        <v>N/A</v>
      </c>
      <c r="B466" t="str">
        <f>IF(DataTable[[#This Row],[Match Nr.]]="","N/A",DataTable[[#This Row],[Match Nr.]])</f>
        <v>N/A</v>
      </c>
      <c r="C4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6" t="str">
        <f>IF(AND(DataTable[[#This Row],[Successful Lo. G. S]]="",DataTable[[#This Row],[Successful Hi. G. S.]]=""),"N/A",DataTable[[#This Row],[Successful Lo. G. S]]*2+DataTable[[#This Row],[Successful Hi. G. S.]]*10)</f>
        <v>N/A</v>
      </c>
      <c r="H4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6" s="11" t="str">
        <f>IF(DataTable[[#This Row],[Lo. B. Successful Xings.]]="","N/A",SUM(ProcessedData[[#This Row],[Lo. B. Ti.]],DataTable[[#This Row],[Lo. B. Successful Xings.]]+1))</f>
        <v>N/A</v>
      </c>
      <c r="Z4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7" spans="1:26" x14ac:dyDescent="0.2">
      <c r="A467" t="str">
        <f>IF(DataTable[[#This Row],[Tm.]]="","N/A",DataTable[[#This Row],[Tm.]])</f>
        <v>N/A</v>
      </c>
      <c r="B467" t="str">
        <f>IF(DataTable[[#This Row],[Match Nr.]]="","N/A",DataTable[[#This Row],[Match Nr.]])</f>
        <v>N/A</v>
      </c>
      <c r="C4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7" t="str">
        <f>IF(AND(DataTable[[#This Row],[Successful Lo. G. S]]="",DataTable[[#This Row],[Successful Hi. G. S.]]=""),"N/A",DataTable[[#This Row],[Successful Lo. G. S]]*2+DataTable[[#This Row],[Successful Hi. G. S.]]*10)</f>
        <v>N/A</v>
      </c>
      <c r="H4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7" s="11" t="str">
        <f>IF(DataTable[[#This Row],[Lo. B. Successful Xings.]]="","N/A",SUM(ProcessedData[[#This Row],[Lo. B. Ti.]],DataTable[[#This Row],[Lo. B. Successful Xings.]]+1))</f>
        <v>N/A</v>
      </c>
      <c r="Z4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8" spans="1:26" x14ac:dyDescent="0.2">
      <c r="A468" t="str">
        <f>IF(DataTable[[#This Row],[Tm.]]="","N/A",DataTable[[#This Row],[Tm.]])</f>
        <v>N/A</v>
      </c>
      <c r="B468" t="str">
        <f>IF(DataTable[[#This Row],[Match Nr.]]="","N/A",DataTable[[#This Row],[Match Nr.]])</f>
        <v>N/A</v>
      </c>
      <c r="C4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8" t="str">
        <f>IF(AND(DataTable[[#This Row],[Successful Lo. G. S]]="",DataTable[[#This Row],[Successful Hi. G. S.]]=""),"N/A",DataTable[[#This Row],[Successful Lo. G. S]]*2+DataTable[[#This Row],[Successful Hi. G. S.]]*10)</f>
        <v>N/A</v>
      </c>
      <c r="H4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8" s="11" t="str">
        <f>IF(DataTable[[#This Row],[Lo. B. Successful Xings.]]="","N/A",SUM(ProcessedData[[#This Row],[Lo. B. Ti.]],DataTable[[#This Row],[Lo. B. Successful Xings.]]+1))</f>
        <v>N/A</v>
      </c>
      <c r="Z4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69" spans="1:26" x14ac:dyDescent="0.2">
      <c r="A469" t="str">
        <f>IF(DataTable[[#This Row],[Tm.]]="","N/A",DataTable[[#This Row],[Tm.]])</f>
        <v>N/A</v>
      </c>
      <c r="B469" t="str">
        <f>IF(DataTable[[#This Row],[Match Nr.]]="","N/A",DataTable[[#This Row],[Match Nr.]])</f>
        <v>N/A</v>
      </c>
      <c r="C4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69" t="str">
        <f>IF(AND(DataTable[[#This Row],[Successful Lo. G. S]]="",DataTable[[#This Row],[Successful Hi. G. S.]]=""),"N/A",DataTable[[#This Row],[Successful Lo. G. S]]*2+DataTable[[#This Row],[Successful Hi. G. S.]]*10)</f>
        <v>N/A</v>
      </c>
      <c r="H4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69" s="11" t="str">
        <f>IF(DataTable[[#This Row],[Lo. B. Successful Xings.]]="","N/A",SUM(ProcessedData[[#This Row],[Lo. B. Ti.]],DataTable[[#This Row],[Lo. B. Successful Xings.]]+1))</f>
        <v>N/A</v>
      </c>
      <c r="Z4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0" spans="1:26" x14ac:dyDescent="0.2">
      <c r="A470" t="str">
        <f>IF(DataTable[[#This Row],[Tm.]]="","N/A",DataTable[[#This Row],[Tm.]])</f>
        <v>N/A</v>
      </c>
      <c r="B470" t="str">
        <f>IF(DataTable[[#This Row],[Match Nr.]]="","N/A",DataTable[[#This Row],[Match Nr.]])</f>
        <v>N/A</v>
      </c>
      <c r="C4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0" t="str">
        <f>IF(AND(DataTable[[#This Row],[Successful Lo. G. S]]="",DataTable[[#This Row],[Successful Hi. G. S.]]=""),"N/A",DataTable[[#This Row],[Successful Lo. G. S]]*2+DataTable[[#This Row],[Successful Hi. G. S.]]*10)</f>
        <v>N/A</v>
      </c>
      <c r="H4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0" s="11" t="str">
        <f>IF(DataTable[[#This Row],[Lo. B. Successful Xings.]]="","N/A",SUM(ProcessedData[[#This Row],[Lo. B. Ti.]],DataTable[[#This Row],[Lo. B. Successful Xings.]]+1))</f>
        <v>N/A</v>
      </c>
      <c r="Z4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1" spans="1:26" x14ac:dyDescent="0.2">
      <c r="A471" t="str">
        <f>IF(DataTable[[#This Row],[Tm.]]="","N/A",DataTable[[#This Row],[Tm.]])</f>
        <v>N/A</v>
      </c>
      <c r="B471" t="str">
        <f>IF(DataTable[[#This Row],[Match Nr.]]="","N/A",DataTable[[#This Row],[Match Nr.]])</f>
        <v>N/A</v>
      </c>
      <c r="C4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1" t="str">
        <f>IF(AND(DataTable[[#This Row],[Successful Lo. G. S]]="",DataTable[[#This Row],[Successful Hi. G. S.]]=""),"N/A",DataTable[[#This Row],[Successful Lo. G. S]]*2+DataTable[[#This Row],[Successful Hi. G. S.]]*10)</f>
        <v>N/A</v>
      </c>
      <c r="H4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1" s="11" t="str">
        <f>IF(DataTable[[#This Row],[Lo. B. Successful Xings.]]="","N/A",SUM(ProcessedData[[#This Row],[Lo. B. Ti.]],DataTable[[#This Row],[Lo. B. Successful Xings.]]+1))</f>
        <v>N/A</v>
      </c>
      <c r="Z4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2" spans="1:26" x14ac:dyDescent="0.2">
      <c r="A472" t="str">
        <f>IF(DataTable[[#This Row],[Tm.]]="","N/A",DataTable[[#This Row],[Tm.]])</f>
        <v>N/A</v>
      </c>
      <c r="B472" t="str">
        <f>IF(DataTable[[#This Row],[Match Nr.]]="","N/A",DataTable[[#This Row],[Match Nr.]])</f>
        <v>N/A</v>
      </c>
      <c r="C4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2" t="str">
        <f>IF(AND(DataTable[[#This Row],[Successful Lo. G. S]]="",DataTable[[#This Row],[Successful Hi. G. S.]]=""),"N/A",DataTable[[#This Row],[Successful Lo. G. S]]*2+DataTable[[#This Row],[Successful Hi. G. S.]]*10)</f>
        <v>N/A</v>
      </c>
      <c r="H4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2" s="11" t="str">
        <f>IF(DataTable[[#This Row],[Lo. B. Successful Xings.]]="","N/A",SUM(ProcessedData[[#This Row],[Lo. B. Ti.]],DataTable[[#This Row],[Lo. B. Successful Xings.]]+1))</f>
        <v>N/A</v>
      </c>
      <c r="Z4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3" spans="1:26" x14ac:dyDescent="0.2">
      <c r="A473" t="str">
        <f>IF(DataTable[[#This Row],[Tm.]]="","N/A",DataTable[[#This Row],[Tm.]])</f>
        <v>N/A</v>
      </c>
      <c r="B473" t="str">
        <f>IF(DataTable[[#This Row],[Match Nr.]]="","N/A",DataTable[[#This Row],[Match Nr.]])</f>
        <v>N/A</v>
      </c>
      <c r="C4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3" t="str">
        <f>IF(AND(DataTable[[#This Row],[Successful Lo. G. S]]="",DataTable[[#This Row],[Successful Hi. G. S.]]=""),"N/A",DataTable[[#This Row],[Successful Lo. G. S]]*2+DataTable[[#This Row],[Successful Hi. G. S.]]*10)</f>
        <v>N/A</v>
      </c>
      <c r="H4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3" s="11" t="str">
        <f>IF(DataTable[[#This Row],[Lo. B. Successful Xings.]]="","N/A",SUM(ProcessedData[[#This Row],[Lo. B. Ti.]],DataTable[[#This Row],[Lo. B. Successful Xings.]]+1))</f>
        <v>N/A</v>
      </c>
      <c r="Z4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4" spans="1:26" x14ac:dyDescent="0.2">
      <c r="A474" t="str">
        <f>IF(DataTable[[#This Row],[Tm.]]="","N/A",DataTable[[#This Row],[Tm.]])</f>
        <v>N/A</v>
      </c>
      <c r="B474" t="str">
        <f>IF(DataTable[[#This Row],[Match Nr.]]="","N/A",DataTable[[#This Row],[Match Nr.]])</f>
        <v>N/A</v>
      </c>
      <c r="C4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4" t="str">
        <f>IF(AND(DataTable[[#This Row],[Successful Lo. G. S]]="",DataTable[[#This Row],[Successful Hi. G. S.]]=""),"N/A",DataTable[[#This Row],[Successful Lo. G. S]]*2+DataTable[[#This Row],[Successful Hi. G. S.]]*10)</f>
        <v>N/A</v>
      </c>
      <c r="H4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4" s="11" t="str">
        <f>IF(DataTable[[#This Row],[Lo. B. Successful Xings.]]="","N/A",SUM(ProcessedData[[#This Row],[Lo. B. Ti.]],DataTable[[#This Row],[Lo. B. Successful Xings.]]+1))</f>
        <v>N/A</v>
      </c>
      <c r="Z4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5" spans="1:26" x14ac:dyDescent="0.2">
      <c r="A475" t="str">
        <f>IF(DataTable[[#This Row],[Tm.]]="","N/A",DataTable[[#This Row],[Tm.]])</f>
        <v>N/A</v>
      </c>
      <c r="B475" t="str">
        <f>IF(DataTable[[#This Row],[Match Nr.]]="","N/A",DataTable[[#This Row],[Match Nr.]])</f>
        <v>N/A</v>
      </c>
      <c r="C4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5" t="str">
        <f>IF(AND(DataTable[[#This Row],[Successful Lo. G. S]]="",DataTable[[#This Row],[Successful Hi. G. S.]]=""),"N/A",DataTable[[#This Row],[Successful Lo. G. S]]*2+DataTable[[#This Row],[Successful Hi. G. S.]]*10)</f>
        <v>N/A</v>
      </c>
      <c r="H4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5" s="11" t="str">
        <f>IF(DataTable[[#This Row],[Lo. B. Successful Xings.]]="","N/A",SUM(ProcessedData[[#This Row],[Lo. B. Ti.]],DataTable[[#This Row],[Lo. B. Successful Xings.]]+1))</f>
        <v>N/A</v>
      </c>
      <c r="Z4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6" spans="1:26" x14ac:dyDescent="0.2">
      <c r="A476" t="str">
        <f>IF(DataTable[[#This Row],[Tm.]]="","N/A",DataTable[[#This Row],[Tm.]])</f>
        <v>N/A</v>
      </c>
      <c r="B476" t="str">
        <f>IF(DataTable[[#This Row],[Match Nr.]]="","N/A",DataTable[[#This Row],[Match Nr.]])</f>
        <v>N/A</v>
      </c>
      <c r="C4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6" t="str">
        <f>IF(AND(DataTable[[#This Row],[Successful Lo. G. S]]="",DataTable[[#This Row],[Successful Hi. G. S.]]=""),"N/A",DataTable[[#This Row],[Successful Lo. G. S]]*2+DataTable[[#This Row],[Successful Hi. G. S.]]*10)</f>
        <v>N/A</v>
      </c>
      <c r="H4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6" s="11" t="str">
        <f>IF(DataTable[[#This Row],[Lo. B. Successful Xings.]]="","N/A",SUM(ProcessedData[[#This Row],[Lo. B. Ti.]],DataTable[[#This Row],[Lo. B. Successful Xings.]]+1))</f>
        <v>N/A</v>
      </c>
      <c r="Z4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7" spans="1:26" x14ac:dyDescent="0.2">
      <c r="A477" t="str">
        <f>IF(DataTable[[#This Row],[Tm.]]="","N/A",DataTable[[#This Row],[Tm.]])</f>
        <v>N/A</v>
      </c>
      <c r="B477" t="str">
        <f>IF(DataTable[[#This Row],[Match Nr.]]="","N/A",DataTable[[#This Row],[Match Nr.]])</f>
        <v>N/A</v>
      </c>
      <c r="C4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7" t="str">
        <f>IF(AND(DataTable[[#This Row],[Successful Lo. G. S]]="",DataTable[[#This Row],[Successful Hi. G. S.]]=""),"N/A",DataTable[[#This Row],[Successful Lo. G. S]]*2+DataTable[[#This Row],[Successful Hi. G. S.]]*10)</f>
        <v>N/A</v>
      </c>
      <c r="H4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7" s="11" t="str">
        <f>IF(DataTable[[#This Row],[Lo. B. Successful Xings.]]="","N/A",SUM(ProcessedData[[#This Row],[Lo. B. Ti.]],DataTable[[#This Row],[Lo. B. Successful Xings.]]+1))</f>
        <v>N/A</v>
      </c>
      <c r="Z4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8" spans="1:26" x14ac:dyDescent="0.2">
      <c r="A478" t="str">
        <f>IF(DataTable[[#This Row],[Tm.]]="","N/A",DataTable[[#This Row],[Tm.]])</f>
        <v>N/A</v>
      </c>
      <c r="B478" t="str">
        <f>IF(DataTable[[#This Row],[Match Nr.]]="","N/A",DataTable[[#This Row],[Match Nr.]])</f>
        <v>N/A</v>
      </c>
      <c r="C4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8" t="str">
        <f>IF(AND(DataTable[[#This Row],[Successful Lo. G. S]]="",DataTable[[#This Row],[Successful Hi. G. S.]]=""),"N/A",DataTable[[#This Row],[Successful Lo. G. S]]*2+DataTable[[#This Row],[Successful Hi. G. S.]]*10)</f>
        <v>N/A</v>
      </c>
      <c r="H4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8" s="11" t="str">
        <f>IF(DataTable[[#This Row],[Lo. B. Successful Xings.]]="","N/A",SUM(ProcessedData[[#This Row],[Lo. B. Ti.]],DataTable[[#This Row],[Lo. B. Successful Xings.]]+1))</f>
        <v>N/A</v>
      </c>
      <c r="Z4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79" spans="1:26" x14ac:dyDescent="0.2">
      <c r="A479" t="str">
        <f>IF(DataTable[[#This Row],[Tm.]]="","N/A",DataTable[[#This Row],[Tm.]])</f>
        <v>N/A</v>
      </c>
      <c r="B479" t="str">
        <f>IF(DataTable[[#This Row],[Match Nr.]]="","N/A",DataTable[[#This Row],[Match Nr.]])</f>
        <v>N/A</v>
      </c>
      <c r="C4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79" t="str">
        <f>IF(AND(DataTable[[#This Row],[Successful Lo. G. S]]="",DataTable[[#This Row],[Successful Hi. G. S.]]=""),"N/A",DataTable[[#This Row],[Successful Lo. G. S]]*2+DataTable[[#This Row],[Successful Hi. G. S.]]*10)</f>
        <v>N/A</v>
      </c>
      <c r="H4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79" s="11" t="str">
        <f>IF(DataTable[[#This Row],[Lo. B. Successful Xings.]]="","N/A",SUM(ProcessedData[[#This Row],[Lo. B. Ti.]],DataTable[[#This Row],[Lo. B. Successful Xings.]]+1))</f>
        <v>N/A</v>
      </c>
      <c r="Z4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0" spans="1:26" x14ac:dyDescent="0.2">
      <c r="A480" t="str">
        <f>IF(DataTable[[#This Row],[Tm.]]="","N/A",DataTable[[#This Row],[Tm.]])</f>
        <v>N/A</v>
      </c>
      <c r="B480" t="str">
        <f>IF(DataTable[[#This Row],[Match Nr.]]="","N/A",DataTable[[#This Row],[Match Nr.]])</f>
        <v>N/A</v>
      </c>
      <c r="C4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0" t="str">
        <f>IF(AND(DataTable[[#This Row],[Successful Lo. G. S]]="",DataTable[[#This Row],[Successful Hi. G. S.]]=""),"N/A",DataTable[[#This Row],[Successful Lo. G. S]]*2+DataTable[[#This Row],[Successful Hi. G. S.]]*10)</f>
        <v>N/A</v>
      </c>
      <c r="H4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0" s="11" t="str">
        <f>IF(DataTable[[#This Row],[Lo. B. Successful Xings.]]="","N/A",SUM(ProcessedData[[#This Row],[Lo. B. Ti.]],DataTable[[#This Row],[Lo. B. Successful Xings.]]+1))</f>
        <v>N/A</v>
      </c>
      <c r="Z4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1" spans="1:26" x14ac:dyDescent="0.2">
      <c r="A481" t="str">
        <f>IF(DataTable[[#This Row],[Tm.]]="","N/A",DataTable[[#This Row],[Tm.]])</f>
        <v>N/A</v>
      </c>
      <c r="B481" t="str">
        <f>IF(DataTable[[#This Row],[Match Nr.]]="","N/A",DataTable[[#This Row],[Match Nr.]])</f>
        <v>N/A</v>
      </c>
      <c r="C4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1" t="str">
        <f>IF(AND(DataTable[[#This Row],[Successful Lo. G. S]]="",DataTable[[#This Row],[Successful Hi. G. S.]]=""),"N/A",DataTable[[#This Row],[Successful Lo. G. S]]*2+DataTable[[#This Row],[Successful Hi. G. S.]]*10)</f>
        <v>N/A</v>
      </c>
      <c r="H4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1" s="11" t="str">
        <f>IF(DataTable[[#This Row],[Lo. B. Successful Xings.]]="","N/A",SUM(ProcessedData[[#This Row],[Lo. B. Ti.]],DataTable[[#This Row],[Lo. B. Successful Xings.]]+1))</f>
        <v>N/A</v>
      </c>
      <c r="Z4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2" spans="1:26" x14ac:dyDescent="0.2">
      <c r="A482" t="str">
        <f>IF(DataTable[[#This Row],[Tm.]]="","N/A",DataTable[[#This Row],[Tm.]])</f>
        <v>N/A</v>
      </c>
      <c r="B482" t="str">
        <f>IF(DataTable[[#This Row],[Match Nr.]]="","N/A",DataTable[[#This Row],[Match Nr.]])</f>
        <v>N/A</v>
      </c>
      <c r="C4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2" t="str">
        <f>IF(AND(DataTable[[#This Row],[Successful Lo. G. S]]="",DataTable[[#This Row],[Successful Hi. G. S.]]=""),"N/A",DataTable[[#This Row],[Successful Lo. G. S]]*2+DataTable[[#This Row],[Successful Hi. G. S.]]*10)</f>
        <v>N/A</v>
      </c>
      <c r="H4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2" s="11" t="str">
        <f>IF(DataTable[[#This Row],[Lo. B. Successful Xings.]]="","N/A",SUM(ProcessedData[[#This Row],[Lo. B. Ti.]],DataTable[[#This Row],[Lo. B. Successful Xings.]]+1))</f>
        <v>N/A</v>
      </c>
      <c r="Z4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3" spans="1:26" x14ac:dyDescent="0.2">
      <c r="A483" t="str">
        <f>IF(DataTable[[#This Row],[Tm.]]="","N/A",DataTable[[#This Row],[Tm.]])</f>
        <v>N/A</v>
      </c>
      <c r="B483" t="str">
        <f>IF(DataTable[[#This Row],[Match Nr.]]="","N/A",DataTable[[#This Row],[Match Nr.]])</f>
        <v>N/A</v>
      </c>
      <c r="C4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3" t="str">
        <f>IF(AND(DataTable[[#This Row],[Successful Lo. G. S]]="",DataTable[[#This Row],[Successful Hi. G. S.]]=""),"N/A",DataTable[[#This Row],[Successful Lo. G. S]]*2+DataTable[[#This Row],[Successful Hi. G. S.]]*10)</f>
        <v>N/A</v>
      </c>
      <c r="H4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3" s="11" t="str">
        <f>IF(DataTable[[#This Row],[Lo. B. Successful Xings.]]="","N/A",SUM(ProcessedData[[#This Row],[Lo. B. Ti.]],DataTable[[#This Row],[Lo. B. Successful Xings.]]+1))</f>
        <v>N/A</v>
      </c>
      <c r="Z4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4" spans="1:26" x14ac:dyDescent="0.2">
      <c r="A484" t="str">
        <f>IF(DataTable[[#This Row],[Tm.]]="","N/A",DataTable[[#This Row],[Tm.]])</f>
        <v>N/A</v>
      </c>
      <c r="B484" t="str">
        <f>IF(DataTable[[#This Row],[Match Nr.]]="","N/A",DataTable[[#This Row],[Match Nr.]])</f>
        <v>N/A</v>
      </c>
      <c r="C4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4" t="str">
        <f>IF(AND(DataTable[[#This Row],[Successful Lo. G. S]]="",DataTable[[#This Row],[Successful Hi. G. S.]]=""),"N/A",DataTable[[#This Row],[Successful Lo. G. S]]*2+DataTable[[#This Row],[Successful Hi. G. S.]]*10)</f>
        <v>N/A</v>
      </c>
      <c r="H4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4" s="11" t="str">
        <f>IF(DataTable[[#This Row],[Lo. B. Successful Xings.]]="","N/A",SUM(ProcessedData[[#This Row],[Lo. B. Ti.]],DataTable[[#This Row],[Lo. B. Successful Xings.]]+1))</f>
        <v>N/A</v>
      </c>
      <c r="Z4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5" spans="1:26" x14ac:dyDescent="0.2">
      <c r="A485" t="str">
        <f>IF(DataTable[[#This Row],[Tm.]]="","N/A",DataTable[[#This Row],[Tm.]])</f>
        <v>N/A</v>
      </c>
      <c r="B485" t="str">
        <f>IF(DataTable[[#This Row],[Match Nr.]]="","N/A",DataTable[[#This Row],[Match Nr.]])</f>
        <v>N/A</v>
      </c>
      <c r="C4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5" t="str">
        <f>IF(AND(DataTable[[#This Row],[Successful Lo. G. S]]="",DataTable[[#This Row],[Successful Hi. G. S.]]=""),"N/A",DataTable[[#This Row],[Successful Lo. G. S]]*2+DataTable[[#This Row],[Successful Hi. G. S.]]*10)</f>
        <v>N/A</v>
      </c>
      <c r="H4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5" s="11" t="str">
        <f>IF(DataTable[[#This Row],[Lo. B. Successful Xings.]]="","N/A",SUM(ProcessedData[[#This Row],[Lo. B. Ti.]],DataTable[[#This Row],[Lo. B. Successful Xings.]]+1))</f>
        <v>N/A</v>
      </c>
      <c r="Z4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6" spans="1:26" x14ac:dyDescent="0.2">
      <c r="A486" t="str">
        <f>IF(DataTable[[#This Row],[Tm.]]="","N/A",DataTable[[#This Row],[Tm.]])</f>
        <v>N/A</v>
      </c>
      <c r="B486" t="str">
        <f>IF(DataTable[[#This Row],[Match Nr.]]="","N/A",DataTable[[#This Row],[Match Nr.]])</f>
        <v>N/A</v>
      </c>
      <c r="C4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6" t="str">
        <f>IF(AND(DataTable[[#This Row],[Successful Lo. G. S]]="",DataTable[[#This Row],[Successful Hi. G. S.]]=""),"N/A",DataTable[[#This Row],[Successful Lo. G. S]]*2+DataTable[[#This Row],[Successful Hi. G. S.]]*10)</f>
        <v>N/A</v>
      </c>
      <c r="H4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6" s="11" t="str">
        <f>IF(DataTable[[#This Row],[Lo. B. Successful Xings.]]="","N/A",SUM(ProcessedData[[#This Row],[Lo. B. Ti.]],DataTable[[#This Row],[Lo. B. Successful Xings.]]+1))</f>
        <v>N/A</v>
      </c>
      <c r="Z4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7" spans="1:26" x14ac:dyDescent="0.2">
      <c r="A487" t="str">
        <f>IF(DataTable[[#This Row],[Tm.]]="","N/A",DataTable[[#This Row],[Tm.]])</f>
        <v>N/A</v>
      </c>
      <c r="B487" t="str">
        <f>IF(DataTable[[#This Row],[Match Nr.]]="","N/A",DataTable[[#This Row],[Match Nr.]])</f>
        <v>N/A</v>
      </c>
      <c r="C4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7" t="str">
        <f>IF(AND(DataTable[[#This Row],[Successful Lo. G. S]]="",DataTable[[#This Row],[Successful Hi. G. S.]]=""),"N/A",DataTable[[#This Row],[Successful Lo. G. S]]*2+DataTable[[#This Row],[Successful Hi. G. S.]]*10)</f>
        <v>N/A</v>
      </c>
      <c r="H4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7" s="11" t="str">
        <f>IF(DataTable[[#This Row],[Lo. B. Successful Xings.]]="","N/A",SUM(ProcessedData[[#This Row],[Lo. B. Ti.]],DataTable[[#This Row],[Lo. B. Successful Xings.]]+1))</f>
        <v>N/A</v>
      </c>
      <c r="Z4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8" spans="1:26" x14ac:dyDescent="0.2">
      <c r="A488" t="str">
        <f>IF(DataTable[[#This Row],[Tm.]]="","N/A",DataTable[[#This Row],[Tm.]])</f>
        <v>N/A</v>
      </c>
      <c r="B488" t="str">
        <f>IF(DataTable[[#This Row],[Match Nr.]]="","N/A",DataTable[[#This Row],[Match Nr.]])</f>
        <v>N/A</v>
      </c>
      <c r="C4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8" t="str">
        <f>IF(AND(DataTable[[#This Row],[Successful Lo. G. S]]="",DataTable[[#This Row],[Successful Hi. G. S.]]=""),"N/A",DataTable[[#This Row],[Successful Lo. G. S]]*2+DataTable[[#This Row],[Successful Hi. G. S.]]*10)</f>
        <v>N/A</v>
      </c>
      <c r="H4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8" s="11" t="str">
        <f>IF(DataTable[[#This Row],[Lo. B. Successful Xings.]]="","N/A",SUM(ProcessedData[[#This Row],[Lo. B. Ti.]],DataTable[[#This Row],[Lo. B. Successful Xings.]]+1))</f>
        <v>N/A</v>
      </c>
      <c r="Z4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89" spans="1:26" x14ac:dyDescent="0.2">
      <c r="A489" t="str">
        <f>IF(DataTable[[#This Row],[Tm.]]="","N/A",DataTable[[#This Row],[Tm.]])</f>
        <v>N/A</v>
      </c>
      <c r="B489" t="str">
        <f>IF(DataTable[[#This Row],[Match Nr.]]="","N/A",DataTable[[#This Row],[Match Nr.]])</f>
        <v>N/A</v>
      </c>
      <c r="C4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89" t="str">
        <f>IF(AND(DataTable[[#This Row],[Successful Lo. G. S]]="",DataTable[[#This Row],[Successful Hi. G. S.]]=""),"N/A",DataTable[[#This Row],[Successful Lo. G. S]]*2+DataTable[[#This Row],[Successful Hi. G. S.]]*10)</f>
        <v>N/A</v>
      </c>
      <c r="H4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89" s="11" t="str">
        <f>IF(DataTable[[#This Row],[Lo. B. Successful Xings.]]="","N/A",SUM(ProcessedData[[#This Row],[Lo. B. Ti.]],DataTable[[#This Row],[Lo. B. Successful Xings.]]+1))</f>
        <v>N/A</v>
      </c>
      <c r="Z4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0" spans="1:26" x14ac:dyDescent="0.2">
      <c r="A490" t="str">
        <f>IF(DataTable[[#This Row],[Tm.]]="","N/A",DataTable[[#This Row],[Tm.]])</f>
        <v>N/A</v>
      </c>
      <c r="B490" t="str">
        <f>IF(DataTable[[#This Row],[Match Nr.]]="","N/A",DataTable[[#This Row],[Match Nr.]])</f>
        <v>N/A</v>
      </c>
      <c r="C4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0" t="str">
        <f>IF(AND(DataTable[[#This Row],[Successful Lo. G. S]]="",DataTable[[#This Row],[Successful Hi. G. S.]]=""),"N/A",DataTable[[#This Row],[Successful Lo. G. S]]*2+DataTable[[#This Row],[Successful Hi. G. S.]]*10)</f>
        <v>N/A</v>
      </c>
      <c r="H4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0" s="11" t="str">
        <f>IF(DataTable[[#This Row],[Lo. B. Successful Xings.]]="","N/A",SUM(ProcessedData[[#This Row],[Lo. B. Ti.]],DataTable[[#This Row],[Lo. B. Successful Xings.]]+1))</f>
        <v>N/A</v>
      </c>
      <c r="Z4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1" spans="1:26" x14ac:dyDescent="0.2">
      <c r="A491" t="str">
        <f>IF(DataTable[[#This Row],[Tm.]]="","N/A",DataTable[[#This Row],[Tm.]])</f>
        <v>N/A</v>
      </c>
      <c r="B491" t="str">
        <f>IF(DataTable[[#This Row],[Match Nr.]]="","N/A",DataTable[[#This Row],[Match Nr.]])</f>
        <v>N/A</v>
      </c>
      <c r="C4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1" t="str">
        <f>IF(AND(DataTable[[#This Row],[Successful Lo. G. S]]="",DataTable[[#This Row],[Successful Hi. G. S.]]=""),"N/A",DataTable[[#This Row],[Successful Lo. G. S]]*2+DataTable[[#This Row],[Successful Hi. G. S.]]*10)</f>
        <v>N/A</v>
      </c>
      <c r="H4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1" s="11" t="str">
        <f>IF(DataTable[[#This Row],[Lo. B. Successful Xings.]]="","N/A",SUM(ProcessedData[[#This Row],[Lo. B. Ti.]],DataTable[[#This Row],[Lo. B. Successful Xings.]]+1))</f>
        <v>N/A</v>
      </c>
      <c r="Z4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2" spans="1:26" x14ac:dyDescent="0.2">
      <c r="A492" t="str">
        <f>IF(DataTable[[#This Row],[Tm.]]="","N/A",DataTable[[#This Row],[Tm.]])</f>
        <v>N/A</v>
      </c>
      <c r="B492" t="str">
        <f>IF(DataTable[[#This Row],[Match Nr.]]="","N/A",DataTable[[#This Row],[Match Nr.]])</f>
        <v>N/A</v>
      </c>
      <c r="C4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2" t="str">
        <f>IF(AND(DataTable[[#This Row],[Successful Lo. G. S]]="",DataTable[[#This Row],[Successful Hi. G. S.]]=""),"N/A",DataTable[[#This Row],[Successful Lo. G. S]]*2+DataTable[[#This Row],[Successful Hi. G. S.]]*10)</f>
        <v>N/A</v>
      </c>
      <c r="H4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2" s="11" t="str">
        <f>IF(DataTable[[#This Row],[Lo. B. Successful Xings.]]="","N/A",SUM(ProcessedData[[#This Row],[Lo. B. Ti.]],DataTable[[#This Row],[Lo. B. Successful Xings.]]+1))</f>
        <v>N/A</v>
      </c>
      <c r="Z4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3" spans="1:26" x14ac:dyDescent="0.2">
      <c r="A493" t="str">
        <f>IF(DataTable[[#This Row],[Tm.]]="","N/A",DataTable[[#This Row],[Tm.]])</f>
        <v>N/A</v>
      </c>
      <c r="B493" t="str">
        <f>IF(DataTable[[#This Row],[Match Nr.]]="","N/A",DataTable[[#This Row],[Match Nr.]])</f>
        <v>N/A</v>
      </c>
      <c r="C4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3" t="str">
        <f>IF(AND(DataTable[[#This Row],[Successful Lo. G. S]]="",DataTable[[#This Row],[Successful Hi. G. S.]]=""),"N/A",DataTable[[#This Row],[Successful Lo. G. S]]*2+DataTable[[#This Row],[Successful Hi. G. S.]]*10)</f>
        <v>N/A</v>
      </c>
      <c r="H4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3" s="11" t="str">
        <f>IF(DataTable[[#This Row],[Lo. B. Successful Xings.]]="","N/A",SUM(ProcessedData[[#This Row],[Lo. B. Ti.]],DataTable[[#This Row],[Lo. B. Successful Xings.]]+1))</f>
        <v>N/A</v>
      </c>
      <c r="Z4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4" spans="1:26" x14ac:dyDescent="0.2">
      <c r="A494" t="str">
        <f>IF(DataTable[[#This Row],[Tm.]]="","N/A",DataTable[[#This Row],[Tm.]])</f>
        <v>N/A</v>
      </c>
      <c r="B494" t="str">
        <f>IF(DataTable[[#This Row],[Match Nr.]]="","N/A",DataTable[[#This Row],[Match Nr.]])</f>
        <v>N/A</v>
      </c>
      <c r="C4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4" t="str">
        <f>IF(AND(DataTable[[#This Row],[Successful Lo. G. S]]="",DataTable[[#This Row],[Successful Hi. G. S.]]=""),"N/A",DataTable[[#This Row],[Successful Lo. G. S]]*2+DataTable[[#This Row],[Successful Hi. G. S.]]*10)</f>
        <v>N/A</v>
      </c>
      <c r="H4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4" s="11" t="str">
        <f>IF(DataTable[[#This Row],[Lo. B. Successful Xings.]]="","N/A",SUM(ProcessedData[[#This Row],[Lo. B. Ti.]],DataTable[[#This Row],[Lo. B. Successful Xings.]]+1))</f>
        <v>N/A</v>
      </c>
      <c r="Z4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5" spans="1:26" x14ac:dyDescent="0.2">
      <c r="A495" t="str">
        <f>IF(DataTable[[#This Row],[Tm.]]="","N/A",DataTable[[#This Row],[Tm.]])</f>
        <v>N/A</v>
      </c>
      <c r="B495" t="str">
        <f>IF(DataTable[[#This Row],[Match Nr.]]="","N/A",DataTable[[#This Row],[Match Nr.]])</f>
        <v>N/A</v>
      </c>
      <c r="C4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5" t="str">
        <f>IF(AND(DataTable[[#This Row],[Successful Lo. G. S]]="",DataTable[[#This Row],[Successful Hi. G. S.]]=""),"N/A",DataTable[[#This Row],[Successful Lo. G. S]]*2+DataTable[[#This Row],[Successful Hi. G. S.]]*10)</f>
        <v>N/A</v>
      </c>
      <c r="H4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5" s="11" t="str">
        <f>IF(DataTable[[#This Row],[Lo. B. Successful Xings.]]="","N/A",SUM(ProcessedData[[#This Row],[Lo. B. Ti.]],DataTable[[#This Row],[Lo. B. Successful Xings.]]+1))</f>
        <v>N/A</v>
      </c>
      <c r="Z4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6" spans="1:26" x14ac:dyDescent="0.2">
      <c r="A496" t="str">
        <f>IF(DataTable[[#This Row],[Tm.]]="","N/A",DataTable[[#This Row],[Tm.]])</f>
        <v>N/A</v>
      </c>
      <c r="B496" t="str">
        <f>IF(DataTable[[#This Row],[Match Nr.]]="","N/A",DataTable[[#This Row],[Match Nr.]])</f>
        <v>N/A</v>
      </c>
      <c r="C4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6" t="str">
        <f>IF(AND(DataTable[[#This Row],[Successful Lo. G. S]]="",DataTable[[#This Row],[Successful Hi. G. S.]]=""),"N/A",DataTable[[#This Row],[Successful Lo. G. S]]*2+DataTable[[#This Row],[Successful Hi. G. S.]]*10)</f>
        <v>N/A</v>
      </c>
      <c r="H4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6" s="11" t="str">
        <f>IF(DataTable[[#This Row],[Lo. B. Successful Xings.]]="","N/A",SUM(ProcessedData[[#This Row],[Lo. B. Ti.]],DataTable[[#This Row],[Lo. B. Successful Xings.]]+1))</f>
        <v>N/A</v>
      </c>
      <c r="Z4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7" spans="1:26" x14ac:dyDescent="0.2">
      <c r="A497" t="str">
        <f>IF(DataTable[[#This Row],[Tm.]]="","N/A",DataTable[[#This Row],[Tm.]])</f>
        <v>N/A</v>
      </c>
      <c r="B497" t="str">
        <f>IF(DataTable[[#This Row],[Match Nr.]]="","N/A",DataTable[[#This Row],[Match Nr.]])</f>
        <v>N/A</v>
      </c>
      <c r="C4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7" t="str">
        <f>IF(AND(DataTable[[#This Row],[Successful Lo. G. S]]="",DataTable[[#This Row],[Successful Hi. G. S.]]=""),"N/A",DataTable[[#This Row],[Successful Lo. G. S]]*2+DataTable[[#This Row],[Successful Hi. G. S.]]*10)</f>
        <v>N/A</v>
      </c>
      <c r="H4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7" s="11" t="str">
        <f>IF(DataTable[[#This Row],[Lo. B. Successful Xings.]]="","N/A",SUM(ProcessedData[[#This Row],[Lo. B. Ti.]],DataTable[[#This Row],[Lo. B. Successful Xings.]]+1))</f>
        <v>N/A</v>
      </c>
      <c r="Z4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8" spans="1:26" x14ac:dyDescent="0.2">
      <c r="A498" t="str">
        <f>IF(DataTable[[#This Row],[Tm.]]="","N/A",DataTable[[#This Row],[Tm.]])</f>
        <v>N/A</v>
      </c>
      <c r="B498" t="str">
        <f>IF(DataTable[[#This Row],[Match Nr.]]="","N/A",DataTable[[#This Row],[Match Nr.]])</f>
        <v>N/A</v>
      </c>
      <c r="C4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8" t="str">
        <f>IF(AND(DataTable[[#This Row],[Successful Lo. G. S]]="",DataTable[[#This Row],[Successful Hi. G. S.]]=""),"N/A",DataTable[[#This Row],[Successful Lo. G. S]]*2+DataTable[[#This Row],[Successful Hi. G. S.]]*10)</f>
        <v>N/A</v>
      </c>
      <c r="H4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8" s="11" t="str">
        <f>IF(DataTable[[#This Row],[Lo. B. Successful Xings.]]="","N/A",SUM(ProcessedData[[#This Row],[Lo. B. Ti.]],DataTable[[#This Row],[Lo. B. Successful Xings.]]+1))</f>
        <v>N/A</v>
      </c>
      <c r="Z4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499" spans="1:26" x14ac:dyDescent="0.2">
      <c r="A499" t="str">
        <f>IF(DataTable[[#This Row],[Tm.]]="","N/A",DataTable[[#This Row],[Tm.]])</f>
        <v>N/A</v>
      </c>
      <c r="B499" t="str">
        <f>IF(DataTable[[#This Row],[Match Nr.]]="","N/A",DataTable[[#This Row],[Match Nr.]])</f>
        <v>N/A</v>
      </c>
      <c r="C4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4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4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4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499" t="str">
        <f>IF(AND(DataTable[[#This Row],[Successful Lo. G. S]]="",DataTable[[#This Row],[Successful Hi. G. S.]]=""),"N/A",DataTable[[#This Row],[Successful Lo. G. S]]*2+DataTable[[#This Row],[Successful Hi. G. S.]]*10)</f>
        <v>N/A</v>
      </c>
      <c r="H4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4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4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4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4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4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4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4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4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4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4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4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4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4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4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4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499" s="11" t="str">
        <f>IF(DataTable[[#This Row],[Lo. B. Successful Xings.]]="","N/A",SUM(ProcessedData[[#This Row],[Lo. B. Ti.]],DataTable[[#This Row],[Lo. B. Successful Xings.]]+1))</f>
        <v>N/A</v>
      </c>
      <c r="Z4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0" spans="1:26" x14ac:dyDescent="0.2">
      <c r="A500" t="str">
        <f>IF(DataTable[[#This Row],[Tm.]]="","N/A",DataTable[[#This Row],[Tm.]])</f>
        <v>N/A</v>
      </c>
      <c r="B500" t="str">
        <f>IF(DataTable[[#This Row],[Match Nr.]]="","N/A",DataTable[[#This Row],[Match Nr.]])</f>
        <v>N/A</v>
      </c>
      <c r="C5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0" t="str">
        <f>IF(AND(DataTable[[#This Row],[Successful Lo. G. S]]="",DataTable[[#This Row],[Successful Hi. G. S.]]=""),"N/A",DataTable[[#This Row],[Successful Lo. G. S]]*2+DataTable[[#This Row],[Successful Hi. G. S.]]*10)</f>
        <v>N/A</v>
      </c>
      <c r="H5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0" s="11" t="str">
        <f>IF(DataTable[[#This Row],[Lo. B. Successful Xings.]]="","N/A",SUM(ProcessedData[[#This Row],[Lo. B. Ti.]],DataTable[[#This Row],[Lo. B. Successful Xings.]]+1))</f>
        <v>N/A</v>
      </c>
      <c r="Z5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1" spans="1:26" x14ac:dyDescent="0.2">
      <c r="A501" t="str">
        <f>IF(DataTable[[#This Row],[Tm.]]="","N/A",DataTable[[#This Row],[Tm.]])</f>
        <v>N/A</v>
      </c>
      <c r="B501" t="str">
        <f>IF(DataTable[[#This Row],[Match Nr.]]="","N/A",DataTable[[#This Row],[Match Nr.]])</f>
        <v>N/A</v>
      </c>
      <c r="C5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1" t="str">
        <f>IF(AND(DataTable[[#This Row],[Successful Lo. G. S]]="",DataTable[[#This Row],[Successful Hi. G. S.]]=""),"N/A",DataTable[[#This Row],[Successful Lo. G. S]]*2+DataTable[[#This Row],[Successful Hi. G. S.]]*10)</f>
        <v>N/A</v>
      </c>
      <c r="H5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1" s="11" t="str">
        <f>IF(DataTable[[#This Row],[Lo. B. Successful Xings.]]="","N/A",SUM(ProcessedData[[#This Row],[Lo. B. Ti.]],DataTable[[#This Row],[Lo. B. Successful Xings.]]+1))</f>
        <v>N/A</v>
      </c>
      <c r="Z5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2" spans="1:26" x14ac:dyDescent="0.2">
      <c r="A502" t="str">
        <f>IF(DataTable[[#This Row],[Tm.]]="","N/A",DataTable[[#This Row],[Tm.]])</f>
        <v>N/A</v>
      </c>
      <c r="B502" t="str">
        <f>IF(DataTable[[#This Row],[Match Nr.]]="","N/A",DataTable[[#This Row],[Match Nr.]])</f>
        <v>N/A</v>
      </c>
      <c r="C5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2" t="str">
        <f>IF(AND(DataTable[[#This Row],[Successful Lo. G. S]]="",DataTable[[#This Row],[Successful Hi. G. S.]]=""),"N/A",DataTable[[#This Row],[Successful Lo. G. S]]*2+DataTable[[#This Row],[Successful Hi. G. S.]]*10)</f>
        <v>N/A</v>
      </c>
      <c r="H5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2" s="11" t="str">
        <f>IF(DataTable[[#This Row],[Lo. B. Successful Xings.]]="","N/A",SUM(ProcessedData[[#This Row],[Lo. B. Ti.]],DataTable[[#This Row],[Lo. B. Successful Xings.]]+1))</f>
        <v>N/A</v>
      </c>
      <c r="Z5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3" spans="1:26" x14ac:dyDescent="0.2">
      <c r="A503" t="str">
        <f>IF(DataTable[[#This Row],[Tm.]]="","N/A",DataTable[[#This Row],[Tm.]])</f>
        <v>N/A</v>
      </c>
      <c r="B503" t="str">
        <f>IF(DataTable[[#This Row],[Match Nr.]]="","N/A",DataTable[[#This Row],[Match Nr.]])</f>
        <v>N/A</v>
      </c>
      <c r="C5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3" t="str">
        <f>IF(AND(DataTable[[#This Row],[Successful Lo. G. S]]="",DataTable[[#This Row],[Successful Hi. G. S.]]=""),"N/A",DataTable[[#This Row],[Successful Lo. G. S]]*2+DataTable[[#This Row],[Successful Hi. G. S.]]*10)</f>
        <v>N/A</v>
      </c>
      <c r="H5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3" s="11" t="str">
        <f>IF(DataTable[[#This Row],[Lo. B. Successful Xings.]]="","N/A",SUM(ProcessedData[[#This Row],[Lo. B. Ti.]],DataTable[[#This Row],[Lo. B. Successful Xings.]]+1))</f>
        <v>N/A</v>
      </c>
      <c r="Z5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4" spans="1:26" x14ac:dyDescent="0.2">
      <c r="A504" t="str">
        <f>IF(DataTable[[#This Row],[Tm.]]="","N/A",DataTable[[#This Row],[Tm.]])</f>
        <v>N/A</v>
      </c>
      <c r="B504" t="str">
        <f>IF(DataTable[[#This Row],[Match Nr.]]="","N/A",DataTable[[#This Row],[Match Nr.]])</f>
        <v>N/A</v>
      </c>
      <c r="C5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4" t="str">
        <f>IF(AND(DataTable[[#This Row],[Successful Lo. G. S]]="",DataTable[[#This Row],[Successful Hi. G. S.]]=""),"N/A",DataTable[[#This Row],[Successful Lo. G. S]]*2+DataTable[[#This Row],[Successful Hi. G. S.]]*10)</f>
        <v>N/A</v>
      </c>
      <c r="H5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4" s="11" t="str">
        <f>IF(DataTable[[#This Row],[Lo. B. Successful Xings.]]="","N/A",SUM(ProcessedData[[#This Row],[Lo. B. Ti.]],DataTable[[#This Row],[Lo. B. Successful Xings.]]+1))</f>
        <v>N/A</v>
      </c>
      <c r="Z5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5" spans="1:26" x14ac:dyDescent="0.2">
      <c r="A505" t="str">
        <f>IF(DataTable[[#This Row],[Tm.]]="","N/A",DataTable[[#This Row],[Tm.]])</f>
        <v>N/A</v>
      </c>
      <c r="B505" t="str">
        <f>IF(DataTable[[#This Row],[Match Nr.]]="","N/A",DataTable[[#This Row],[Match Nr.]])</f>
        <v>N/A</v>
      </c>
      <c r="C5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5" t="str">
        <f>IF(AND(DataTable[[#This Row],[Successful Lo. G. S]]="",DataTable[[#This Row],[Successful Hi. G. S.]]=""),"N/A",DataTable[[#This Row],[Successful Lo. G. S]]*2+DataTable[[#This Row],[Successful Hi. G. S.]]*10)</f>
        <v>N/A</v>
      </c>
      <c r="H5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5" s="11" t="str">
        <f>IF(DataTable[[#This Row],[Lo. B. Successful Xings.]]="","N/A",SUM(ProcessedData[[#This Row],[Lo. B. Ti.]],DataTable[[#This Row],[Lo. B. Successful Xings.]]+1))</f>
        <v>N/A</v>
      </c>
      <c r="Z5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6" spans="1:26" x14ac:dyDescent="0.2">
      <c r="A506" t="str">
        <f>IF(DataTable[[#This Row],[Tm.]]="","N/A",DataTable[[#This Row],[Tm.]])</f>
        <v>N/A</v>
      </c>
      <c r="B506" t="str">
        <f>IF(DataTable[[#This Row],[Match Nr.]]="","N/A",DataTable[[#This Row],[Match Nr.]])</f>
        <v>N/A</v>
      </c>
      <c r="C5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6" t="str">
        <f>IF(AND(DataTable[[#This Row],[Successful Lo. G. S]]="",DataTable[[#This Row],[Successful Hi. G. S.]]=""),"N/A",DataTable[[#This Row],[Successful Lo. G. S]]*2+DataTable[[#This Row],[Successful Hi. G. S.]]*10)</f>
        <v>N/A</v>
      </c>
      <c r="H5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6" s="11" t="str">
        <f>IF(DataTable[[#This Row],[Lo. B. Successful Xings.]]="","N/A",SUM(ProcessedData[[#This Row],[Lo. B. Ti.]],DataTable[[#This Row],[Lo. B. Successful Xings.]]+1))</f>
        <v>N/A</v>
      </c>
      <c r="Z5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7" spans="1:26" x14ac:dyDescent="0.2">
      <c r="A507" t="str">
        <f>IF(DataTable[[#This Row],[Tm.]]="","N/A",DataTable[[#This Row],[Tm.]])</f>
        <v>N/A</v>
      </c>
      <c r="B507" t="str">
        <f>IF(DataTable[[#This Row],[Match Nr.]]="","N/A",DataTable[[#This Row],[Match Nr.]])</f>
        <v>N/A</v>
      </c>
      <c r="C5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7" t="str">
        <f>IF(AND(DataTable[[#This Row],[Successful Lo. G. S]]="",DataTable[[#This Row],[Successful Hi. G. S.]]=""),"N/A",DataTable[[#This Row],[Successful Lo. G. S]]*2+DataTable[[#This Row],[Successful Hi. G. S.]]*10)</f>
        <v>N/A</v>
      </c>
      <c r="H5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7" s="11" t="str">
        <f>IF(DataTable[[#This Row],[Lo. B. Successful Xings.]]="","N/A",SUM(ProcessedData[[#This Row],[Lo. B. Ti.]],DataTable[[#This Row],[Lo. B. Successful Xings.]]+1))</f>
        <v>N/A</v>
      </c>
      <c r="Z5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8" spans="1:26" x14ac:dyDescent="0.2">
      <c r="A508" t="str">
        <f>IF(DataTable[[#This Row],[Tm.]]="","N/A",DataTable[[#This Row],[Tm.]])</f>
        <v>N/A</v>
      </c>
      <c r="B508" t="str">
        <f>IF(DataTable[[#This Row],[Match Nr.]]="","N/A",DataTable[[#This Row],[Match Nr.]])</f>
        <v>N/A</v>
      </c>
      <c r="C5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8" t="str">
        <f>IF(AND(DataTable[[#This Row],[Successful Lo. G. S]]="",DataTable[[#This Row],[Successful Hi. G. S.]]=""),"N/A",DataTable[[#This Row],[Successful Lo. G. S]]*2+DataTable[[#This Row],[Successful Hi. G. S.]]*10)</f>
        <v>N/A</v>
      </c>
      <c r="H5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8" s="11" t="str">
        <f>IF(DataTable[[#This Row],[Lo. B. Successful Xings.]]="","N/A",SUM(ProcessedData[[#This Row],[Lo. B. Ti.]],DataTable[[#This Row],[Lo. B. Successful Xings.]]+1))</f>
        <v>N/A</v>
      </c>
      <c r="Z5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09" spans="1:26" x14ac:dyDescent="0.2">
      <c r="A509" t="str">
        <f>IF(DataTable[[#This Row],[Tm.]]="","N/A",DataTable[[#This Row],[Tm.]])</f>
        <v>N/A</v>
      </c>
      <c r="B509" t="str">
        <f>IF(DataTable[[#This Row],[Match Nr.]]="","N/A",DataTable[[#This Row],[Match Nr.]])</f>
        <v>N/A</v>
      </c>
      <c r="C5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09" t="str">
        <f>IF(AND(DataTable[[#This Row],[Successful Lo. G. S]]="",DataTable[[#This Row],[Successful Hi. G. S.]]=""),"N/A",DataTable[[#This Row],[Successful Lo. G. S]]*2+DataTable[[#This Row],[Successful Hi. G. S.]]*10)</f>
        <v>N/A</v>
      </c>
      <c r="H5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09" s="11" t="str">
        <f>IF(DataTable[[#This Row],[Lo. B. Successful Xings.]]="","N/A",SUM(ProcessedData[[#This Row],[Lo. B. Ti.]],DataTable[[#This Row],[Lo. B. Successful Xings.]]+1))</f>
        <v>N/A</v>
      </c>
      <c r="Z5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0" spans="1:26" x14ac:dyDescent="0.2">
      <c r="A510" t="str">
        <f>IF(DataTable[[#This Row],[Tm.]]="","N/A",DataTable[[#This Row],[Tm.]])</f>
        <v>N/A</v>
      </c>
      <c r="B510" t="str">
        <f>IF(DataTable[[#This Row],[Match Nr.]]="","N/A",DataTable[[#This Row],[Match Nr.]])</f>
        <v>N/A</v>
      </c>
      <c r="C5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0" t="str">
        <f>IF(AND(DataTable[[#This Row],[Successful Lo. G. S]]="",DataTable[[#This Row],[Successful Hi. G. S.]]=""),"N/A",DataTable[[#This Row],[Successful Lo. G. S]]*2+DataTable[[#This Row],[Successful Hi. G. S.]]*10)</f>
        <v>N/A</v>
      </c>
      <c r="H5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0" s="11" t="str">
        <f>IF(DataTable[[#This Row],[Lo. B. Successful Xings.]]="","N/A",SUM(ProcessedData[[#This Row],[Lo. B. Ti.]],DataTable[[#This Row],[Lo. B. Successful Xings.]]+1))</f>
        <v>N/A</v>
      </c>
      <c r="Z5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1" spans="1:26" x14ac:dyDescent="0.2">
      <c r="A511" t="str">
        <f>IF(DataTable[[#This Row],[Tm.]]="","N/A",DataTable[[#This Row],[Tm.]])</f>
        <v>N/A</v>
      </c>
      <c r="B511" t="str">
        <f>IF(DataTable[[#This Row],[Match Nr.]]="","N/A",DataTable[[#This Row],[Match Nr.]])</f>
        <v>N/A</v>
      </c>
      <c r="C5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1" t="str">
        <f>IF(AND(DataTable[[#This Row],[Successful Lo. G. S]]="",DataTable[[#This Row],[Successful Hi. G. S.]]=""),"N/A",DataTable[[#This Row],[Successful Lo. G. S]]*2+DataTable[[#This Row],[Successful Hi. G. S.]]*10)</f>
        <v>N/A</v>
      </c>
      <c r="H5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1" s="11" t="str">
        <f>IF(DataTable[[#This Row],[Lo. B. Successful Xings.]]="","N/A",SUM(ProcessedData[[#This Row],[Lo. B. Ti.]],DataTable[[#This Row],[Lo. B. Successful Xings.]]+1))</f>
        <v>N/A</v>
      </c>
      <c r="Z5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2" spans="1:26" x14ac:dyDescent="0.2">
      <c r="A512" t="str">
        <f>IF(DataTable[[#This Row],[Tm.]]="","N/A",DataTable[[#This Row],[Tm.]])</f>
        <v>N/A</v>
      </c>
      <c r="B512" t="str">
        <f>IF(DataTable[[#This Row],[Match Nr.]]="","N/A",DataTable[[#This Row],[Match Nr.]])</f>
        <v>N/A</v>
      </c>
      <c r="C5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2" t="str">
        <f>IF(AND(DataTable[[#This Row],[Successful Lo. G. S]]="",DataTable[[#This Row],[Successful Hi. G. S.]]=""),"N/A",DataTable[[#This Row],[Successful Lo. G. S]]*2+DataTable[[#This Row],[Successful Hi. G. S.]]*10)</f>
        <v>N/A</v>
      </c>
      <c r="H5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2" s="11" t="str">
        <f>IF(DataTable[[#This Row],[Lo. B. Successful Xings.]]="","N/A",SUM(ProcessedData[[#This Row],[Lo. B. Ti.]],DataTable[[#This Row],[Lo. B. Successful Xings.]]+1))</f>
        <v>N/A</v>
      </c>
      <c r="Z5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3" spans="1:26" x14ac:dyDescent="0.2">
      <c r="A513" t="str">
        <f>IF(DataTable[[#This Row],[Tm.]]="","N/A",DataTable[[#This Row],[Tm.]])</f>
        <v>N/A</v>
      </c>
      <c r="B513" t="str">
        <f>IF(DataTable[[#This Row],[Match Nr.]]="","N/A",DataTable[[#This Row],[Match Nr.]])</f>
        <v>N/A</v>
      </c>
      <c r="C5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3" t="str">
        <f>IF(AND(DataTable[[#This Row],[Successful Lo. G. S]]="",DataTable[[#This Row],[Successful Hi. G. S.]]=""),"N/A",DataTable[[#This Row],[Successful Lo. G. S]]*2+DataTable[[#This Row],[Successful Hi. G. S.]]*10)</f>
        <v>N/A</v>
      </c>
      <c r="H5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3" s="11" t="str">
        <f>IF(DataTable[[#This Row],[Lo. B. Successful Xings.]]="","N/A",SUM(ProcessedData[[#This Row],[Lo. B. Ti.]],DataTable[[#This Row],[Lo. B. Successful Xings.]]+1))</f>
        <v>N/A</v>
      </c>
      <c r="Z5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4" spans="1:26" x14ac:dyDescent="0.2">
      <c r="A514" t="str">
        <f>IF(DataTable[[#This Row],[Tm.]]="","N/A",DataTable[[#This Row],[Tm.]])</f>
        <v>N/A</v>
      </c>
      <c r="B514" t="str">
        <f>IF(DataTable[[#This Row],[Match Nr.]]="","N/A",DataTable[[#This Row],[Match Nr.]])</f>
        <v>N/A</v>
      </c>
      <c r="C5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4" t="str">
        <f>IF(AND(DataTable[[#This Row],[Successful Lo. G. S]]="",DataTable[[#This Row],[Successful Hi. G. S.]]=""),"N/A",DataTable[[#This Row],[Successful Lo. G. S]]*2+DataTable[[#This Row],[Successful Hi. G. S.]]*10)</f>
        <v>N/A</v>
      </c>
      <c r="H5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4" s="11" t="str">
        <f>IF(DataTable[[#This Row],[Lo. B. Successful Xings.]]="","N/A",SUM(ProcessedData[[#This Row],[Lo. B. Ti.]],DataTable[[#This Row],[Lo. B. Successful Xings.]]+1))</f>
        <v>N/A</v>
      </c>
      <c r="Z5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5" spans="1:26" x14ac:dyDescent="0.2">
      <c r="A515" t="str">
        <f>IF(DataTable[[#This Row],[Tm.]]="","N/A",DataTable[[#This Row],[Tm.]])</f>
        <v>N/A</v>
      </c>
      <c r="B515" t="str">
        <f>IF(DataTable[[#This Row],[Match Nr.]]="","N/A",DataTable[[#This Row],[Match Nr.]])</f>
        <v>N/A</v>
      </c>
      <c r="C5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5" t="str">
        <f>IF(AND(DataTable[[#This Row],[Successful Lo. G. S]]="",DataTable[[#This Row],[Successful Hi. G. S.]]=""),"N/A",DataTable[[#This Row],[Successful Lo. G. S]]*2+DataTable[[#This Row],[Successful Hi. G. S.]]*10)</f>
        <v>N/A</v>
      </c>
      <c r="H5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5" s="11" t="str">
        <f>IF(DataTable[[#This Row],[Lo. B. Successful Xings.]]="","N/A",SUM(ProcessedData[[#This Row],[Lo. B. Ti.]],DataTable[[#This Row],[Lo. B. Successful Xings.]]+1))</f>
        <v>N/A</v>
      </c>
      <c r="Z5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6" spans="1:26" x14ac:dyDescent="0.2">
      <c r="A516" t="str">
        <f>IF(DataTable[[#This Row],[Tm.]]="","N/A",DataTable[[#This Row],[Tm.]])</f>
        <v>N/A</v>
      </c>
      <c r="B516" t="str">
        <f>IF(DataTable[[#This Row],[Match Nr.]]="","N/A",DataTable[[#This Row],[Match Nr.]])</f>
        <v>N/A</v>
      </c>
      <c r="C5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6" t="str">
        <f>IF(AND(DataTable[[#This Row],[Successful Lo. G. S]]="",DataTable[[#This Row],[Successful Hi. G. S.]]=""),"N/A",DataTable[[#This Row],[Successful Lo. G. S]]*2+DataTable[[#This Row],[Successful Hi. G. S.]]*10)</f>
        <v>N/A</v>
      </c>
      <c r="H5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6" s="11" t="str">
        <f>IF(DataTable[[#This Row],[Lo. B. Successful Xings.]]="","N/A",SUM(ProcessedData[[#This Row],[Lo. B. Ti.]],DataTable[[#This Row],[Lo. B. Successful Xings.]]+1))</f>
        <v>N/A</v>
      </c>
      <c r="Z5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7" spans="1:26" x14ac:dyDescent="0.2">
      <c r="A517" t="str">
        <f>IF(DataTable[[#This Row],[Tm.]]="","N/A",DataTable[[#This Row],[Tm.]])</f>
        <v>N/A</v>
      </c>
      <c r="B517" t="str">
        <f>IF(DataTable[[#This Row],[Match Nr.]]="","N/A",DataTable[[#This Row],[Match Nr.]])</f>
        <v>N/A</v>
      </c>
      <c r="C5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7" t="str">
        <f>IF(AND(DataTable[[#This Row],[Successful Lo. G. S]]="",DataTable[[#This Row],[Successful Hi. G. S.]]=""),"N/A",DataTable[[#This Row],[Successful Lo. G. S]]*2+DataTable[[#This Row],[Successful Hi. G. S.]]*10)</f>
        <v>N/A</v>
      </c>
      <c r="H5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7" s="11" t="str">
        <f>IF(DataTable[[#This Row],[Lo. B. Successful Xings.]]="","N/A",SUM(ProcessedData[[#This Row],[Lo. B. Ti.]],DataTable[[#This Row],[Lo. B. Successful Xings.]]+1))</f>
        <v>N/A</v>
      </c>
      <c r="Z5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8" spans="1:26" x14ac:dyDescent="0.2">
      <c r="A518" t="str">
        <f>IF(DataTable[[#This Row],[Tm.]]="","N/A",DataTable[[#This Row],[Tm.]])</f>
        <v>N/A</v>
      </c>
      <c r="B518" t="str">
        <f>IF(DataTable[[#This Row],[Match Nr.]]="","N/A",DataTable[[#This Row],[Match Nr.]])</f>
        <v>N/A</v>
      </c>
      <c r="C5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8" t="str">
        <f>IF(AND(DataTable[[#This Row],[Successful Lo. G. S]]="",DataTable[[#This Row],[Successful Hi. G. S.]]=""),"N/A",DataTable[[#This Row],[Successful Lo. G. S]]*2+DataTable[[#This Row],[Successful Hi. G. S.]]*10)</f>
        <v>N/A</v>
      </c>
      <c r="H5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8" s="11" t="str">
        <f>IF(DataTable[[#This Row],[Lo. B. Successful Xings.]]="","N/A",SUM(ProcessedData[[#This Row],[Lo. B. Ti.]],DataTable[[#This Row],[Lo. B. Successful Xings.]]+1))</f>
        <v>N/A</v>
      </c>
      <c r="Z5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19" spans="1:26" x14ac:dyDescent="0.2">
      <c r="A519" t="str">
        <f>IF(DataTable[[#This Row],[Tm.]]="","N/A",DataTable[[#This Row],[Tm.]])</f>
        <v>N/A</v>
      </c>
      <c r="B519" t="str">
        <f>IF(DataTable[[#This Row],[Match Nr.]]="","N/A",DataTable[[#This Row],[Match Nr.]])</f>
        <v>N/A</v>
      </c>
      <c r="C5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19" t="str">
        <f>IF(AND(DataTable[[#This Row],[Successful Lo. G. S]]="",DataTable[[#This Row],[Successful Hi. G. S.]]=""),"N/A",DataTable[[#This Row],[Successful Lo. G. S]]*2+DataTable[[#This Row],[Successful Hi. G. S.]]*10)</f>
        <v>N/A</v>
      </c>
      <c r="H5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19" s="11" t="str">
        <f>IF(DataTable[[#This Row],[Lo. B. Successful Xings.]]="","N/A",SUM(ProcessedData[[#This Row],[Lo. B. Ti.]],DataTable[[#This Row],[Lo. B. Successful Xings.]]+1))</f>
        <v>N/A</v>
      </c>
      <c r="Z5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0" spans="1:26" x14ac:dyDescent="0.2">
      <c r="A520" t="str">
        <f>IF(DataTable[[#This Row],[Tm.]]="","N/A",DataTable[[#This Row],[Tm.]])</f>
        <v>N/A</v>
      </c>
      <c r="B520" t="str">
        <f>IF(DataTable[[#This Row],[Match Nr.]]="","N/A",DataTable[[#This Row],[Match Nr.]])</f>
        <v>N/A</v>
      </c>
      <c r="C5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0" t="str">
        <f>IF(AND(DataTable[[#This Row],[Successful Lo. G. S]]="",DataTable[[#This Row],[Successful Hi. G. S.]]=""),"N/A",DataTable[[#This Row],[Successful Lo. G. S]]*2+DataTable[[#This Row],[Successful Hi. G. S.]]*10)</f>
        <v>N/A</v>
      </c>
      <c r="H5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0" s="11" t="str">
        <f>IF(DataTable[[#This Row],[Lo. B. Successful Xings.]]="","N/A",SUM(ProcessedData[[#This Row],[Lo. B. Ti.]],DataTable[[#This Row],[Lo. B. Successful Xings.]]+1))</f>
        <v>N/A</v>
      </c>
      <c r="Z5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1" spans="1:26" x14ac:dyDescent="0.2">
      <c r="A521" t="str">
        <f>IF(DataTable[[#This Row],[Tm.]]="","N/A",DataTable[[#This Row],[Tm.]])</f>
        <v>N/A</v>
      </c>
      <c r="B521" t="str">
        <f>IF(DataTable[[#This Row],[Match Nr.]]="","N/A",DataTable[[#This Row],[Match Nr.]])</f>
        <v>N/A</v>
      </c>
      <c r="C5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1" t="str">
        <f>IF(AND(DataTable[[#This Row],[Successful Lo. G. S]]="",DataTable[[#This Row],[Successful Hi. G. S.]]=""),"N/A",DataTable[[#This Row],[Successful Lo. G. S]]*2+DataTable[[#This Row],[Successful Hi. G. S.]]*10)</f>
        <v>N/A</v>
      </c>
      <c r="H5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1" s="11" t="str">
        <f>IF(DataTable[[#This Row],[Lo. B. Successful Xings.]]="","N/A",SUM(ProcessedData[[#This Row],[Lo. B. Ti.]],DataTable[[#This Row],[Lo. B. Successful Xings.]]+1))</f>
        <v>N/A</v>
      </c>
      <c r="Z5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2" spans="1:26" x14ac:dyDescent="0.2">
      <c r="A522" t="str">
        <f>IF(DataTable[[#This Row],[Tm.]]="","N/A",DataTable[[#This Row],[Tm.]])</f>
        <v>N/A</v>
      </c>
      <c r="B522" t="str">
        <f>IF(DataTable[[#This Row],[Match Nr.]]="","N/A",DataTable[[#This Row],[Match Nr.]])</f>
        <v>N/A</v>
      </c>
      <c r="C5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2" t="str">
        <f>IF(AND(DataTable[[#This Row],[Successful Lo. G. S]]="",DataTable[[#This Row],[Successful Hi. G. S.]]=""),"N/A",DataTable[[#This Row],[Successful Lo. G. S]]*2+DataTable[[#This Row],[Successful Hi. G. S.]]*10)</f>
        <v>N/A</v>
      </c>
      <c r="H5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2" s="11" t="str">
        <f>IF(DataTable[[#This Row],[Lo. B. Successful Xings.]]="","N/A",SUM(ProcessedData[[#This Row],[Lo. B. Ti.]],DataTable[[#This Row],[Lo. B. Successful Xings.]]+1))</f>
        <v>N/A</v>
      </c>
      <c r="Z5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3" spans="1:26" x14ac:dyDescent="0.2">
      <c r="A523" t="str">
        <f>IF(DataTable[[#This Row],[Tm.]]="","N/A",DataTable[[#This Row],[Tm.]])</f>
        <v>N/A</v>
      </c>
      <c r="B523" t="str">
        <f>IF(DataTable[[#This Row],[Match Nr.]]="","N/A",DataTable[[#This Row],[Match Nr.]])</f>
        <v>N/A</v>
      </c>
      <c r="C5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3" t="str">
        <f>IF(AND(DataTable[[#This Row],[Successful Lo. G. S]]="",DataTable[[#This Row],[Successful Hi. G. S.]]=""),"N/A",DataTable[[#This Row],[Successful Lo. G. S]]*2+DataTable[[#This Row],[Successful Hi. G. S.]]*10)</f>
        <v>N/A</v>
      </c>
      <c r="H5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3" s="11" t="str">
        <f>IF(DataTable[[#This Row],[Lo. B. Successful Xings.]]="","N/A",SUM(ProcessedData[[#This Row],[Lo. B. Ti.]],DataTable[[#This Row],[Lo. B. Successful Xings.]]+1))</f>
        <v>N/A</v>
      </c>
      <c r="Z5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4" spans="1:26" x14ac:dyDescent="0.2">
      <c r="A524" t="str">
        <f>IF(DataTable[[#This Row],[Tm.]]="","N/A",DataTable[[#This Row],[Tm.]])</f>
        <v>N/A</v>
      </c>
      <c r="B524" t="str">
        <f>IF(DataTable[[#This Row],[Match Nr.]]="","N/A",DataTable[[#This Row],[Match Nr.]])</f>
        <v>N/A</v>
      </c>
      <c r="C5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4" t="str">
        <f>IF(AND(DataTable[[#This Row],[Successful Lo. G. S]]="",DataTable[[#This Row],[Successful Hi. G. S.]]=""),"N/A",DataTable[[#This Row],[Successful Lo. G. S]]*2+DataTable[[#This Row],[Successful Hi. G. S.]]*10)</f>
        <v>N/A</v>
      </c>
      <c r="H5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4" s="11" t="str">
        <f>IF(DataTable[[#This Row],[Lo. B. Successful Xings.]]="","N/A",SUM(ProcessedData[[#This Row],[Lo. B. Ti.]],DataTable[[#This Row],[Lo. B. Successful Xings.]]+1))</f>
        <v>N/A</v>
      </c>
      <c r="Z5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5" spans="1:26" x14ac:dyDescent="0.2">
      <c r="A525" t="str">
        <f>IF(DataTable[[#This Row],[Tm.]]="","N/A",DataTable[[#This Row],[Tm.]])</f>
        <v>N/A</v>
      </c>
      <c r="B525" t="str">
        <f>IF(DataTable[[#This Row],[Match Nr.]]="","N/A",DataTable[[#This Row],[Match Nr.]])</f>
        <v>N/A</v>
      </c>
      <c r="C5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5" t="str">
        <f>IF(AND(DataTable[[#This Row],[Successful Lo. G. S]]="",DataTable[[#This Row],[Successful Hi. G. S.]]=""),"N/A",DataTable[[#This Row],[Successful Lo. G. S]]*2+DataTable[[#This Row],[Successful Hi. G. S.]]*10)</f>
        <v>N/A</v>
      </c>
      <c r="H5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5" s="11" t="str">
        <f>IF(DataTable[[#This Row],[Lo. B. Successful Xings.]]="","N/A",SUM(ProcessedData[[#This Row],[Lo. B. Ti.]],DataTable[[#This Row],[Lo. B. Successful Xings.]]+1))</f>
        <v>N/A</v>
      </c>
      <c r="Z5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6" spans="1:26" x14ac:dyDescent="0.2">
      <c r="A526" t="str">
        <f>IF(DataTable[[#This Row],[Tm.]]="","N/A",DataTable[[#This Row],[Tm.]])</f>
        <v>N/A</v>
      </c>
      <c r="B526" t="str">
        <f>IF(DataTable[[#This Row],[Match Nr.]]="","N/A",DataTable[[#This Row],[Match Nr.]])</f>
        <v>N/A</v>
      </c>
      <c r="C5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6" t="str">
        <f>IF(AND(DataTable[[#This Row],[Successful Lo. G. S]]="",DataTable[[#This Row],[Successful Hi. G. S.]]=""),"N/A",DataTable[[#This Row],[Successful Lo. G. S]]*2+DataTable[[#This Row],[Successful Hi. G. S.]]*10)</f>
        <v>N/A</v>
      </c>
      <c r="H5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6" s="11" t="str">
        <f>IF(DataTable[[#This Row],[Lo. B. Successful Xings.]]="","N/A",SUM(ProcessedData[[#This Row],[Lo. B. Ti.]],DataTable[[#This Row],[Lo. B. Successful Xings.]]+1))</f>
        <v>N/A</v>
      </c>
      <c r="Z5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7" spans="1:26" x14ac:dyDescent="0.2">
      <c r="A527" t="str">
        <f>IF(DataTable[[#This Row],[Tm.]]="","N/A",DataTable[[#This Row],[Tm.]])</f>
        <v>N/A</v>
      </c>
      <c r="B527" t="str">
        <f>IF(DataTable[[#This Row],[Match Nr.]]="","N/A",DataTable[[#This Row],[Match Nr.]])</f>
        <v>N/A</v>
      </c>
      <c r="C5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7" t="str">
        <f>IF(AND(DataTable[[#This Row],[Successful Lo. G. S]]="",DataTable[[#This Row],[Successful Hi. G. S.]]=""),"N/A",DataTable[[#This Row],[Successful Lo. G. S]]*2+DataTable[[#This Row],[Successful Hi. G. S.]]*10)</f>
        <v>N/A</v>
      </c>
      <c r="H5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7" s="11" t="str">
        <f>IF(DataTable[[#This Row],[Lo. B. Successful Xings.]]="","N/A",SUM(ProcessedData[[#This Row],[Lo. B. Ti.]],DataTable[[#This Row],[Lo. B. Successful Xings.]]+1))</f>
        <v>N/A</v>
      </c>
      <c r="Z5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8" spans="1:26" x14ac:dyDescent="0.2">
      <c r="A528" t="str">
        <f>IF(DataTable[[#This Row],[Tm.]]="","N/A",DataTable[[#This Row],[Tm.]])</f>
        <v>N/A</v>
      </c>
      <c r="B528" t="str">
        <f>IF(DataTable[[#This Row],[Match Nr.]]="","N/A",DataTable[[#This Row],[Match Nr.]])</f>
        <v>N/A</v>
      </c>
      <c r="C5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8" t="str">
        <f>IF(AND(DataTable[[#This Row],[Successful Lo. G. S]]="",DataTable[[#This Row],[Successful Hi. G. S.]]=""),"N/A",DataTable[[#This Row],[Successful Lo. G. S]]*2+DataTable[[#This Row],[Successful Hi. G. S.]]*10)</f>
        <v>N/A</v>
      </c>
      <c r="H5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8" s="11" t="str">
        <f>IF(DataTable[[#This Row],[Lo. B. Successful Xings.]]="","N/A",SUM(ProcessedData[[#This Row],[Lo. B. Ti.]],DataTable[[#This Row],[Lo. B. Successful Xings.]]+1))</f>
        <v>N/A</v>
      </c>
      <c r="Z5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29" spans="1:26" x14ac:dyDescent="0.2">
      <c r="A529" t="str">
        <f>IF(DataTable[[#This Row],[Tm.]]="","N/A",DataTable[[#This Row],[Tm.]])</f>
        <v>N/A</v>
      </c>
      <c r="B529" t="str">
        <f>IF(DataTable[[#This Row],[Match Nr.]]="","N/A",DataTable[[#This Row],[Match Nr.]])</f>
        <v>N/A</v>
      </c>
      <c r="C5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29" t="str">
        <f>IF(AND(DataTable[[#This Row],[Successful Lo. G. S]]="",DataTable[[#This Row],[Successful Hi. G. S.]]=""),"N/A",DataTable[[#This Row],[Successful Lo. G. S]]*2+DataTable[[#This Row],[Successful Hi. G. S.]]*10)</f>
        <v>N/A</v>
      </c>
      <c r="H5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29" s="11" t="str">
        <f>IF(DataTable[[#This Row],[Lo. B. Successful Xings.]]="","N/A",SUM(ProcessedData[[#This Row],[Lo. B. Ti.]],DataTable[[#This Row],[Lo. B. Successful Xings.]]+1))</f>
        <v>N/A</v>
      </c>
      <c r="Z5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0" spans="1:26" x14ac:dyDescent="0.2">
      <c r="A530" t="str">
        <f>IF(DataTable[[#This Row],[Tm.]]="","N/A",DataTable[[#This Row],[Tm.]])</f>
        <v>N/A</v>
      </c>
      <c r="B530" t="str">
        <f>IF(DataTable[[#This Row],[Match Nr.]]="","N/A",DataTable[[#This Row],[Match Nr.]])</f>
        <v>N/A</v>
      </c>
      <c r="C5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0" t="str">
        <f>IF(AND(DataTable[[#This Row],[Successful Lo. G. S]]="",DataTable[[#This Row],[Successful Hi. G. S.]]=""),"N/A",DataTable[[#This Row],[Successful Lo. G. S]]*2+DataTable[[#This Row],[Successful Hi. G. S.]]*10)</f>
        <v>N/A</v>
      </c>
      <c r="H5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0" s="11" t="str">
        <f>IF(DataTable[[#This Row],[Lo. B. Successful Xings.]]="","N/A",SUM(ProcessedData[[#This Row],[Lo. B. Ti.]],DataTable[[#This Row],[Lo. B. Successful Xings.]]+1))</f>
        <v>N/A</v>
      </c>
      <c r="Z5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1" spans="1:26" x14ac:dyDescent="0.2">
      <c r="A531" t="str">
        <f>IF(DataTable[[#This Row],[Tm.]]="","N/A",DataTable[[#This Row],[Tm.]])</f>
        <v>N/A</v>
      </c>
      <c r="B531" t="str">
        <f>IF(DataTable[[#This Row],[Match Nr.]]="","N/A",DataTable[[#This Row],[Match Nr.]])</f>
        <v>N/A</v>
      </c>
      <c r="C5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1" t="str">
        <f>IF(AND(DataTable[[#This Row],[Successful Lo. G. S]]="",DataTable[[#This Row],[Successful Hi. G. S.]]=""),"N/A",DataTable[[#This Row],[Successful Lo. G. S]]*2+DataTable[[#This Row],[Successful Hi. G. S.]]*10)</f>
        <v>N/A</v>
      </c>
      <c r="H5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1" s="11" t="str">
        <f>IF(DataTable[[#This Row],[Lo. B. Successful Xings.]]="","N/A",SUM(ProcessedData[[#This Row],[Lo. B. Ti.]],DataTable[[#This Row],[Lo. B. Successful Xings.]]+1))</f>
        <v>N/A</v>
      </c>
      <c r="Z5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2" spans="1:26" x14ac:dyDescent="0.2">
      <c r="A532" t="str">
        <f>IF(DataTable[[#This Row],[Tm.]]="","N/A",DataTable[[#This Row],[Tm.]])</f>
        <v>N/A</v>
      </c>
      <c r="B532" t="str">
        <f>IF(DataTable[[#This Row],[Match Nr.]]="","N/A",DataTable[[#This Row],[Match Nr.]])</f>
        <v>N/A</v>
      </c>
      <c r="C5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2" t="str">
        <f>IF(AND(DataTable[[#This Row],[Successful Lo. G. S]]="",DataTable[[#This Row],[Successful Hi. G. S.]]=""),"N/A",DataTable[[#This Row],[Successful Lo. G. S]]*2+DataTable[[#This Row],[Successful Hi. G. S.]]*10)</f>
        <v>N/A</v>
      </c>
      <c r="H5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2" s="11" t="str">
        <f>IF(DataTable[[#This Row],[Lo. B. Successful Xings.]]="","N/A",SUM(ProcessedData[[#This Row],[Lo. B. Ti.]],DataTable[[#This Row],[Lo. B. Successful Xings.]]+1))</f>
        <v>N/A</v>
      </c>
      <c r="Z5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3" spans="1:26" x14ac:dyDescent="0.2">
      <c r="A533" t="str">
        <f>IF(DataTable[[#This Row],[Tm.]]="","N/A",DataTable[[#This Row],[Tm.]])</f>
        <v>N/A</v>
      </c>
      <c r="B533" t="str">
        <f>IF(DataTable[[#This Row],[Match Nr.]]="","N/A",DataTable[[#This Row],[Match Nr.]])</f>
        <v>N/A</v>
      </c>
      <c r="C5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3" t="str">
        <f>IF(AND(DataTable[[#This Row],[Successful Lo. G. S]]="",DataTable[[#This Row],[Successful Hi. G. S.]]=""),"N/A",DataTable[[#This Row],[Successful Lo. G. S]]*2+DataTable[[#This Row],[Successful Hi. G. S.]]*10)</f>
        <v>N/A</v>
      </c>
      <c r="H5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3" s="11" t="str">
        <f>IF(DataTable[[#This Row],[Lo. B. Successful Xings.]]="","N/A",SUM(ProcessedData[[#This Row],[Lo. B. Ti.]],DataTable[[#This Row],[Lo. B. Successful Xings.]]+1))</f>
        <v>N/A</v>
      </c>
      <c r="Z5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4" spans="1:26" x14ac:dyDescent="0.2">
      <c r="A534" t="str">
        <f>IF(DataTable[[#This Row],[Tm.]]="","N/A",DataTable[[#This Row],[Tm.]])</f>
        <v>N/A</v>
      </c>
      <c r="B534" t="str">
        <f>IF(DataTable[[#This Row],[Match Nr.]]="","N/A",DataTable[[#This Row],[Match Nr.]])</f>
        <v>N/A</v>
      </c>
      <c r="C5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4" t="str">
        <f>IF(AND(DataTable[[#This Row],[Successful Lo. G. S]]="",DataTable[[#This Row],[Successful Hi. G. S.]]=""),"N/A",DataTable[[#This Row],[Successful Lo. G. S]]*2+DataTable[[#This Row],[Successful Hi. G. S.]]*10)</f>
        <v>N/A</v>
      </c>
      <c r="H5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4" s="11" t="str">
        <f>IF(DataTable[[#This Row],[Lo. B. Successful Xings.]]="","N/A",SUM(ProcessedData[[#This Row],[Lo. B. Ti.]],DataTable[[#This Row],[Lo. B. Successful Xings.]]+1))</f>
        <v>N/A</v>
      </c>
      <c r="Z5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5" spans="1:26" x14ac:dyDescent="0.2">
      <c r="A535" t="str">
        <f>IF(DataTable[[#This Row],[Tm.]]="","N/A",DataTable[[#This Row],[Tm.]])</f>
        <v>N/A</v>
      </c>
      <c r="B535" t="str">
        <f>IF(DataTable[[#This Row],[Match Nr.]]="","N/A",DataTable[[#This Row],[Match Nr.]])</f>
        <v>N/A</v>
      </c>
      <c r="C5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5" t="str">
        <f>IF(AND(DataTable[[#This Row],[Successful Lo. G. S]]="",DataTable[[#This Row],[Successful Hi. G. S.]]=""),"N/A",DataTable[[#This Row],[Successful Lo. G. S]]*2+DataTable[[#This Row],[Successful Hi. G. S.]]*10)</f>
        <v>N/A</v>
      </c>
      <c r="H5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5" s="11" t="str">
        <f>IF(DataTable[[#This Row],[Lo. B. Successful Xings.]]="","N/A",SUM(ProcessedData[[#This Row],[Lo. B. Ti.]],DataTable[[#This Row],[Lo. B. Successful Xings.]]+1))</f>
        <v>N/A</v>
      </c>
      <c r="Z5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6" spans="1:26" x14ac:dyDescent="0.2">
      <c r="A536" t="str">
        <f>IF(DataTable[[#This Row],[Tm.]]="","N/A",DataTable[[#This Row],[Tm.]])</f>
        <v>N/A</v>
      </c>
      <c r="B536" t="str">
        <f>IF(DataTable[[#This Row],[Match Nr.]]="","N/A",DataTable[[#This Row],[Match Nr.]])</f>
        <v>N/A</v>
      </c>
      <c r="C5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6" t="str">
        <f>IF(AND(DataTable[[#This Row],[Successful Lo. G. S]]="",DataTable[[#This Row],[Successful Hi. G. S.]]=""),"N/A",DataTable[[#This Row],[Successful Lo. G. S]]*2+DataTable[[#This Row],[Successful Hi. G. S.]]*10)</f>
        <v>N/A</v>
      </c>
      <c r="H5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6" s="11" t="str">
        <f>IF(DataTable[[#This Row],[Lo. B. Successful Xings.]]="","N/A",SUM(ProcessedData[[#This Row],[Lo. B. Ti.]],DataTable[[#This Row],[Lo. B. Successful Xings.]]+1))</f>
        <v>N/A</v>
      </c>
      <c r="Z5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7" spans="1:26" x14ac:dyDescent="0.2">
      <c r="A537" t="str">
        <f>IF(DataTable[[#This Row],[Tm.]]="","N/A",DataTable[[#This Row],[Tm.]])</f>
        <v>N/A</v>
      </c>
      <c r="B537" t="str">
        <f>IF(DataTable[[#This Row],[Match Nr.]]="","N/A",DataTable[[#This Row],[Match Nr.]])</f>
        <v>N/A</v>
      </c>
      <c r="C5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7" t="str">
        <f>IF(AND(DataTable[[#This Row],[Successful Lo. G. S]]="",DataTable[[#This Row],[Successful Hi. G. S.]]=""),"N/A",DataTable[[#This Row],[Successful Lo. G. S]]*2+DataTable[[#This Row],[Successful Hi. G. S.]]*10)</f>
        <v>N/A</v>
      </c>
      <c r="H5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7" s="11" t="str">
        <f>IF(DataTable[[#This Row],[Lo. B. Successful Xings.]]="","N/A",SUM(ProcessedData[[#This Row],[Lo. B. Ti.]],DataTable[[#This Row],[Lo. B. Successful Xings.]]+1))</f>
        <v>N/A</v>
      </c>
      <c r="Z5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8" spans="1:26" x14ac:dyDescent="0.2">
      <c r="A538" t="str">
        <f>IF(DataTable[[#This Row],[Tm.]]="","N/A",DataTable[[#This Row],[Tm.]])</f>
        <v>N/A</v>
      </c>
      <c r="B538" t="str">
        <f>IF(DataTable[[#This Row],[Match Nr.]]="","N/A",DataTable[[#This Row],[Match Nr.]])</f>
        <v>N/A</v>
      </c>
      <c r="C5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8" t="str">
        <f>IF(AND(DataTable[[#This Row],[Successful Lo. G. S]]="",DataTable[[#This Row],[Successful Hi. G. S.]]=""),"N/A",DataTable[[#This Row],[Successful Lo. G. S]]*2+DataTable[[#This Row],[Successful Hi. G. S.]]*10)</f>
        <v>N/A</v>
      </c>
      <c r="H5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8" s="11" t="str">
        <f>IF(DataTable[[#This Row],[Lo. B. Successful Xings.]]="","N/A",SUM(ProcessedData[[#This Row],[Lo. B. Ti.]],DataTable[[#This Row],[Lo. B. Successful Xings.]]+1))</f>
        <v>N/A</v>
      </c>
      <c r="Z5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39" spans="1:26" x14ac:dyDescent="0.2">
      <c r="A539" t="str">
        <f>IF(DataTable[[#This Row],[Tm.]]="","N/A",DataTable[[#This Row],[Tm.]])</f>
        <v>N/A</v>
      </c>
      <c r="B539" t="str">
        <f>IF(DataTable[[#This Row],[Match Nr.]]="","N/A",DataTable[[#This Row],[Match Nr.]])</f>
        <v>N/A</v>
      </c>
      <c r="C5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39" t="str">
        <f>IF(AND(DataTable[[#This Row],[Successful Lo. G. S]]="",DataTable[[#This Row],[Successful Hi. G. S.]]=""),"N/A",DataTable[[#This Row],[Successful Lo. G. S]]*2+DataTable[[#This Row],[Successful Hi. G. S.]]*10)</f>
        <v>N/A</v>
      </c>
      <c r="H5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39" s="11" t="str">
        <f>IF(DataTable[[#This Row],[Lo. B. Successful Xings.]]="","N/A",SUM(ProcessedData[[#This Row],[Lo. B. Ti.]],DataTable[[#This Row],[Lo. B. Successful Xings.]]+1))</f>
        <v>N/A</v>
      </c>
      <c r="Z5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0" spans="1:26" x14ac:dyDescent="0.2">
      <c r="A540" t="str">
        <f>IF(DataTable[[#This Row],[Tm.]]="","N/A",DataTable[[#This Row],[Tm.]])</f>
        <v>N/A</v>
      </c>
      <c r="B540" t="str">
        <f>IF(DataTable[[#This Row],[Match Nr.]]="","N/A",DataTable[[#This Row],[Match Nr.]])</f>
        <v>N/A</v>
      </c>
      <c r="C5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0" t="str">
        <f>IF(AND(DataTable[[#This Row],[Successful Lo. G. S]]="",DataTable[[#This Row],[Successful Hi. G. S.]]=""),"N/A",DataTable[[#This Row],[Successful Lo. G. S]]*2+DataTable[[#This Row],[Successful Hi. G. S.]]*10)</f>
        <v>N/A</v>
      </c>
      <c r="H5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0" s="11" t="str">
        <f>IF(DataTable[[#This Row],[Lo. B. Successful Xings.]]="","N/A",SUM(ProcessedData[[#This Row],[Lo. B. Ti.]],DataTable[[#This Row],[Lo. B. Successful Xings.]]+1))</f>
        <v>N/A</v>
      </c>
      <c r="Z5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1" spans="1:26" x14ac:dyDescent="0.2">
      <c r="A541" t="str">
        <f>IF(DataTable[[#This Row],[Tm.]]="","N/A",DataTable[[#This Row],[Tm.]])</f>
        <v>N/A</v>
      </c>
      <c r="B541" t="str">
        <f>IF(DataTable[[#This Row],[Match Nr.]]="","N/A",DataTable[[#This Row],[Match Nr.]])</f>
        <v>N/A</v>
      </c>
      <c r="C5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1" t="str">
        <f>IF(AND(DataTable[[#This Row],[Successful Lo. G. S]]="",DataTable[[#This Row],[Successful Hi. G. S.]]=""),"N/A",DataTable[[#This Row],[Successful Lo. G. S]]*2+DataTable[[#This Row],[Successful Hi. G. S.]]*10)</f>
        <v>N/A</v>
      </c>
      <c r="H5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1" s="11" t="str">
        <f>IF(DataTable[[#This Row],[Lo. B. Successful Xings.]]="","N/A",SUM(ProcessedData[[#This Row],[Lo. B. Ti.]],DataTable[[#This Row],[Lo. B. Successful Xings.]]+1))</f>
        <v>N/A</v>
      </c>
      <c r="Z5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2" spans="1:26" x14ac:dyDescent="0.2">
      <c r="A542" t="str">
        <f>IF(DataTable[[#This Row],[Tm.]]="","N/A",DataTable[[#This Row],[Tm.]])</f>
        <v>N/A</v>
      </c>
      <c r="B542" t="str">
        <f>IF(DataTable[[#This Row],[Match Nr.]]="","N/A",DataTable[[#This Row],[Match Nr.]])</f>
        <v>N/A</v>
      </c>
      <c r="C5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2" t="str">
        <f>IF(AND(DataTable[[#This Row],[Successful Lo. G. S]]="",DataTable[[#This Row],[Successful Hi. G. S.]]=""),"N/A",DataTable[[#This Row],[Successful Lo. G. S]]*2+DataTable[[#This Row],[Successful Hi. G. S.]]*10)</f>
        <v>N/A</v>
      </c>
      <c r="H5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2" s="11" t="str">
        <f>IF(DataTable[[#This Row],[Lo. B. Successful Xings.]]="","N/A",SUM(ProcessedData[[#This Row],[Lo. B. Ti.]],DataTable[[#This Row],[Lo. B. Successful Xings.]]+1))</f>
        <v>N/A</v>
      </c>
      <c r="Z5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3" spans="1:26" x14ac:dyDescent="0.2">
      <c r="A543" t="str">
        <f>IF(DataTable[[#This Row],[Tm.]]="","N/A",DataTable[[#This Row],[Tm.]])</f>
        <v>N/A</v>
      </c>
      <c r="B543" t="str">
        <f>IF(DataTable[[#This Row],[Match Nr.]]="","N/A",DataTable[[#This Row],[Match Nr.]])</f>
        <v>N/A</v>
      </c>
      <c r="C5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3" t="str">
        <f>IF(AND(DataTable[[#This Row],[Successful Lo. G. S]]="",DataTable[[#This Row],[Successful Hi. G. S.]]=""),"N/A",DataTable[[#This Row],[Successful Lo. G. S]]*2+DataTable[[#This Row],[Successful Hi. G. S.]]*10)</f>
        <v>N/A</v>
      </c>
      <c r="H5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3" s="11" t="str">
        <f>IF(DataTable[[#This Row],[Lo. B. Successful Xings.]]="","N/A",SUM(ProcessedData[[#This Row],[Lo. B. Ti.]],DataTable[[#This Row],[Lo. B. Successful Xings.]]+1))</f>
        <v>N/A</v>
      </c>
      <c r="Z5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4" spans="1:26" x14ac:dyDescent="0.2">
      <c r="A544" t="str">
        <f>IF(DataTable[[#This Row],[Tm.]]="","N/A",DataTable[[#This Row],[Tm.]])</f>
        <v>N/A</v>
      </c>
      <c r="B544" t="str">
        <f>IF(DataTable[[#This Row],[Match Nr.]]="","N/A",DataTable[[#This Row],[Match Nr.]])</f>
        <v>N/A</v>
      </c>
      <c r="C5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4" t="str">
        <f>IF(AND(DataTable[[#This Row],[Successful Lo. G. S]]="",DataTable[[#This Row],[Successful Hi. G. S.]]=""),"N/A",DataTable[[#This Row],[Successful Lo. G. S]]*2+DataTable[[#This Row],[Successful Hi. G. S.]]*10)</f>
        <v>N/A</v>
      </c>
      <c r="H5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4" s="11" t="str">
        <f>IF(DataTable[[#This Row],[Lo. B. Successful Xings.]]="","N/A",SUM(ProcessedData[[#This Row],[Lo. B. Ti.]],DataTable[[#This Row],[Lo. B. Successful Xings.]]+1))</f>
        <v>N/A</v>
      </c>
      <c r="Z5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5" spans="1:26" x14ac:dyDescent="0.2">
      <c r="A545" t="str">
        <f>IF(DataTable[[#This Row],[Tm.]]="","N/A",DataTable[[#This Row],[Tm.]])</f>
        <v>N/A</v>
      </c>
      <c r="B545" t="str">
        <f>IF(DataTable[[#This Row],[Match Nr.]]="","N/A",DataTable[[#This Row],[Match Nr.]])</f>
        <v>N/A</v>
      </c>
      <c r="C5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5" t="str">
        <f>IF(AND(DataTable[[#This Row],[Successful Lo. G. S]]="",DataTable[[#This Row],[Successful Hi. G. S.]]=""),"N/A",DataTable[[#This Row],[Successful Lo. G. S]]*2+DataTable[[#This Row],[Successful Hi. G. S.]]*10)</f>
        <v>N/A</v>
      </c>
      <c r="H5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5" s="11" t="str">
        <f>IF(DataTable[[#This Row],[Lo. B. Successful Xings.]]="","N/A",SUM(ProcessedData[[#This Row],[Lo. B. Ti.]],DataTable[[#This Row],[Lo. B. Successful Xings.]]+1))</f>
        <v>N/A</v>
      </c>
      <c r="Z5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6" spans="1:26" x14ac:dyDescent="0.2">
      <c r="A546" t="str">
        <f>IF(DataTable[[#This Row],[Tm.]]="","N/A",DataTable[[#This Row],[Tm.]])</f>
        <v>N/A</v>
      </c>
      <c r="B546" t="str">
        <f>IF(DataTable[[#This Row],[Match Nr.]]="","N/A",DataTable[[#This Row],[Match Nr.]])</f>
        <v>N/A</v>
      </c>
      <c r="C5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6" t="str">
        <f>IF(AND(DataTable[[#This Row],[Successful Lo. G. S]]="",DataTable[[#This Row],[Successful Hi. G. S.]]=""),"N/A",DataTable[[#This Row],[Successful Lo. G. S]]*2+DataTable[[#This Row],[Successful Hi. G. S.]]*10)</f>
        <v>N/A</v>
      </c>
      <c r="H5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6" s="11" t="str">
        <f>IF(DataTable[[#This Row],[Lo. B. Successful Xings.]]="","N/A",SUM(ProcessedData[[#This Row],[Lo. B. Ti.]],DataTable[[#This Row],[Lo. B. Successful Xings.]]+1))</f>
        <v>N/A</v>
      </c>
      <c r="Z5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7" spans="1:26" x14ac:dyDescent="0.2">
      <c r="A547" t="str">
        <f>IF(DataTable[[#This Row],[Tm.]]="","N/A",DataTable[[#This Row],[Tm.]])</f>
        <v>N/A</v>
      </c>
      <c r="B547" t="str">
        <f>IF(DataTable[[#This Row],[Match Nr.]]="","N/A",DataTable[[#This Row],[Match Nr.]])</f>
        <v>N/A</v>
      </c>
      <c r="C5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7" t="str">
        <f>IF(AND(DataTable[[#This Row],[Successful Lo. G. S]]="",DataTable[[#This Row],[Successful Hi. G. S.]]=""),"N/A",DataTable[[#This Row],[Successful Lo. G. S]]*2+DataTable[[#This Row],[Successful Hi. G. S.]]*10)</f>
        <v>N/A</v>
      </c>
      <c r="H5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7" s="11" t="str">
        <f>IF(DataTable[[#This Row],[Lo. B. Successful Xings.]]="","N/A",SUM(ProcessedData[[#This Row],[Lo. B. Ti.]],DataTable[[#This Row],[Lo. B. Successful Xings.]]+1))</f>
        <v>N/A</v>
      </c>
      <c r="Z5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8" spans="1:26" x14ac:dyDescent="0.2">
      <c r="A548" t="str">
        <f>IF(DataTable[[#This Row],[Tm.]]="","N/A",DataTable[[#This Row],[Tm.]])</f>
        <v>N/A</v>
      </c>
      <c r="B548" t="str">
        <f>IF(DataTable[[#This Row],[Match Nr.]]="","N/A",DataTable[[#This Row],[Match Nr.]])</f>
        <v>N/A</v>
      </c>
      <c r="C5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8" t="str">
        <f>IF(AND(DataTable[[#This Row],[Successful Lo. G. S]]="",DataTable[[#This Row],[Successful Hi. G. S.]]=""),"N/A",DataTable[[#This Row],[Successful Lo. G. S]]*2+DataTable[[#This Row],[Successful Hi. G. S.]]*10)</f>
        <v>N/A</v>
      </c>
      <c r="H5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8" s="11" t="str">
        <f>IF(DataTable[[#This Row],[Lo. B. Successful Xings.]]="","N/A",SUM(ProcessedData[[#This Row],[Lo. B. Ti.]],DataTable[[#This Row],[Lo. B. Successful Xings.]]+1))</f>
        <v>N/A</v>
      </c>
      <c r="Z5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49" spans="1:26" x14ac:dyDescent="0.2">
      <c r="A549" t="str">
        <f>IF(DataTable[[#This Row],[Tm.]]="","N/A",DataTable[[#This Row],[Tm.]])</f>
        <v>N/A</v>
      </c>
      <c r="B549" t="str">
        <f>IF(DataTable[[#This Row],[Match Nr.]]="","N/A",DataTable[[#This Row],[Match Nr.]])</f>
        <v>N/A</v>
      </c>
      <c r="C5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49" t="str">
        <f>IF(AND(DataTable[[#This Row],[Successful Lo. G. S]]="",DataTable[[#This Row],[Successful Hi. G. S.]]=""),"N/A",DataTable[[#This Row],[Successful Lo. G. S]]*2+DataTable[[#This Row],[Successful Hi. G. S.]]*10)</f>
        <v>N/A</v>
      </c>
      <c r="H5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49" s="11" t="str">
        <f>IF(DataTable[[#This Row],[Lo. B. Successful Xings.]]="","N/A",SUM(ProcessedData[[#This Row],[Lo. B. Ti.]],DataTable[[#This Row],[Lo. B. Successful Xings.]]+1))</f>
        <v>N/A</v>
      </c>
      <c r="Z5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0" spans="1:26" x14ac:dyDescent="0.2">
      <c r="A550" t="str">
        <f>IF(DataTable[[#This Row],[Tm.]]="","N/A",DataTable[[#This Row],[Tm.]])</f>
        <v>N/A</v>
      </c>
      <c r="B550" t="str">
        <f>IF(DataTable[[#This Row],[Match Nr.]]="","N/A",DataTable[[#This Row],[Match Nr.]])</f>
        <v>N/A</v>
      </c>
      <c r="C5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0" t="str">
        <f>IF(AND(DataTable[[#This Row],[Successful Lo. G. S]]="",DataTable[[#This Row],[Successful Hi. G. S.]]=""),"N/A",DataTable[[#This Row],[Successful Lo. G. S]]*2+DataTable[[#This Row],[Successful Hi. G. S.]]*10)</f>
        <v>N/A</v>
      </c>
      <c r="H5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0" s="11" t="str">
        <f>IF(DataTable[[#This Row],[Lo. B. Successful Xings.]]="","N/A",SUM(ProcessedData[[#This Row],[Lo. B. Ti.]],DataTable[[#This Row],[Lo. B. Successful Xings.]]+1))</f>
        <v>N/A</v>
      </c>
      <c r="Z5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1" spans="1:26" x14ac:dyDescent="0.2">
      <c r="A551" t="str">
        <f>IF(DataTable[[#This Row],[Tm.]]="","N/A",DataTable[[#This Row],[Tm.]])</f>
        <v>N/A</v>
      </c>
      <c r="B551" t="str">
        <f>IF(DataTable[[#This Row],[Match Nr.]]="","N/A",DataTable[[#This Row],[Match Nr.]])</f>
        <v>N/A</v>
      </c>
      <c r="C5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1" t="str">
        <f>IF(AND(DataTable[[#This Row],[Successful Lo. G. S]]="",DataTable[[#This Row],[Successful Hi. G. S.]]=""),"N/A",DataTable[[#This Row],[Successful Lo. G. S]]*2+DataTable[[#This Row],[Successful Hi. G. S.]]*10)</f>
        <v>N/A</v>
      </c>
      <c r="H5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1" s="11" t="str">
        <f>IF(DataTable[[#This Row],[Lo. B. Successful Xings.]]="","N/A",SUM(ProcessedData[[#This Row],[Lo. B. Ti.]],DataTable[[#This Row],[Lo. B. Successful Xings.]]+1))</f>
        <v>N/A</v>
      </c>
      <c r="Z5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2" spans="1:26" x14ac:dyDescent="0.2">
      <c r="A552" t="str">
        <f>IF(DataTable[[#This Row],[Tm.]]="","N/A",DataTable[[#This Row],[Tm.]])</f>
        <v>N/A</v>
      </c>
      <c r="B552" t="str">
        <f>IF(DataTable[[#This Row],[Match Nr.]]="","N/A",DataTable[[#This Row],[Match Nr.]])</f>
        <v>N/A</v>
      </c>
      <c r="C5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2" t="str">
        <f>IF(AND(DataTable[[#This Row],[Successful Lo. G. S]]="",DataTable[[#This Row],[Successful Hi. G. S.]]=""),"N/A",DataTable[[#This Row],[Successful Lo. G. S]]*2+DataTable[[#This Row],[Successful Hi. G. S.]]*10)</f>
        <v>N/A</v>
      </c>
      <c r="H5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2" s="11" t="str">
        <f>IF(DataTable[[#This Row],[Lo. B. Successful Xings.]]="","N/A",SUM(ProcessedData[[#This Row],[Lo. B. Ti.]],DataTable[[#This Row],[Lo. B. Successful Xings.]]+1))</f>
        <v>N/A</v>
      </c>
      <c r="Z5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3" spans="1:26" x14ac:dyDescent="0.2">
      <c r="A553" t="str">
        <f>IF(DataTable[[#This Row],[Tm.]]="","N/A",DataTable[[#This Row],[Tm.]])</f>
        <v>N/A</v>
      </c>
      <c r="B553" t="str">
        <f>IF(DataTable[[#This Row],[Match Nr.]]="","N/A",DataTable[[#This Row],[Match Nr.]])</f>
        <v>N/A</v>
      </c>
      <c r="C5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3" t="str">
        <f>IF(AND(DataTable[[#This Row],[Successful Lo. G. S]]="",DataTable[[#This Row],[Successful Hi. G. S.]]=""),"N/A",DataTable[[#This Row],[Successful Lo. G. S]]*2+DataTable[[#This Row],[Successful Hi. G. S.]]*10)</f>
        <v>N/A</v>
      </c>
      <c r="H5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3" s="11" t="str">
        <f>IF(DataTable[[#This Row],[Lo. B. Successful Xings.]]="","N/A",SUM(ProcessedData[[#This Row],[Lo. B. Ti.]],DataTable[[#This Row],[Lo. B. Successful Xings.]]+1))</f>
        <v>N/A</v>
      </c>
      <c r="Z5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4" spans="1:26" x14ac:dyDescent="0.2">
      <c r="A554" t="str">
        <f>IF(DataTable[[#This Row],[Tm.]]="","N/A",DataTable[[#This Row],[Tm.]])</f>
        <v>N/A</v>
      </c>
      <c r="B554" t="str">
        <f>IF(DataTable[[#This Row],[Match Nr.]]="","N/A",DataTable[[#This Row],[Match Nr.]])</f>
        <v>N/A</v>
      </c>
      <c r="C5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4" t="str">
        <f>IF(AND(DataTable[[#This Row],[Successful Lo. G. S]]="",DataTable[[#This Row],[Successful Hi. G. S.]]=""),"N/A",DataTable[[#This Row],[Successful Lo. G. S]]*2+DataTable[[#This Row],[Successful Hi. G. S.]]*10)</f>
        <v>N/A</v>
      </c>
      <c r="H5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4" s="11" t="str">
        <f>IF(DataTable[[#This Row],[Lo. B. Successful Xings.]]="","N/A",SUM(ProcessedData[[#This Row],[Lo. B. Ti.]],DataTable[[#This Row],[Lo. B. Successful Xings.]]+1))</f>
        <v>N/A</v>
      </c>
      <c r="Z5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5" spans="1:26" x14ac:dyDescent="0.2">
      <c r="A555" t="str">
        <f>IF(DataTable[[#This Row],[Tm.]]="","N/A",DataTable[[#This Row],[Tm.]])</f>
        <v>N/A</v>
      </c>
      <c r="B555" t="str">
        <f>IF(DataTable[[#This Row],[Match Nr.]]="","N/A",DataTable[[#This Row],[Match Nr.]])</f>
        <v>N/A</v>
      </c>
      <c r="C5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5" t="str">
        <f>IF(AND(DataTable[[#This Row],[Successful Lo. G. S]]="",DataTable[[#This Row],[Successful Hi. G. S.]]=""),"N/A",DataTable[[#This Row],[Successful Lo. G. S]]*2+DataTable[[#This Row],[Successful Hi. G. S.]]*10)</f>
        <v>N/A</v>
      </c>
      <c r="H5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5" s="11" t="str">
        <f>IF(DataTable[[#This Row],[Lo. B. Successful Xings.]]="","N/A",SUM(ProcessedData[[#This Row],[Lo. B. Ti.]],DataTable[[#This Row],[Lo. B. Successful Xings.]]+1))</f>
        <v>N/A</v>
      </c>
      <c r="Z5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6" spans="1:26" x14ac:dyDescent="0.2">
      <c r="A556" t="str">
        <f>IF(DataTable[[#This Row],[Tm.]]="","N/A",DataTable[[#This Row],[Tm.]])</f>
        <v>N/A</v>
      </c>
      <c r="B556" t="str">
        <f>IF(DataTable[[#This Row],[Match Nr.]]="","N/A",DataTable[[#This Row],[Match Nr.]])</f>
        <v>N/A</v>
      </c>
      <c r="C5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6" t="str">
        <f>IF(AND(DataTable[[#This Row],[Successful Lo. G. S]]="",DataTable[[#This Row],[Successful Hi. G. S.]]=""),"N/A",DataTable[[#This Row],[Successful Lo. G. S]]*2+DataTable[[#This Row],[Successful Hi. G. S.]]*10)</f>
        <v>N/A</v>
      </c>
      <c r="H5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6" s="11" t="str">
        <f>IF(DataTable[[#This Row],[Lo. B. Successful Xings.]]="","N/A",SUM(ProcessedData[[#This Row],[Lo. B. Ti.]],DataTable[[#This Row],[Lo. B. Successful Xings.]]+1))</f>
        <v>N/A</v>
      </c>
      <c r="Z5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7" spans="1:26" x14ac:dyDescent="0.2">
      <c r="A557" t="str">
        <f>IF(DataTable[[#This Row],[Tm.]]="","N/A",DataTable[[#This Row],[Tm.]])</f>
        <v>N/A</v>
      </c>
      <c r="B557" t="str">
        <f>IF(DataTable[[#This Row],[Match Nr.]]="","N/A",DataTable[[#This Row],[Match Nr.]])</f>
        <v>N/A</v>
      </c>
      <c r="C5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7" t="str">
        <f>IF(AND(DataTable[[#This Row],[Successful Lo. G. S]]="",DataTable[[#This Row],[Successful Hi. G. S.]]=""),"N/A",DataTable[[#This Row],[Successful Lo. G. S]]*2+DataTable[[#This Row],[Successful Hi. G. S.]]*10)</f>
        <v>N/A</v>
      </c>
      <c r="H5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7" s="11" t="str">
        <f>IF(DataTable[[#This Row],[Lo. B. Successful Xings.]]="","N/A",SUM(ProcessedData[[#This Row],[Lo. B. Ti.]],DataTable[[#This Row],[Lo. B. Successful Xings.]]+1))</f>
        <v>N/A</v>
      </c>
      <c r="Z5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8" spans="1:26" x14ac:dyDescent="0.2">
      <c r="A558" t="str">
        <f>IF(DataTable[[#This Row],[Tm.]]="","N/A",DataTable[[#This Row],[Tm.]])</f>
        <v>N/A</v>
      </c>
      <c r="B558" t="str">
        <f>IF(DataTable[[#This Row],[Match Nr.]]="","N/A",DataTable[[#This Row],[Match Nr.]])</f>
        <v>N/A</v>
      </c>
      <c r="C5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8" t="str">
        <f>IF(AND(DataTable[[#This Row],[Successful Lo. G. S]]="",DataTable[[#This Row],[Successful Hi. G. S.]]=""),"N/A",DataTable[[#This Row],[Successful Lo. G. S]]*2+DataTable[[#This Row],[Successful Hi. G. S.]]*10)</f>
        <v>N/A</v>
      </c>
      <c r="H5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8" s="11" t="str">
        <f>IF(DataTable[[#This Row],[Lo. B. Successful Xings.]]="","N/A",SUM(ProcessedData[[#This Row],[Lo. B. Ti.]],DataTable[[#This Row],[Lo. B. Successful Xings.]]+1))</f>
        <v>N/A</v>
      </c>
      <c r="Z5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59" spans="1:26" x14ac:dyDescent="0.2">
      <c r="A559" t="str">
        <f>IF(DataTable[[#This Row],[Tm.]]="","N/A",DataTable[[#This Row],[Tm.]])</f>
        <v>N/A</v>
      </c>
      <c r="B559" t="str">
        <f>IF(DataTable[[#This Row],[Match Nr.]]="","N/A",DataTable[[#This Row],[Match Nr.]])</f>
        <v>N/A</v>
      </c>
      <c r="C5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59" t="str">
        <f>IF(AND(DataTable[[#This Row],[Successful Lo. G. S]]="",DataTable[[#This Row],[Successful Hi. G. S.]]=""),"N/A",DataTable[[#This Row],[Successful Lo. G. S]]*2+DataTable[[#This Row],[Successful Hi. G. S.]]*10)</f>
        <v>N/A</v>
      </c>
      <c r="H5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59" s="11" t="str">
        <f>IF(DataTable[[#This Row],[Lo. B. Successful Xings.]]="","N/A",SUM(ProcessedData[[#This Row],[Lo. B. Ti.]],DataTable[[#This Row],[Lo. B. Successful Xings.]]+1))</f>
        <v>N/A</v>
      </c>
      <c r="Z5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0" spans="1:26" x14ac:dyDescent="0.2">
      <c r="A560" t="str">
        <f>IF(DataTable[[#This Row],[Tm.]]="","N/A",DataTable[[#This Row],[Tm.]])</f>
        <v>N/A</v>
      </c>
      <c r="B560" t="str">
        <f>IF(DataTable[[#This Row],[Match Nr.]]="","N/A",DataTable[[#This Row],[Match Nr.]])</f>
        <v>N/A</v>
      </c>
      <c r="C5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0" t="str">
        <f>IF(AND(DataTable[[#This Row],[Successful Lo. G. S]]="",DataTable[[#This Row],[Successful Hi. G. S.]]=""),"N/A",DataTable[[#This Row],[Successful Lo. G. S]]*2+DataTable[[#This Row],[Successful Hi. G. S.]]*10)</f>
        <v>N/A</v>
      </c>
      <c r="H5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0" s="11" t="str">
        <f>IF(DataTable[[#This Row],[Lo. B. Successful Xings.]]="","N/A",SUM(ProcessedData[[#This Row],[Lo. B. Ti.]],DataTable[[#This Row],[Lo. B. Successful Xings.]]+1))</f>
        <v>N/A</v>
      </c>
      <c r="Z5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1" spans="1:26" x14ac:dyDescent="0.2">
      <c r="A561" t="str">
        <f>IF(DataTable[[#This Row],[Tm.]]="","N/A",DataTable[[#This Row],[Tm.]])</f>
        <v>N/A</v>
      </c>
      <c r="B561" t="str">
        <f>IF(DataTable[[#This Row],[Match Nr.]]="","N/A",DataTable[[#This Row],[Match Nr.]])</f>
        <v>N/A</v>
      </c>
      <c r="C5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1" t="str">
        <f>IF(AND(DataTable[[#This Row],[Successful Lo. G. S]]="",DataTable[[#This Row],[Successful Hi. G. S.]]=""),"N/A",DataTable[[#This Row],[Successful Lo. G. S]]*2+DataTable[[#This Row],[Successful Hi. G. S.]]*10)</f>
        <v>N/A</v>
      </c>
      <c r="H5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1" s="11" t="str">
        <f>IF(DataTable[[#This Row],[Lo. B. Successful Xings.]]="","N/A",SUM(ProcessedData[[#This Row],[Lo. B. Ti.]],DataTable[[#This Row],[Lo. B. Successful Xings.]]+1))</f>
        <v>N/A</v>
      </c>
      <c r="Z5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2" spans="1:26" x14ac:dyDescent="0.2">
      <c r="A562" t="str">
        <f>IF(DataTable[[#This Row],[Tm.]]="","N/A",DataTable[[#This Row],[Tm.]])</f>
        <v>N/A</v>
      </c>
      <c r="B562" t="str">
        <f>IF(DataTable[[#This Row],[Match Nr.]]="","N/A",DataTable[[#This Row],[Match Nr.]])</f>
        <v>N/A</v>
      </c>
      <c r="C5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2" t="str">
        <f>IF(AND(DataTable[[#This Row],[Successful Lo. G. S]]="",DataTable[[#This Row],[Successful Hi. G. S.]]=""),"N/A",DataTable[[#This Row],[Successful Lo. G. S]]*2+DataTable[[#This Row],[Successful Hi. G. S.]]*10)</f>
        <v>N/A</v>
      </c>
      <c r="H5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2" s="11" t="str">
        <f>IF(DataTable[[#This Row],[Lo. B. Successful Xings.]]="","N/A",SUM(ProcessedData[[#This Row],[Lo. B. Ti.]],DataTable[[#This Row],[Lo. B. Successful Xings.]]+1))</f>
        <v>N/A</v>
      </c>
      <c r="Z5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3" spans="1:26" x14ac:dyDescent="0.2">
      <c r="A563" t="str">
        <f>IF(DataTable[[#This Row],[Tm.]]="","N/A",DataTable[[#This Row],[Tm.]])</f>
        <v>N/A</v>
      </c>
      <c r="B563" t="str">
        <f>IF(DataTable[[#This Row],[Match Nr.]]="","N/A",DataTable[[#This Row],[Match Nr.]])</f>
        <v>N/A</v>
      </c>
      <c r="C5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3" t="str">
        <f>IF(AND(DataTable[[#This Row],[Successful Lo. G. S]]="",DataTable[[#This Row],[Successful Hi. G. S.]]=""),"N/A",DataTable[[#This Row],[Successful Lo. G. S]]*2+DataTable[[#This Row],[Successful Hi. G. S.]]*10)</f>
        <v>N/A</v>
      </c>
      <c r="H5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3" s="11" t="str">
        <f>IF(DataTable[[#This Row],[Lo. B. Successful Xings.]]="","N/A",SUM(ProcessedData[[#This Row],[Lo. B. Ti.]],DataTable[[#This Row],[Lo. B. Successful Xings.]]+1))</f>
        <v>N/A</v>
      </c>
      <c r="Z5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4" spans="1:26" x14ac:dyDescent="0.2">
      <c r="A564" t="str">
        <f>IF(DataTable[[#This Row],[Tm.]]="","N/A",DataTable[[#This Row],[Tm.]])</f>
        <v>N/A</v>
      </c>
      <c r="B564" t="str">
        <f>IF(DataTable[[#This Row],[Match Nr.]]="","N/A",DataTable[[#This Row],[Match Nr.]])</f>
        <v>N/A</v>
      </c>
      <c r="C5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4" t="str">
        <f>IF(AND(DataTable[[#This Row],[Successful Lo. G. S]]="",DataTable[[#This Row],[Successful Hi. G. S.]]=""),"N/A",DataTable[[#This Row],[Successful Lo. G. S]]*2+DataTable[[#This Row],[Successful Hi. G. S.]]*10)</f>
        <v>N/A</v>
      </c>
      <c r="H5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4" s="11" t="str">
        <f>IF(DataTable[[#This Row],[Lo. B. Successful Xings.]]="","N/A",SUM(ProcessedData[[#This Row],[Lo. B. Ti.]],DataTable[[#This Row],[Lo. B. Successful Xings.]]+1))</f>
        <v>N/A</v>
      </c>
      <c r="Z5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5" spans="1:26" x14ac:dyDescent="0.2">
      <c r="A565" t="str">
        <f>IF(DataTable[[#This Row],[Tm.]]="","N/A",DataTable[[#This Row],[Tm.]])</f>
        <v>N/A</v>
      </c>
      <c r="B565" t="str">
        <f>IF(DataTable[[#This Row],[Match Nr.]]="","N/A",DataTable[[#This Row],[Match Nr.]])</f>
        <v>N/A</v>
      </c>
      <c r="C5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5" t="str">
        <f>IF(AND(DataTable[[#This Row],[Successful Lo. G. S]]="",DataTable[[#This Row],[Successful Hi. G. S.]]=""),"N/A",DataTable[[#This Row],[Successful Lo. G. S]]*2+DataTable[[#This Row],[Successful Hi. G. S.]]*10)</f>
        <v>N/A</v>
      </c>
      <c r="H5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5" s="11" t="str">
        <f>IF(DataTable[[#This Row],[Lo. B. Successful Xings.]]="","N/A",SUM(ProcessedData[[#This Row],[Lo. B. Ti.]],DataTable[[#This Row],[Lo. B. Successful Xings.]]+1))</f>
        <v>N/A</v>
      </c>
      <c r="Z5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6" spans="1:26" x14ac:dyDescent="0.2">
      <c r="A566" t="str">
        <f>IF(DataTable[[#This Row],[Tm.]]="","N/A",DataTable[[#This Row],[Tm.]])</f>
        <v>N/A</v>
      </c>
      <c r="B566" t="str">
        <f>IF(DataTable[[#This Row],[Match Nr.]]="","N/A",DataTable[[#This Row],[Match Nr.]])</f>
        <v>N/A</v>
      </c>
      <c r="C5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6" t="str">
        <f>IF(AND(DataTable[[#This Row],[Successful Lo. G. S]]="",DataTable[[#This Row],[Successful Hi. G. S.]]=""),"N/A",DataTable[[#This Row],[Successful Lo. G. S]]*2+DataTable[[#This Row],[Successful Hi. G. S.]]*10)</f>
        <v>N/A</v>
      </c>
      <c r="H5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6" s="11" t="str">
        <f>IF(DataTable[[#This Row],[Lo. B. Successful Xings.]]="","N/A",SUM(ProcessedData[[#This Row],[Lo. B. Ti.]],DataTable[[#This Row],[Lo. B. Successful Xings.]]+1))</f>
        <v>N/A</v>
      </c>
      <c r="Z5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7" spans="1:26" x14ac:dyDescent="0.2">
      <c r="A567" t="str">
        <f>IF(DataTable[[#This Row],[Tm.]]="","N/A",DataTable[[#This Row],[Tm.]])</f>
        <v>N/A</v>
      </c>
      <c r="B567" t="str">
        <f>IF(DataTable[[#This Row],[Match Nr.]]="","N/A",DataTable[[#This Row],[Match Nr.]])</f>
        <v>N/A</v>
      </c>
      <c r="C5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7" t="str">
        <f>IF(AND(DataTable[[#This Row],[Successful Lo. G. S]]="",DataTable[[#This Row],[Successful Hi. G. S.]]=""),"N/A",DataTable[[#This Row],[Successful Lo. G. S]]*2+DataTable[[#This Row],[Successful Hi. G. S.]]*10)</f>
        <v>N/A</v>
      </c>
      <c r="H5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7" s="11" t="str">
        <f>IF(DataTable[[#This Row],[Lo. B. Successful Xings.]]="","N/A",SUM(ProcessedData[[#This Row],[Lo. B. Ti.]],DataTable[[#This Row],[Lo. B. Successful Xings.]]+1))</f>
        <v>N/A</v>
      </c>
      <c r="Z5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8" spans="1:26" x14ac:dyDescent="0.2">
      <c r="A568" t="str">
        <f>IF(DataTable[[#This Row],[Tm.]]="","N/A",DataTable[[#This Row],[Tm.]])</f>
        <v>N/A</v>
      </c>
      <c r="B568" t="str">
        <f>IF(DataTable[[#This Row],[Match Nr.]]="","N/A",DataTable[[#This Row],[Match Nr.]])</f>
        <v>N/A</v>
      </c>
      <c r="C5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8" t="str">
        <f>IF(AND(DataTable[[#This Row],[Successful Lo. G. S]]="",DataTable[[#This Row],[Successful Hi. G. S.]]=""),"N/A",DataTable[[#This Row],[Successful Lo. G. S]]*2+DataTable[[#This Row],[Successful Hi. G. S.]]*10)</f>
        <v>N/A</v>
      </c>
      <c r="H5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8" s="11" t="str">
        <f>IF(DataTable[[#This Row],[Lo. B. Successful Xings.]]="","N/A",SUM(ProcessedData[[#This Row],[Lo. B. Ti.]],DataTable[[#This Row],[Lo. B. Successful Xings.]]+1))</f>
        <v>N/A</v>
      </c>
      <c r="Z5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69" spans="1:26" x14ac:dyDescent="0.2">
      <c r="A569" t="str">
        <f>IF(DataTable[[#This Row],[Tm.]]="","N/A",DataTable[[#This Row],[Tm.]])</f>
        <v>N/A</v>
      </c>
      <c r="B569" t="str">
        <f>IF(DataTable[[#This Row],[Match Nr.]]="","N/A",DataTable[[#This Row],[Match Nr.]])</f>
        <v>N/A</v>
      </c>
      <c r="C5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69" t="str">
        <f>IF(AND(DataTable[[#This Row],[Successful Lo. G. S]]="",DataTable[[#This Row],[Successful Hi. G. S.]]=""),"N/A",DataTable[[#This Row],[Successful Lo. G. S]]*2+DataTable[[#This Row],[Successful Hi. G. S.]]*10)</f>
        <v>N/A</v>
      </c>
      <c r="H5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69" s="11" t="str">
        <f>IF(DataTable[[#This Row],[Lo. B. Successful Xings.]]="","N/A",SUM(ProcessedData[[#This Row],[Lo. B. Ti.]],DataTable[[#This Row],[Lo. B. Successful Xings.]]+1))</f>
        <v>N/A</v>
      </c>
      <c r="Z5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0" spans="1:26" x14ac:dyDescent="0.2">
      <c r="A570" t="str">
        <f>IF(DataTable[[#This Row],[Tm.]]="","N/A",DataTable[[#This Row],[Tm.]])</f>
        <v>N/A</v>
      </c>
      <c r="B570" t="str">
        <f>IF(DataTable[[#This Row],[Match Nr.]]="","N/A",DataTable[[#This Row],[Match Nr.]])</f>
        <v>N/A</v>
      </c>
      <c r="C5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0" t="str">
        <f>IF(AND(DataTable[[#This Row],[Successful Lo. G. S]]="",DataTable[[#This Row],[Successful Hi. G. S.]]=""),"N/A",DataTable[[#This Row],[Successful Lo. G. S]]*2+DataTable[[#This Row],[Successful Hi. G. S.]]*10)</f>
        <v>N/A</v>
      </c>
      <c r="H5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0" s="11" t="str">
        <f>IF(DataTable[[#This Row],[Lo. B. Successful Xings.]]="","N/A",SUM(ProcessedData[[#This Row],[Lo. B. Ti.]],DataTable[[#This Row],[Lo. B. Successful Xings.]]+1))</f>
        <v>N/A</v>
      </c>
      <c r="Z5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1" spans="1:26" x14ac:dyDescent="0.2">
      <c r="A571" t="str">
        <f>IF(DataTable[[#This Row],[Tm.]]="","N/A",DataTable[[#This Row],[Tm.]])</f>
        <v>N/A</v>
      </c>
      <c r="B571" t="str">
        <f>IF(DataTable[[#This Row],[Match Nr.]]="","N/A",DataTable[[#This Row],[Match Nr.]])</f>
        <v>N/A</v>
      </c>
      <c r="C5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1" t="str">
        <f>IF(AND(DataTable[[#This Row],[Successful Lo. G. S]]="",DataTable[[#This Row],[Successful Hi. G. S.]]=""),"N/A",DataTable[[#This Row],[Successful Lo. G. S]]*2+DataTable[[#This Row],[Successful Hi. G. S.]]*10)</f>
        <v>N/A</v>
      </c>
      <c r="H5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1" s="11" t="str">
        <f>IF(DataTable[[#This Row],[Lo. B. Successful Xings.]]="","N/A",SUM(ProcessedData[[#This Row],[Lo. B. Ti.]],DataTable[[#This Row],[Lo. B. Successful Xings.]]+1))</f>
        <v>N/A</v>
      </c>
      <c r="Z5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2" spans="1:26" x14ac:dyDescent="0.2">
      <c r="A572" t="str">
        <f>IF(DataTable[[#This Row],[Tm.]]="","N/A",DataTable[[#This Row],[Tm.]])</f>
        <v>N/A</v>
      </c>
      <c r="B572" t="str">
        <f>IF(DataTable[[#This Row],[Match Nr.]]="","N/A",DataTable[[#This Row],[Match Nr.]])</f>
        <v>N/A</v>
      </c>
      <c r="C5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2" t="str">
        <f>IF(AND(DataTable[[#This Row],[Successful Lo. G. S]]="",DataTable[[#This Row],[Successful Hi. G. S.]]=""),"N/A",DataTable[[#This Row],[Successful Lo. G. S]]*2+DataTable[[#This Row],[Successful Hi. G. S.]]*10)</f>
        <v>N/A</v>
      </c>
      <c r="H5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2" s="11" t="str">
        <f>IF(DataTable[[#This Row],[Lo. B. Successful Xings.]]="","N/A",SUM(ProcessedData[[#This Row],[Lo. B. Ti.]],DataTable[[#This Row],[Lo. B. Successful Xings.]]+1))</f>
        <v>N/A</v>
      </c>
      <c r="Z5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3" spans="1:26" x14ac:dyDescent="0.2">
      <c r="A573" t="str">
        <f>IF(DataTable[[#This Row],[Tm.]]="","N/A",DataTable[[#This Row],[Tm.]])</f>
        <v>N/A</v>
      </c>
      <c r="B573" t="str">
        <f>IF(DataTable[[#This Row],[Match Nr.]]="","N/A",DataTable[[#This Row],[Match Nr.]])</f>
        <v>N/A</v>
      </c>
      <c r="C5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3" t="str">
        <f>IF(AND(DataTable[[#This Row],[Successful Lo. G. S]]="",DataTable[[#This Row],[Successful Hi. G. S.]]=""),"N/A",DataTable[[#This Row],[Successful Lo. G. S]]*2+DataTable[[#This Row],[Successful Hi. G. S.]]*10)</f>
        <v>N/A</v>
      </c>
      <c r="H5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3" s="11" t="str">
        <f>IF(DataTable[[#This Row],[Lo. B. Successful Xings.]]="","N/A",SUM(ProcessedData[[#This Row],[Lo. B. Ti.]],DataTable[[#This Row],[Lo. B. Successful Xings.]]+1))</f>
        <v>N/A</v>
      </c>
      <c r="Z5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4" spans="1:26" x14ac:dyDescent="0.2">
      <c r="A574" t="str">
        <f>IF(DataTable[[#This Row],[Tm.]]="","N/A",DataTable[[#This Row],[Tm.]])</f>
        <v>N/A</v>
      </c>
      <c r="B574" t="str">
        <f>IF(DataTable[[#This Row],[Match Nr.]]="","N/A",DataTable[[#This Row],[Match Nr.]])</f>
        <v>N/A</v>
      </c>
      <c r="C5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4" t="str">
        <f>IF(AND(DataTable[[#This Row],[Successful Lo. G. S]]="",DataTable[[#This Row],[Successful Hi. G. S.]]=""),"N/A",DataTable[[#This Row],[Successful Lo. G. S]]*2+DataTable[[#This Row],[Successful Hi. G. S.]]*10)</f>
        <v>N/A</v>
      </c>
      <c r="H5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4" s="11" t="str">
        <f>IF(DataTable[[#This Row],[Lo. B. Successful Xings.]]="","N/A",SUM(ProcessedData[[#This Row],[Lo. B. Ti.]],DataTable[[#This Row],[Lo. B. Successful Xings.]]+1))</f>
        <v>N/A</v>
      </c>
      <c r="Z5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5" spans="1:26" x14ac:dyDescent="0.2">
      <c r="A575" t="str">
        <f>IF(DataTable[[#This Row],[Tm.]]="","N/A",DataTable[[#This Row],[Tm.]])</f>
        <v>N/A</v>
      </c>
      <c r="B575" t="str">
        <f>IF(DataTable[[#This Row],[Match Nr.]]="","N/A",DataTable[[#This Row],[Match Nr.]])</f>
        <v>N/A</v>
      </c>
      <c r="C5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5" t="str">
        <f>IF(AND(DataTable[[#This Row],[Successful Lo. G. S]]="",DataTable[[#This Row],[Successful Hi. G. S.]]=""),"N/A",DataTable[[#This Row],[Successful Lo. G. S]]*2+DataTable[[#This Row],[Successful Hi. G. S.]]*10)</f>
        <v>N/A</v>
      </c>
      <c r="H5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5" s="11" t="str">
        <f>IF(DataTable[[#This Row],[Lo. B. Successful Xings.]]="","N/A",SUM(ProcessedData[[#This Row],[Lo. B. Ti.]],DataTable[[#This Row],[Lo. B. Successful Xings.]]+1))</f>
        <v>N/A</v>
      </c>
      <c r="Z5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6" spans="1:26" x14ac:dyDescent="0.2">
      <c r="A576" t="str">
        <f>IF(DataTable[[#This Row],[Tm.]]="","N/A",DataTable[[#This Row],[Tm.]])</f>
        <v>N/A</v>
      </c>
      <c r="B576" t="str">
        <f>IF(DataTable[[#This Row],[Match Nr.]]="","N/A",DataTable[[#This Row],[Match Nr.]])</f>
        <v>N/A</v>
      </c>
      <c r="C5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6" t="str">
        <f>IF(AND(DataTable[[#This Row],[Successful Lo. G. S]]="",DataTable[[#This Row],[Successful Hi. G. S.]]=""),"N/A",DataTable[[#This Row],[Successful Lo. G. S]]*2+DataTable[[#This Row],[Successful Hi. G. S.]]*10)</f>
        <v>N/A</v>
      </c>
      <c r="H5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6" s="11" t="str">
        <f>IF(DataTable[[#This Row],[Lo. B. Successful Xings.]]="","N/A",SUM(ProcessedData[[#This Row],[Lo. B. Ti.]],DataTable[[#This Row],[Lo. B. Successful Xings.]]+1))</f>
        <v>N/A</v>
      </c>
      <c r="Z5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7" spans="1:26" x14ac:dyDescent="0.2">
      <c r="A577" t="str">
        <f>IF(DataTable[[#This Row],[Tm.]]="","N/A",DataTable[[#This Row],[Tm.]])</f>
        <v>N/A</v>
      </c>
      <c r="B577" t="str">
        <f>IF(DataTable[[#This Row],[Match Nr.]]="","N/A",DataTable[[#This Row],[Match Nr.]])</f>
        <v>N/A</v>
      </c>
      <c r="C5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7" t="str">
        <f>IF(AND(DataTable[[#This Row],[Successful Lo. G. S]]="",DataTable[[#This Row],[Successful Hi. G. S.]]=""),"N/A",DataTable[[#This Row],[Successful Lo. G. S]]*2+DataTable[[#This Row],[Successful Hi. G. S.]]*10)</f>
        <v>N/A</v>
      </c>
      <c r="H5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7" s="11" t="str">
        <f>IF(DataTable[[#This Row],[Lo. B. Successful Xings.]]="","N/A",SUM(ProcessedData[[#This Row],[Lo. B. Ti.]],DataTable[[#This Row],[Lo. B. Successful Xings.]]+1))</f>
        <v>N/A</v>
      </c>
      <c r="Z5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8" spans="1:26" x14ac:dyDescent="0.2">
      <c r="A578" t="str">
        <f>IF(DataTable[[#This Row],[Tm.]]="","N/A",DataTable[[#This Row],[Tm.]])</f>
        <v>N/A</v>
      </c>
      <c r="B578" t="str">
        <f>IF(DataTable[[#This Row],[Match Nr.]]="","N/A",DataTable[[#This Row],[Match Nr.]])</f>
        <v>N/A</v>
      </c>
      <c r="C5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8" t="str">
        <f>IF(AND(DataTable[[#This Row],[Successful Lo. G. S]]="",DataTable[[#This Row],[Successful Hi. G. S.]]=""),"N/A",DataTable[[#This Row],[Successful Lo. G. S]]*2+DataTable[[#This Row],[Successful Hi. G. S.]]*10)</f>
        <v>N/A</v>
      </c>
      <c r="H5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8" s="11" t="str">
        <f>IF(DataTable[[#This Row],[Lo. B. Successful Xings.]]="","N/A",SUM(ProcessedData[[#This Row],[Lo. B. Ti.]],DataTable[[#This Row],[Lo. B. Successful Xings.]]+1))</f>
        <v>N/A</v>
      </c>
      <c r="Z5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79" spans="1:26" x14ac:dyDescent="0.2">
      <c r="A579" t="str">
        <f>IF(DataTable[[#This Row],[Tm.]]="","N/A",DataTable[[#This Row],[Tm.]])</f>
        <v>N/A</v>
      </c>
      <c r="B579" t="str">
        <f>IF(DataTable[[#This Row],[Match Nr.]]="","N/A",DataTable[[#This Row],[Match Nr.]])</f>
        <v>N/A</v>
      </c>
      <c r="C5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79" t="str">
        <f>IF(AND(DataTable[[#This Row],[Successful Lo. G. S]]="",DataTable[[#This Row],[Successful Hi. G. S.]]=""),"N/A",DataTable[[#This Row],[Successful Lo. G. S]]*2+DataTable[[#This Row],[Successful Hi. G. S.]]*10)</f>
        <v>N/A</v>
      </c>
      <c r="H5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79" s="11" t="str">
        <f>IF(DataTable[[#This Row],[Lo. B. Successful Xings.]]="","N/A",SUM(ProcessedData[[#This Row],[Lo. B. Ti.]],DataTable[[#This Row],[Lo. B. Successful Xings.]]+1))</f>
        <v>N/A</v>
      </c>
      <c r="Z5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0" spans="1:26" x14ac:dyDescent="0.2">
      <c r="A580" t="str">
        <f>IF(DataTable[[#This Row],[Tm.]]="","N/A",DataTable[[#This Row],[Tm.]])</f>
        <v>N/A</v>
      </c>
      <c r="B580" t="str">
        <f>IF(DataTable[[#This Row],[Match Nr.]]="","N/A",DataTable[[#This Row],[Match Nr.]])</f>
        <v>N/A</v>
      </c>
      <c r="C5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0" t="str">
        <f>IF(AND(DataTable[[#This Row],[Successful Lo. G. S]]="",DataTable[[#This Row],[Successful Hi. G. S.]]=""),"N/A",DataTable[[#This Row],[Successful Lo. G. S]]*2+DataTable[[#This Row],[Successful Hi. G. S.]]*10)</f>
        <v>N/A</v>
      </c>
      <c r="H5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0" s="11" t="str">
        <f>IF(DataTable[[#This Row],[Lo. B. Successful Xings.]]="","N/A",SUM(ProcessedData[[#This Row],[Lo. B. Ti.]],DataTable[[#This Row],[Lo. B. Successful Xings.]]+1))</f>
        <v>N/A</v>
      </c>
      <c r="Z5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1" spans="1:26" x14ac:dyDescent="0.2">
      <c r="A581" t="str">
        <f>IF(DataTable[[#This Row],[Tm.]]="","N/A",DataTable[[#This Row],[Tm.]])</f>
        <v>N/A</v>
      </c>
      <c r="B581" t="str">
        <f>IF(DataTable[[#This Row],[Match Nr.]]="","N/A",DataTable[[#This Row],[Match Nr.]])</f>
        <v>N/A</v>
      </c>
      <c r="C5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1" t="str">
        <f>IF(AND(DataTable[[#This Row],[Successful Lo. G. S]]="",DataTable[[#This Row],[Successful Hi. G. S.]]=""),"N/A",DataTable[[#This Row],[Successful Lo. G. S]]*2+DataTable[[#This Row],[Successful Hi. G. S.]]*10)</f>
        <v>N/A</v>
      </c>
      <c r="H5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1" s="11" t="str">
        <f>IF(DataTable[[#This Row],[Lo. B. Successful Xings.]]="","N/A",SUM(ProcessedData[[#This Row],[Lo. B. Ti.]],DataTable[[#This Row],[Lo. B. Successful Xings.]]+1))</f>
        <v>N/A</v>
      </c>
      <c r="Z5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2" spans="1:26" x14ac:dyDescent="0.2">
      <c r="A582" t="str">
        <f>IF(DataTable[[#This Row],[Tm.]]="","N/A",DataTable[[#This Row],[Tm.]])</f>
        <v>N/A</v>
      </c>
      <c r="B582" t="str">
        <f>IF(DataTable[[#This Row],[Match Nr.]]="","N/A",DataTable[[#This Row],[Match Nr.]])</f>
        <v>N/A</v>
      </c>
      <c r="C5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2" t="str">
        <f>IF(AND(DataTable[[#This Row],[Successful Lo. G. S]]="",DataTable[[#This Row],[Successful Hi. G. S.]]=""),"N/A",DataTable[[#This Row],[Successful Lo. G. S]]*2+DataTable[[#This Row],[Successful Hi. G. S.]]*10)</f>
        <v>N/A</v>
      </c>
      <c r="H5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2" s="11" t="str">
        <f>IF(DataTable[[#This Row],[Lo. B. Successful Xings.]]="","N/A",SUM(ProcessedData[[#This Row],[Lo. B. Ti.]],DataTable[[#This Row],[Lo. B. Successful Xings.]]+1))</f>
        <v>N/A</v>
      </c>
      <c r="Z5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3" spans="1:26" x14ac:dyDescent="0.2">
      <c r="A583" t="str">
        <f>IF(DataTable[[#This Row],[Tm.]]="","N/A",DataTable[[#This Row],[Tm.]])</f>
        <v>N/A</v>
      </c>
      <c r="B583" t="str">
        <f>IF(DataTable[[#This Row],[Match Nr.]]="","N/A",DataTable[[#This Row],[Match Nr.]])</f>
        <v>N/A</v>
      </c>
      <c r="C5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3" t="str">
        <f>IF(AND(DataTable[[#This Row],[Successful Lo. G. S]]="",DataTable[[#This Row],[Successful Hi. G. S.]]=""),"N/A",DataTable[[#This Row],[Successful Lo. G. S]]*2+DataTable[[#This Row],[Successful Hi. G. S.]]*10)</f>
        <v>N/A</v>
      </c>
      <c r="H5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3" s="11" t="str">
        <f>IF(DataTable[[#This Row],[Lo. B. Successful Xings.]]="","N/A",SUM(ProcessedData[[#This Row],[Lo. B. Ti.]],DataTable[[#This Row],[Lo. B. Successful Xings.]]+1))</f>
        <v>N/A</v>
      </c>
      <c r="Z5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4" spans="1:26" x14ac:dyDescent="0.2">
      <c r="A584" t="str">
        <f>IF(DataTable[[#This Row],[Tm.]]="","N/A",DataTable[[#This Row],[Tm.]])</f>
        <v>N/A</v>
      </c>
      <c r="B584" t="str">
        <f>IF(DataTable[[#This Row],[Match Nr.]]="","N/A",DataTable[[#This Row],[Match Nr.]])</f>
        <v>N/A</v>
      </c>
      <c r="C5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4" t="str">
        <f>IF(AND(DataTable[[#This Row],[Successful Lo. G. S]]="",DataTable[[#This Row],[Successful Hi. G. S.]]=""),"N/A",DataTable[[#This Row],[Successful Lo. G. S]]*2+DataTable[[#This Row],[Successful Hi. G. S.]]*10)</f>
        <v>N/A</v>
      </c>
      <c r="H5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4" s="11" t="str">
        <f>IF(DataTable[[#This Row],[Lo. B. Successful Xings.]]="","N/A",SUM(ProcessedData[[#This Row],[Lo. B. Ti.]],DataTable[[#This Row],[Lo. B. Successful Xings.]]+1))</f>
        <v>N/A</v>
      </c>
      <c r="Z5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5" spans="1:26" x14ac:dyDescent="0.2">
      <c r="A585" t="str">
        <f>IF(DataTable[[#This Row],[Tm.]]="","N/A",DataTable[[#This Row],[Tm.]])</f>
        <v>N/A</v>
      </c>
      <c r="B585" t="str">
        <f>IF(DataTable[[#This Row],[Match Nr.]]="","N/A",DataTable[[#This Row],[Match Nr.]])</f>
        <v>N/A</v>
      </c>
      <c r="C5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5" t="str">
        <f>IF(AND(DataTable[[#This Row],[Successful Lo. G. S]]="",DataTable[[#This Row],[Successful Hi. G. S.]]=""),"N/A",DataTable[[#This Row],[Successful Lo. G. S]]*2+DataTable[[#This Row],[Successful Hi. G. S.]]*10)</f>
        <v>N/A</v>
      </c>
      <c r="H5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5" s="11" t="str">
        <f>IF(DataTable[[#This Row],[Lo. B. Successful Xings.]]="","N/A",SUM(ProcessedData[[#This Row],[Lo. B. Ti.]],DataTable[[#This Row],[Lo. B. Successful Xings.]]+1))</f>
        <v>N/A</v>
      </c>
      <c r="Z5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6" spans="1:26" x14ac:dyDescent="0.2">
      <c r="A586" t="str">
        <f>IF(DataTable[[#This Row],[Tm.]]="","N/A",DataTable[[#This Row],[Tm.]])</f>
        <v>N/A</v>
      </c>
      <c r="B586" t="str">
        <f>IF(DataTable[[#This Row],[Match Nr.]]="","N/A",DataTable[[#This Row],[Match Nr.]])</f>
        <v>N/A</v>
      </c>
      <c r="C5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6" t="str">
        <f>IF(AND(DataTable[[#This Row],[Successful Lo. G. S]]="",DataTable[[#This Row],[Successful Hi. G. S.]]=""),"N/A",DataTable[[#This Row],[Successful Lo. G. S]]*2+DataTable[[#This Row],[Successful Hi. G. S.]]*10)</f>
        <v>N/A</v>
      </c>
      <c r="H5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6" s="11" t="str">
        <f>IF(DataTable[[#This Row],[Lo. B. Successful Xings.]]="","N/A",SUM(ProcessedData[[#This Row],[Lo. B. Ti.]],DataTable[[#This Row],[Lo. B. Successful Xings.]]+1))</f>
        <v>N/A</v>
      </c>
      <c r="Z5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7" spans="1:26" x14ac:dyDescent="0.2">
      <c r="A587" t="str">
        <f>IF(DataTable[[#This Row],[Tm.]]="","N/A",DataTable[[#This Row],[Tm.]])</f>
        <v>N/A</v>
      </c>
      <c r="B587" t="str">
        <f>IF(DataTable[[#This Row],[Match Nr.]]="","N/A",DataTable[[#This Row],[Match Nr.]])</f>
        <v>N/A</v>
      </c>
      <c r="C5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7" t="str">
        <f>IF(AND(DataTable[[#This Row],[Successful Lo. G. S]]="",DataTable[[#This Row],[Successful Hi. G. S.]]=""),"N/A",DataTable[[#This Row],[Successful Lo. G. S]]*2+DataTable[[#This Row],[Successful Hi. G. S.]]*10)</f>
        <v>N/A</v>
      </c>
      <c r="H5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7" s="11" t="str">
        <f>IF(DataTable[[#This Row],[Lo. B. Successful Xings.]]="","N/A",SUM(ProcessedData[[#This Row],[Lo. B. Ti.]],DataTable[[#This Row],[Lo. B. Successful Xings.]]+1))</f>
        <v>N/A</v>
      </c>
      <c r="Z5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8" spans="1:26" x14ac:dyDescent="0.2">
      <c r="A588" t="str">
        <f>IF(DataTable[[#This Row],[Tm.]]="","N/A",DataTable[[#This Row],[Tm.]])</f>
        <v>N/A</v>
      </c>
      <c r="B588" t="str">
        <f>IF(DataTable[[#This Row],[Match Nr.]]="","N/A",DataTable[[#This Row],[Match Nr.]])</f>
        <v>N/A</v>
      </c>
      <c r="C5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8" t="str">
        <f>IF(AND(DataTable[[#This Row],[Successful Lo. G. S]]="",DataTable[[#This Row],[Successful Hi. G. S.]]=""),"N/A",DataTable[[#This Row],[Successful Lo. G. S]]*2+DataTable[[#This Row],[Successful Hi. G. S.]]*10)</f>
        <v>N/A</v>
      </c>
      <c r="H5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8" s="11" t="str">
        <f>IF(DataTable[[#This Row],[Lo. B. Successful Xings.]]="","N/A",SUM(ProcessedData[[#This Row],[Lo. B. Ti.]],DataTable[[#This Row],[Lo. B. Successful Xings.]]+1))</f>
        <v>N/A</v>
      </c>
      <c r="Z5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89" spans="1:26" x14ac:dyDescent="0.2">
      <c r="A589" t="str">
        <f>IF(DataTable[[#This Row],[Tm.]]="","N/A",DataTable[[#This Row],[Tm.]])</f>
        <v>N/A</v>
      </c>
      <c r="B589" t="str">
        <f>IF(DataTable[[#This Row],[Match Nr.]]="","N/A",DataTable[[#This Row],[Match Nr.]])</f>
        <v>N/A</v>
      </c>
      <c r="C5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89" t="str">
        <f>IF(AND(DataTable[[#This Row],[Successful Lo. G. S]]="",DataTable[[#This Row],[Successful Hi. G. S.]]=""),"N/A",DataTable[[#This Row],[Successful Lo. G. S]]*2+DataTable[[#This Row],[Successful Hi. G. S.]]*10)</f>
        <v>N/A</v>
      </c>
      <c r="H5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89" s="11" t="str">
        <f>IF(DataTable[[#This Row],[Lo. B. Successful Xings.]]="","N/A",SUM(ProcessedData[[#This Row],[Lo. B. Ti.]],DataTable[[#This Row],[Lo. B. Successful Xings.]]+1))</f>
        <v>N/A</v>
      </c>
      <c r="Z5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0" spans="1:26" x14ac:dyDescent="0.2">
      <c r="A590" t="str">
        <f>IF(DataTable[[#This Row],[Tm.]]="","N/A",DataTable[[#This Row],[Tm.]])</f>
        <v>N/A</v>
      </c>
      <c r="B590" t="str">
        <f>IF(DataTable[[#This Row],[Match Nr.]]="","N/A",DataTable[[#This Row],[Match Nr.]])</f>
        <v>N/A</v>
      </c>
      <c r="C5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0" t="str">
        <f>IF(AND(DataTable[[#This Row],[Successful Lo. G. S]]="",DataTable[[#This Row],[Successful Hi. G. S.]]=""),"N/A",DataTable[[#This Row],[Successful Lo. G. S]]*2+DataTable[[#This Row],[Successful Hi. G. S.]]*10)</f>
        <v>N/A</v>
      </c>
      <c r="H5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0" s="11" t="str">
        <f>IF(DataTable[[#This Row],[Lo. B. Successful Xings.]]="","N/A",SUM(ProcessedData[[#This Row],[Lo. B. Ti.]],DataTable[[#This Row],[Lo. B. Successful Xings.]]+1))</f>
        <v>N/A</v>
      </c>
      <c r="Z5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1" spans="1:26" x14ac:dyDescent="0.2">
      <c r="A591" t="str">
        <f>IF(DataTable[[#This Row],[Tm.]]="","N/A",DataTable[[#This Row],[Tm.]])</f>
        <v>N/A</v>
      </c>
      <c r="B591" t="str">
        <f>IF(DataTable[[#This Row],[Match Nr.]]="","N/A",DataTable[[#This Row],[Match Nr.]])</f>
        <v>N/A</v>
      </c>
      <c r="C5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1" t="str">
        <f>IF(AND(DataTable[[#This Row],[Successful Lo. G. S]]="",DataTable[[#This Row],[Successful Hi. G. S.]]=""),"N/A",DataTable[[#This Row],[Successful Lo. G. S]]*2+DataTable[[#This Row],[Successful Hi. G. S.]]*10)</f>
        <v>N/A</v>
      </c>
      <c r="H5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1" s="11" t="str">
        <f>IF(DataTable[[#This Row],[Lo. B. Successful Xings.]]="","N/A",SUM(ProcessedData[[#This Row],[Lo. B. Ti.]],DataTable[[#This Row],[Lo. B. Successful Xings.]]+1))</f>
        <v>N/A</v>
      </c>
      <c r="Z5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2" spans="1:26" x14ac:dyDescent="0.2">
      <c r="A592" t="str">
        <f>IF(DataTable[[#This Row],[Tm.]]="","N/A",DataTable[[#This Row],[Tm.]])</f>
        <v>N/A</v>
      </c>
      <c r="B592" t="str">
        <f>IF(DataTable[[#This Row],[Match Nr.]]="","N/A",DataTable[[#This Row],[Match Nr.]])</f>
        <v>N/A</v>
      </c>
      <c r="C5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2" t="str">
        <f>IF(AND(DataTable[[#This Row],[Successful Lo. G. S]]="",DataTable[[#This Row],[Successful Hi. G. S.]]=""),"N/A",DataTable[[#This Row],[Successful Lo. G. S]]*2+DataTable[[#This Row],[Successful Hi. G. S.]]*10)</f>
        <v>N/A</v>
      </c>
      <c r="H5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2" s="11" t="str">
        <f>IF(DataTable[[#This Row],[Lo. B. Successful Xings.]]="","N/A",SUM(ProcessedData[[#This Row],[Lo. B. Ti.]],DataTable[[#This Row],[Lo. B. Successful Xings.]]+1))</f>
        <v>N/A</v>
      </c>
      <c r="Z5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3" spans="1:26" x14ac:dyDescent="0.2">
      <c r="A593" t="str">
        <f>IF(DataTable[[#This Row],[Tm.]]="","N/A",DataTable[[#This Row],[Tm.]])</f>
        <v>N/A</v>
      </c>
      <c r="B593" t="str">
        <f>IF(DataTable[[#This Row],[Match Nr.]]="","N/A",DataTable[[#This Row],[Match Nr.]])</f>
        <v>N/A</v>
      </c>
      <c r="C5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3" t="str">
        <f>IF(AND(DataTable[[#This Row],[Successful Lo. G. S]]="",DataTable[[#This Row],[Successful Hi. G. S.]]=""),"N/A",DataTable[[#This Row],[Successful Lo. G. S]]*2+DataTable[[#This Row],[Successful Hi. G. S.]]*10)</f>
        <v>N/A</v>
      </c>
      <c r="H5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3" s="11" t="str">
        <f>IF(DataTable[[#This Row],[Lo. B. Successful Xings.]]="","N/A",SUM(ProcessedData[[#This Row],[Lo. B. Ti.]],DataTable[[#This Row],[Lo. B. Successful Xings.]]+1))</f>
        <v>N/A</v>
      </c>
      <c r="Z5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4" spans="1:26" x14ac:dyDescent="0.2">
      <c r="A594" t="str">
        <f>IF(DataTable[[#This Row],[Tm.]]="","N/A",DataTable[[#This Row],[Tm.]])</f>
        <v>N/A</v>
      </c>
      <c r="B594" t="str">
        <f>IF(DataTable[[#This Row],[Match Nr.]]="","N/A",DataTable[[#This Row],[Match Nr.]])</f>
        <v>N/A</v>
      </c>
      <c r="C5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4" t="str">
        <f>IF(AND(DataTable[[#This Row],[Successful Lo. G. S]]="",DataTable[[#This Row],[Successful Hi. G. S.]]=""),"N/A",DataTable[[#This Row],[Successful Lo. G. S]]*2+DataTable[[#This Row],[Successful Hi. G. S.]]*10)</f>
        <v>N/A</v>
      </c>
      <c r="H5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4" s="11" t="str">
        <f>IF(DataTable[[#This Row],[Lo. B. Successful Xings.]]="","N/A",SUM(ProcessedData[[#This Row],[Lo. B. Ti.]],DataTable[[#This Row],[Lo. B. Successful Xings.]]+1))</f>
        <v>N/A</v>
      </c>
      <c r="Z5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5" spans="1:26" x14ac:dyDescent="0.2">
      <c r="A595" t="str">
        <f>IF(DataTable[[#This Row],[Tm.]]="","N/A",DataTable[[#This Row],[Tm.]])</f>
        <v>N/A</v>
      </c>
      <c r="B595" t="str">
        <f>IF(DataTable[[#This Row],[Match Nr.]]="","N/A",DataTable[[#This Row],[Match Nr.]])</f>
        <v>N/A</v>
      </c>
      <c r="C5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5" t="str">
        <f>IF(AND(DataTable[[#This Row],[Successful Lo. G. S]]="",DataTable[[#This Row],[Successful Hi. G. S.]]=""),"N/A",DataTable[[#This Row],[Successful Lo. G. S]]*2+DataTable[[#This Row],[Successful Hi. G. S.]]*10)</f>
        <v>N/A</v>
      </c>
      <c r="H5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5" s="11" t="str">
        <f>IF(DataTable[[#This Row],[Lo. B. Successful Xings.]]="","N/A",SUM(ProcessedData[[#This Row],[Lo. B. Ti.]],DataTable[[#This Row],[Lo. B. Successful Xings.]]+1))</f>
        <v>N/A</v>
      </c>
      <c r="Z5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6" spans="1:26" x14ac:dyDescent="0.2">
      <c r="A596" t="str">
        <f>IF(DataTable[[#This Row],[Tm.]]="","N/A",DataTable[[#This Row],[Tm.]])</f>
        <v>N/A</v>
      </c>
      <c r="B596" t="str">
        <f>IF(DataTable[[#This Row],[Match Nr.]]="","N/A",DataTable[[#This Row],[Match Nr.]])</f>
        <v>N/A</v>
      </c>
      <c r="C5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6" t="str">
        <f>IF(AND(DataTable[[#This Row],[Successful Lo. G. S]]="",DataTable[[#This Row],[Successful Hi. G. S.]]=""),"N/A",DataTable[[#This Row],[Successful Lo. G. S]]*2+DataTable[[#This Row],[Successful Hi. G. S.]]*10)</f>
        <v>N/A</v>
      </c>
      <c r="H5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6" s="11" t="str">
        <f>IF(DataTable[[#This Row],[Lo. B. Successful Xings.]]="","N/A",SUM(ProcessedData[[#This Row],[Lo. B. Ti.]],DataTable[[#This Row],[Lo. B. Successful Xings.]]+1))</f>
        <v>N/A</v>
      </c>
      <c r="Z5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7" spans="1:26" x14ac:dyDescent="0.2">
      <c r="A597" t="str">
        <f>IF(DataTable[[#This Row],[Tm.]]="","N/A",DataTable[[#This Row],[Tm.]])</f>
        <v>N/A</v>
      </c>
      <c r="B597" t="str">
        <f>IF(DataTable[[#This Row],[Match Nr.]]="","N/A",DataTable[[#This Row],[Match Nr.]])</f>
        <v>N/A</v>
      </c>
      <c r="C5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7" t="str">
        <f>IF(AND(DataTable[[#This Row],[Successful Lo. G. S]]="",DataTable[[#This Row],[Successful Hi. G. S.]]=""),"N/A",DataTable[[#This Row],[Successful Lo. G. S]]*2+DataTable[[#This Row],[Successful Hi. G. S.]]*10)</f>
        <v>N/A</v>
      </c>
      <c r="H5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7" s="11" t="str">
        <f>IF(DataTable[[#This Row],[Lo. B. Successful Xings.]]="","N/A",SUM(ProcessedData[[#This Row],[Lo. B. Ti.]],DataTable[[#This Row],[Lo. B. Successful Xings.]]+1))</f>
        <v>N/A</v>
      </c>
      <c r="Z5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8" spans="1:26" x14ac:dyDescent="0.2">
      <c r="A598" t="str">
        <f>IF(DataTable[[#This Row],[Tm.]]="","N/A",DataTable[[#This Row],[Tm.]])</f>
        <v>N/A</v>
      </c>
      <c r="B598" t="str">
        <f>IF(DataTable[[#This Row],[Match Nr.]]="","N/A",DataTable[[#This Row],[Match Nr.]])</f>
        <v>N/A</v>
      </c>
      <c r="C5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8" t="str">
        <f>IF(AND(DataTable[[#This Row],[Successful Lo. G. S]]="",DataTable[[#This Row],[Successful Hi. G. S.]]=""),"N/A",DataTable[[#This Row],[Successful Lo. G. S]]*2+DataTable[[#This Row],[Successful Hi. G. S.]]*10)</f>
        <v>N/A</v>
      </c>
      <c r="H5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8" s="11" t="str">
        <f>IF(DataTable[[#This Row],[Lo. B. Successful Xings.]]="","N/A",SUM(ProcessedData[[#This Row],[Lo. B. Ti.]],DataTable[[#This Row],[Lo. B. Successful Xings.]]+1))</f>
        <v>N/A</v>
      </c>
      <c r="Z5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599" spans="1:26" x14ac:dyDescent="0.2">
      <c r="A599" t="str">
        <f>IF(DataTable[[#This Row],[Tm.]]="","N/A",DataTable[[#This Row],[Tm.]])</f>
        <v>N/A</v>
      </c>
      <c r="B599" t="str">
        <f>IF(DataTable[[#This Row],[Match Nr.]]="","N/A",DataTable[[#This Row],[Match Nr.]])</f>
        <v>N/A</v>
      </c>
      <c r="C5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5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5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5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599" t="str">
        <f>IF(AND(DataTable[[#This Row],[Successful Lo. G. S]]="",DataTable[[#This Row],[Successful Hi. G. S.]]=""),"N/A",DataTable[[#This Row],[Successful Lo. G. S]]*2+DataTable[[#This Row],[Successful Hi. G. S.]]*10)</f>
        <v>N/A</v>
      </c>
      <c r="H5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5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5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5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5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5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5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5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5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5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5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5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5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5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5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5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599" s="11" t="str">
        <f>IF(DataTable[[#This Row],[Lo. B. Successful Xings.]]="","N/A",SUM(ProcessedData[[#This Row],[Lo. B. Ti.]],DataTable[[#This Row],[Lo. B. Successful Xings.]]+1))</f>
        <v>N/A</v>
      </c>
      <c r="Z5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0" spans="1:26" x14ac:dyDescent="0.2">
      <c r="A600" t="str">
        <f>IF(DataTable[[#This Row],[Tm.]]="","N/A",DataTable[[#This Row],[Tm.]])</f>
        <v>N/A</v>
      </c>
      <c r="B600" t="str">
        <f>IF(DataTable[[#This Row],[Match Nr.]]="","N/A",DataTable[[#This Row],[Match Nr.]])</f>
        <v>N/A</v>
      </c>
      <c r="C6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0" t="str">
        <f>IF(AND(DataTable[[#This Row],[Successful Lo. G. S]]="",DataTable[[#This Row],[Successful Hi. G. S.]]=""),"N/A",DataTable[[#This Row],[Successful Lo. G. S]]*2+DataTable[[#This Row],[Successful Hi. G. S.]]*10)</f>
        <v>N/A</v>
      </c>
      <c r="H6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0" s="11" t="str">
        <f>IF(DataTable[[#This Row],[Lo. B. Successful Xings.]]="","N/A",SUM(ProcessedData[[#This Row],[Lo. B. Ti.]],DataTable[[#This Row],[Lo. B. Successful Xings.]]+1))</f>
        <v>N/A</v>
      </c>
      <c r="Z6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1" spans="1:26" x14ac:dyDescent="0.2">
      <c r="A601" t="str">
        <f>IF(DataTable[[#This Row],[Tm.]]="","N/A",DataTable[[#This Row],[Tm.]])</f>
        <v>N/A</v>
      </c>
      <c r="B601" t="str">
        <f>IF(DataTable[[#This Row],[Match Nr.]]="","N/A",DataTable[[#This Row],[Match Nr.]])</f>
        <v>N/A</v>
      </c>
      <c r="C6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1" t="str">
        <f>IF(AND(DataTable[[#This Row],[Successful Lo. G. S]]="",DataTable[[#This Row],[Successful Hi. G. S.]]=""),"N/A",DataTable[[#This Row],[Successful Lo. G. S]]*2+DataTable[[#This Row],[Successful Hi. G. S.]]*10)</f>
        <v>N/A</v>
      </c>
      <c r="H6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1" s="11" t="str">
        <f>IF(DataTable[[#This Row],[Lo. B. Successful Xings.]]="","N/A",SUM(ProcessedData[[#This Row],[Lo. B. Ti.]],DataTable[[#This Row],[Lo. B. Successful Xings.]]+1))</f>
        <v>N/A</v>
      </c>
      <c r="Z6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2" spans="1:26" x14ac:dyDescent="0.2">
      <c r="A602" t="str">
        <f>IF(DataTable[[#This Row],[Tm.]]="","N/A",DataTable[[#This Row],[Tm.]])</f>
        <v>N/A</v>
      </c>
      <c r="B602" t="str">
        <f>IF(DataTable[[#This Row],[Match Nr.]]="","N/A",DataTable[[#This Row],[Match Nr.]])</f>
        <v>N/A</v>
      </c>
      <c r="C6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2" t="str">
        <f>IF(AND(DataTable[[#This Row],[Successful Lo. G. S]]="",DataTable[[#This Row],[Successful Hi. G. S.]]=""),"N/A",DataTable[[#This Row],[Successful Lo. G. S]]*2+DataTable[[#This Row],[Successful Hi. G. S.]]*10)</f>
        <v>N/A</v>
      </c>
      <c r="H6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2" s="11" t="str">
        <f>IF(DataTable[[#This Row],[Lo. B. Successful Xings.]]="","N/A",SUM(ProcessedData[[#This Row],[Lo. B. Ti.]],DataTable[[#This Row],[Lo. B. Successful Xings.]]+1))</f>
        <v>N/A</v>
      </c>
      <c r="Z6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3" spans="1:26" x14ac:dyDescent="0.2">
      <c r="A603" t="str">
        <f>IF(DataTable[[#This Row],[Tm.]]="","N/A",DataTable[[#This Row],[Tm.]])</f>
        <v>N/A</v>
      </c>
      <c r="B603" t="str">
        <f>IF(DataTable[[#This Row],[Match Nr.]]="","N/A",DataTable[[#This Row],[Match Nr.]])</f>
        <v>N/A</v>
      </c>
      <c r="C6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3" t="str">
        <f>IF(AND(DataTable[[#This Row],[Successful Lo. G. S]]="",DataTable[[#This Row],[Successful Hi. G. S.]]=""),"N/A",DataTable[[#This Row],[Successful Lo. G. S]]*2+DataTable[[#This Row],[Successful Hi. G. S.]]*10)</f>
        <v>N/A</v>
      </c>
      <c r="H6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3" s="11" t="str">
        <f>IF(DataTable[[#This Row],[Lo. B. Successful Xings.]]="","N/A",SUM(ProcessedData[[#This Row],[Lo. B. Ti.]],DataTable[[#This Row],[Lo. B. Successful Xings.]]+1))</f>
        <v>N/A</v>
      </c>
      <c r="Z6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4" spans="1:26" x14ac:dyDescent="0.2">
      <c r="A604" t="str">
        <f>IF(DataTable[[#This Row],[Tm.]]="","N/A",DataTable[[#This Row],[Tm.]])</f>
        <v>N/A</v>
      </c>
      <c r="B604" t="str">
        <f>IF(DataTable[[#This Row],[Match Nr.]]="","N/A",DataTable[[#This Row],[Match Nr.]])</f>
        <v>N/A</v>
      </c>
      <c r="C6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4" t="str">
        <f>IF(AND(DataTable[[#This Row],[Successful Lo. G. S]]="",DataTable[[#This Row],[Successful Hi. G. S.]]=""),"N/A",DataTable[[#This Row],[Successful Lo. G. S]]*2+DataTable[[#This Row],[Successful Hi. G. S.]]*10)</f>
        <v>N/A</v>
      </c>
      <c r="H6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4" s="11" t="str">
        <f>IF(DataTable[[#This Row],[Lo. B. Successful Xings.]]="","N/A",SUM(ProcessedData[[#This Row],[Lo. B. Ti.]],DataTable[[#This Row],[Lo. B. Successful Xings.]]+1))</f>
        <v>N/A</v>
      </c>
      <c r="Z6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5" spans="1:26" x14ac:dyDescent="0.2">
      <c r="A605" t="str">
        <f>IF(DataTable[[#This Row],[Tm.]]="","N/A",DataTable[[#This Row],[Tm.]])</f>
        <v>N/A</v>
      </c>
      <c r="B605" t="str">
        <f>IF(DataTable[[#This Row],[Match Nr.]]="","N/A",DataTable[[#This Row],[Match Nr.]])</f>
        <v>N/A</v>
      </c>
      <c r="C6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5" t="str">
        <f>IF(AND(DataTable[[#This Row],[Successful Lo. G. S]]="",DataTable[[#This Row],[Successful Hi. G. S.]]=""),"N/A",DataTable[[#This Row],[Successful Lo. G. S]]*2+DataTable[[#This Row],[Successful Hi. G. S.]]*10)</f>
        <v>N/A</v>
      </c>
      <c r="H6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5" s="11" t="str">
        <f>IF(DataTable[[#This Row],[Lo. B. Successful Xings.]]="","N/A",SUM(ProcessedData[[#This Row],[Lo. B. Ti.]],DataTable[[#This Row],[Lo. B. Successful Xings.]]+1))</f>
        <v>N/A</v>
      </c>
      <c r="Z6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6" spans="1:26" x14ac:dyDescent="0.2">
      <c r="A606" t="str">
        <f>IF(DataTable[[#This Row],[Tm.]]="","N/A",DataTable[[#This Row],[Tm.]])</f>
        <v>N/A</v>
      </c>
      <c r="B606" t="str">
        <f>IF(DataTable[[#This Row],[Match Nr.]]="","N/A",DataTable[[#This Row],[Match Nr.]])</f>
        <v>N/A</v>
      </c>
      <c r="C6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6" t="str">
        <f>IF(AND(DataTable[[#This Row],[Successful Lo. G. S]]="",DataTable[[#This Row],[Successful Hi. G. S.]]=""),"N/A",DataTable[[#This Row],[Successful Lo. G. S]]*2+DataTable[[#This Row],[Successful Hi. G. S.]]*10)</f>
        <v>N/A</v>
      </c>
      <c r="H6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6" s="11" t="str">
        <f>IF(DataTable[[#This Row],[Lo. B. Successful Xings.]]="","N/A",SUM(ProcessedData[[#This Row],[Lo. B. Ti.]],DataTable[[#This Row],[Lo. B. Successful Xings.]]+1))</f>
        <v>N/A</v>
      </c>
      <c r="Z6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7" spans="1:26" x14ac:dyDescent="0.2">
      <c r="A607" t="str">
        <f>IF(DataTable[[#This Row],[Tm.]]="","N/A",DataTable[[#This Row],[Tm.]])</f>
        <v>N/A</v>
      </c>
      <c r="B607" t="str">
        <f>IF(DataTable[[#This Row],[Match Nr.]]="","N/A",DataTable[[#This Row],[Match Nr.]])</f>
        <v>N/A</v>
      </c>
      <c r="C6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7" t="str">
        <f>IF(AND(DataTable[[#This Row],[Successful Lo. G. S]]="",DataTable[[#This Row],[Successful Hi. G. S.]]=""),"N/A",DataTable[[#This Row],[Successful Lo. G. S]]*2+DataTable[[#This Row],[Successful Hi. G. S.]]*10)</f>
        <v>N/A</v>
      </c>
      <c r="H6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7" s="11" t="str">
        <f>IF(DataTable[[#This Row],[Lo. B. Successful Xings.]]="","N/A",SUM(ProcessedData[[#This Row],[Lo. B. Ti.]],DataTable[[#This Row],[Lo. B. Successful Xings.]]+1))</f>
        <v>N/A</v>
      </c>
      <c r="Z6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8" spans="1:26" x14ac:dyDescent="0.2">
      <c r="A608" t="str">
        <f>IF(DataTable[[#This Row],[Tm.]]="","N/A",DataTable[[#This Row],[Tm.]])</f>
        <v>N/A</v>
      </c>
      <c r="B608" t="str">
        <f>IF(DataTable[[#This Row],[Match Nr.]]="","N/A",DataTable[[#This Row],[Match Nr.]])</f>
        <v>N/A</v>
      </c>
      <c r="C6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8" t="str">
        <f>IF(AND(DataTable[[#This Row],[Successful Lo. G. S]]="",DataTable[[#This Row],[Successful Hi. G. S.]]=""),"N/A",DataTable[[#This Row],[Successful Lo. G. S]]*2+DataTable[[#This Row],[Successful Hi. G. S.]]*10)</f>
        <v>N/A</v>
      </c>
      <c r="H6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8" s="11" t="str">
        <f>IF(DataTable[[#This Row],[Lo. B. Successful Xings.]]="","N/A",SUM(ProcessedData[[#This Row],[Lo. B. Ti.]],DataTable[[#This Row],[Lo. B. Successful Xings.]]+1))</f>
        <v>N/A</v>
      </c>
      <c r="Z6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09" spans="1:26" x14ac:dyDescent="0.2">
      <c r="A609" t="str">
        <f>IF(DataTable[[#This Row],[Tm.]]="","N/A",DataTable[[#This Row],[Tm.]])</f>
        <v>N/A</v>
      </c>
      <c r="B609" t="str">
        <f>IF(DataTable[[#This Row],[Match Nr.]]="","N/A",DataTable[[#This Row],[Match Nr.]])</f>
        <v>N/A</v>
      </c>
      <c r="C6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09" t="str">
        <f>IF(AND(DataTable[[#This Row],[Successful Lo. G. S]]="",DataTable[[#This Row],[Successful Hi. G. S.]]=""),"N/A",DataTable[[#This Row],[Successful Lo. G. S]]*2+DataTable[[#This Row],[Successful Hi. G. S.]]*10)</f>
        <v>N/A</v>
      </c>
      <c r="H6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09" s="11" t="str">
        <f>IF(DataTable[[#This Row],[Lo. B. Successful Xings.]]="","N/A",SUM(ProcessedData[[#This Row],[Lo. B. Ti.]],DataTable[[#This Row],[Lo. B. Successful Xings.]]+1))</f>
        <v>N/A</v>
      </c>
      <c r="Z6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0" spans="1:26" x14ac:dyDescent="0.2">
      <c r="A610" t="str">
        <f>IF(DataTable[[#This Row],[Tm.]]="","N/A",DataTable[[#This Row],[Tm.]])</f>
        <v>N/A</v>
      </c>
      <c r="B610" t="str">
        <f>IF(DataTable[[#This Row],[Match Nr.]]="","N/A",DataTable[[#This Row],[Match Nr.]])</f>
        <v>N/A</v>
      </c>
      <c r="C6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0" t="str">
        <f>IF(AND(DataTable[[#This Row],[Successful Lo. G. S]]="",DataTable[[#This Row],[Successful Hi. G. S.]]=""),"N/A",DataTable[[#This Row],[Successful Lo. G. S]]*2+DataTable[[#This Row],[Successful Hi. G. S.]]*10)</f>
        <v>N/A</v>
      </c>
      <c r="H6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0" s="11" t="str">
        <f>IF(DataTable[[#This Row],[Lo. B. Successful Xings.]]="","N/A",SUM(ProcessedData[[#This Row],[Lo. B. Ti.]],DataTable[[#This Row],[Lo. B. Successful Xings.]]+1))</f>
        <v>N/A</v>
      </c>
      <c r="Z6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1" spans="1:26" x14ac:dyDescent="0.2">
      <c r="A611" t="str">
        <f>IF(DataTable[[#This Row],[Tm.]]="","N/A",DataTable[[#This Row],[Tm.]])</f>
        <v>N/A</v>
      </c>
      <c r="B611" t="str">
        <f>IF(DataTable[[#This Row],[Match Nr.]]="","N/A",DataTable[[#This Row],[Match Nr.]])</f>
        <v>N/A</v>
      </c>
      <c r="C6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1" t="str">
        <f>IF(AND(DataTable[[#This Row],[Successful Lo. G. S]]="",DataTable[[#This Row],[Successful Hi. G. S.]]=""),"N/A",DataTable[[#This Row],[Successful Lo. G. S]]*2+DataTable[[#This Row],[Successful Hi. G. S.]]*10)</f>
        <v>N/A</v>
      </c>
      <c r="H6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1" s="11" t="str">
        <f>IF(DataTable[[#This Row],[Lo. B. Successful Xings.]]="","N/A",SUM(ProcessedData[[#This Row],[Lo. B. Ti.]],DataTable[[#This Row],[Lo. B. Successful Xings.]]+1))</f>
        <v>N/A</v>
      </c>
      <c r="Z6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2" spans="1:26" x14ac:dyDescent="0.2">
      <c r="A612" t="str">
        <f>IF(DataTable[[#This Row],[Tm.]]="","N/A",DataTable[[#This Row],[Tm.]])</f>
        <v>N/A</v>
      </c>
      <c r="B612" t="str">
        <f>IF(DataTable[[#This Row],[Match Nr.]]="","N/A",DataTable[[#This Row],[Match Nr.]])</f>
        <v>N/A</v>
      </c>
      <c r="C6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2" t="str">
        <f>IF(AND(DataTable[[#This Row],[Successful Lo. G. S]]="",DataTable[[#This Row],[Successful Hi. G. S.]]=""),"N/A",DataTable[[#This Row],[Successful Lo. G. S]]*2+DataTable[[#This Row],[Successful Hi. G. S.]]*10)</f>
        <v>N/A</v>
      </c>
      <c r="H6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2" s="11" t="str">
        <f>IF(DataTable[[#This Row],[Lo. B. Successful Xings.]]="","N/A",SUM(ProcessedData[[#This Row],[Lo. B. Ti.]],DataTable[[#This Row],[Lo. B. Successful Xings.]]+1))</f>
        <v>N/A</v>
      </c>
      <c r="Z6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3" spans="1:26" x14ac:dyDescent="0.2">
      <c r="A613" t="str">
        <f>IF(DataTable[[#This Row],[Tm.]]="","N/A",DataTable[[#This Row],[Tm.]])</f>
        <v>N/A</v>
      </c>
      <c r="B613" t="str">
        <f>IF(DataTable[[#This Row],[Match Nr.]]="","N/A",DataTable[[#This Row],[Match Nr.]])</f>
        <v>N/A</v>
      </c>
      <c r="C6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3" t="str">
        <f>IF(AND(DataTable[[#This Row],[Successful Lo. G. S]]="",DataTable[[#This Row],[Successful Hi. G. S.]]=""),"N/A",DataTable[[#This Row],[Successful Lo. G. S]]*2+DataTable[[#This Row],[Successful Hi. G. S.]]*10)</f>
        <v>N/A</v>
      </c>
      <c r="H6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3" s="11" t="str">
        <f>IF(DataTable[[#This Row],[Lo. B. Successful Xings.]]="","N/A",SUM(ProcessedData[[#This Row],[Lo. B. Ti.]],DataTable[[#This Row],[Lo. B. Successful Xings.]]+1))</f>
        <v>N/A</v>
      </c>
      <c r="Z6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4" spans="1:26" x14ac:dyDescent="0.2">
      <c r="A614" t="str">
        <f>IF(DataTable[[#This Row],[Tm.]]="","N/A",DataTable[[#This Row],[Tm.]])</f>
        <v>N/A</v>
      </c>
      <c r="B614" t="str">
        <f>IF(DataTable[[#This Row],[Match Nr.]]="","N/A",DataTable[[#This Row],[Match Nr.]])</f>
        <v>N/A</v>
      </c>
      <c r="C6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4" t="str">
        <f>IF(AND(DataTable[[#This Row],[Successful Lo. G. S]]="",DataTable[[#This Row],[Successful Hi. G. S.]]=""),"N/A",DataTable[[#This Row],[Successful Lo. G. S]]*2+DataTable[[#This Row],[Successful Hi. G. S.]]*10)</f>
        <v>N/A</v>
      </c>
      <c r="H6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4" s="11" t="str">
        <f>IF(DataTable[[#This Row],[Lo. B. Successful Xings.]]="","N/A",SUM(ProcessedData[[#This Row],[Lo. B. Ti.]],DataTable[[#This Row],[Lo. B. Successful Xings.]]+1))</f>
        <v>N/A</v>
      </c>
      <c r="Z6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5" spans="1:26" x14ac:dyDescent="0.2">
      <c r="A615" t="str">
        <f>IF(DataTable[[#This Row],[Tm.]]="","N/A",DataTable[[#This Row],[Tm.]])</f>
        <v>N/A</v>
      </c>
      <c r="B615" t="str">
        <f>IF(DataTable[[#This Row],[Match Nr.]]="","N/A",DataTable[[#This Row],[Match Nr.]])</f>
        <v>N/A</v>
      </c>
      <c r="C6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5" t="str">
        <f>IF(AND(DataTable[[#This Row],[Successful Lo. G. S]]="",DataTable[[#This Row],[Successful Hi. G. S.]]=""),"N/A",DataTable[[#This Row],[Successful Lo. G. S]]*2+DataTable[[#This Row],[Successful Hi. G. S.]]*10)</f>
        <v>N/A</v>
      </c>
      <c r="H6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5" s="11" t="str">
        <f>IF(DataTable[[#This Row],[Lo. B. Successful Xings.]]="","N/A",SUM(ProcessedData[[#This Row],[Lo. B. Ti.]],DataTable[[#This Row],[Lo. B. Successful Xings.]]+1))</f>
        <v>N/A</v>
      </c>
      <c r="Z6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6" spans="1:26" x14ac:dyDescent="0.2">
      <c r="A616" t="str">
        <f>IF(DataTable[[#This Row],[Tm.]]="","N/A",DataTable[[#This Row],[Tm.]])</f>
        <v>N/A</v>
      </c>
      <c r="B616" t="str">
        <f>IF(DataTable[[#This Row],[Match Nr.]]="","N/A",DataTable[[#This Row],[Match Nr.]])</f>
        <v>N/A</v>
      </c>
      <c r="C6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6" t="str">
        <f>IF(AND(DataTable[[#This Row],[Successful Lo. G. S]]="",DataTable[[#This Row],[Successful Hi. G. S.]]=""),"N/A",DataTable[[#This Row],[Successful Lo. G. S]]*2+DataTable[[#This Row],[Successful Hi. G. S.]]*10)</f>
        <v>N/A</v>
      </c>
      <c r="H6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6" s="11" t="str">
        <f>IF(DataTable[[#This Row],[Lo. B. Successful Xings.]]="","N/A",SUM(ProcessedData[[#This Row],[Lo. B. Ti.]],DataTable[[#This Row],[Lo. B. Successful Xings.]]+1))</f>
        <v>N/A</v>
      </c>
      <c r="Z6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7" spans="1:26" x14ac:dyDescent="0.2">
      <c r="A617" t="str">
        <f>IF(DataTable[[#This Row],[Tm.]]="","N/A",DataTable[[#This Row],[Tm.]])</f>
        <v>N/A</v>
      </c>
      <c r="B617" t="str">
        <f>IF(DataTable[[#This Row],[Match Nr.]]="","N/A",DataTable[[#This Row],[Match Nr.]])</f>
        <v>N/A</v>
      </c>
      <c r="C6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7" t="str">
        <f>IF(AND(DataTable[[#This Row],[Successful Lo. G. S]]="",DataTable[[#This Row],[Successful Hi. G. S.]]=""),"N/A",DataTable[[#This Row],[Successful Lo. G. S]]*2+DataTable[[#This Row],[Successful Hi. G. S.]]*10)</f>
        <v>N/A</v>
      </c>
      <c r="H6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7" s="11" t="str">
        <f>IF(DataTable[[#This Row],[Lo. B. Successful Xings.]]="","N/A",SUM(ProcessedData[[#This Row],[Lo. B. Ti.]],DataTable[[#This Row],[Lo. B. Successful Xings.]]+1))</f>
        <v>N/A</v>
      </c>
      <c r="Z6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8" spans="1:26" x14ac:dyDescent="0.2">
      <c r="A618" t="str">
        <f>IF(DataTable[[#This Row],[Tm.]]="","N/A",DataTable[[#This Row],[Tm.]])</f>
        <v>N/A</v>
      </c>
      <c r="B618" t="str">
        <f>IF(DataTable[[#This Row],[Match Nr.]]="","N/A",DataTable[[#This Row],[Match Nr.]])</f>
        <v>N/A</v>
      </c>
      <c r="C6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8" t="str">
        <f>IF(AND(DataTable[[#This Row],[Successful Lo. G. S]]="",DataTable[[#This Row],[Successful Hi. G. S.]]=""),"N/A",DataTable[[#This Row],[Successful Lo. G. S]]*2+DataTable[[#This Row],[Successful Hi. G. S.]]*10)</f>
        <v>N/A</v>
      </c>
      <c r="H6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8" s="11" t="str">
        <f>IF(DataTable[[#This Row],[Lo. B. Successful Xings.]]="","N/A",SUM(ProcessedData[[#This Row],[Lo. B. Ti.]],DataTable[[#This Row],[Lo. B. Successful Xings.]]+1))</f>
        <v>N/A</v>
      </c>
      <c r="Z6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19" spans="1:26" x14ac:dyDescent="0.2">
      <c r="A619" t="str">
        <f>IF(DataTable[[#This Row],[Tm.]]="","N/A",DataTable[[#This Row],[Tm.]])</f>
        <v>N/A</v>
      </c>
      <c r="B619" t="str">
        <f>IF(DataTable[[#This Row],[Match Nr.]]="","N/A",DataTable[[#This Row],[Match Nr.]])</f>
        <v>N/A</v>
      </c>
      <c r="C6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19" t="str">
        <f>IF(AND(DataTable[[#This Row],[Successful Lo. G. S]]="",DataTable[[#This Row],[Successful Hi. G. S.]]=""),"N/A",DataTable[[#This Row],[Successful Lo. G. S]]*2+DataTable[[#This Row],[Successful Hi. G. S.]]*10)</f>
        <v>N/A</v>
      </c>
      <c r="H6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19" s="11" t="str">
        <f>IF(DataTable[[#This Row],[Lo. B. Successful Xings.]]="","N/A",SUM(ProcessedData[[#This Row],[Lo. B. Ti.]],DataTable[[#This Row],[Lo. B. Successful Xings.]]+1))</f>
        <v>N/A</v>
      </c>
      <c r="Z6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0" spans="1:26" x14ac:dyDescent="0.2">
      <c r="A620" t="str">
        <f>IF(DataTable[[#This Row],[Tm.]]="","N/A",DataTable[[#This Row],[Tm.]])</f>
        <v>N/A</v>
      </c>
      <c r="B620" t="str">
        <f>IF(DataTable[[#This Row],[Match Nr.]]="","N/A",DataTable[[#This Row],[Match Nr.]])</f>
        <v>N/A</v>
      </c>
      <c r="C6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0" t="str">
        <f>IF(AND(DataTable[[#This Row],[Successful Lo. G. S]]="",DataTable[[#This Row],[Successful Hi. G. S.]]=""),"N/A",DataTable[[#This Row],[Successful Lo. G. S]]*2+DataTable[[#This Row],[Successful Hi. G. S.]]*10)</f>
        <v>N/A</v>
      </c>
      <c r="H6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0" s="11" t="str">
        <f>IF(DataTable[[#This Row],[Lo. B. Successful Xings.]]="","N/A",SUM(ProcessedData[[#This Row],[Lo. B. Ti.]],DataTable[[#This Row],[Lo. B. Successful Xings.]]+1))</f>
        <v>N/A</v>
      </c>
      <c r="Z6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1" spans="1:26" x14ac:dyDescent="0.2">
      <c r="A621" t="str">
        <f>IF(DataTable[[#This Row],[Tm.]]="","N/A",DataTable[[#This Row],[Tm.]])</f>
        <v>N/A</v>
      </c>
      <c r="B621" t="str">
        <f>IF(DataTable[[#This Row],[Match Nr.]]="","N/A",DataTable[[#This Row],[Match Nr.]])</f>
        <v>N/A</v>
      </c>
      <c r="C6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1" t="str">
        <f>IF(AND(DataTable[[#This Row],[Successful Lo. G. S]]="",DataTable[[#This Row],[Successful Hi. G. S.]]=""),"N/A",DataTable[[#This Row],[Successful Lo. G. S]]*2+DataTable[[#This Row],[Successful Hi. G. S.]]*10)</f>
        <v>N/A</v>
      </c>
      <c r="H6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1" s="11" t="str">
        <f>IF(DataTable[[#This Row],[Lo. B. Successful Xings.]]="","N/A",SUM(ProcessedData[[#This Row],[Lo. B. Ti.]],DataTable[[#This Row],[Lo. B. Successful Xings.]]+1))</f>
        <v>N/A</v>
      </c>
      <c r="Z6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2" spans="1:26" x14ac:dyDescent="0.2">
      <c r="A622" t="str">
        <f>IF(DataTable[[#This Row],[Tm.]]="","N/A",DataTable[[#This Row],[Tm.]])</f>
        <v>N/A</v>
      </c>
      <c r="B622" t="str">
        <f>IF(DataTable[[#This Row],[Match Nr.]]="","N/A",DataTable[[#This Row],[Match Nr.]])</f>
        <v>N/A</v>
      </c>
      <c r="C6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2" t="str">
        <f>IF(AND(DataTable[[#This Row],[Successful Lo. G. S]]="",DataTable[[#This Row],[Successful Hi. G. S.]]=""),"N/A",DataTable[[#This Row],[Successful Lo. G. S]]*2+DataTable[[#This Row],[Successful Hi. G. S.]]*10)</f>
        <v>N/A</v>
      </c>
      <c r="H6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2" s="11" t="str">
        <f>IF(DataTable[[#This Row],[Lo. B. Successful Xings.]]="","N/A",SUM(ProcessedData[[#This Row],[Lo. B. Ti.]],DataTable[[#This Row],[Lo. B. Successful Xings.]]+1))</f>
        <v>N/A</v>
      </c>
      <c r="Z6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3" spans="1:26" x14ac:dyDescent="0.2">
      <c r="A623" t="str">
        <f>IF(DataTable[[#This Row],[Tm.]]="","N/A",DataTable[[#This Row],[Tm.]])</f>
        <v>N/A</v>
      </c>
      <c r="B623" t="str">
        <f>IF(DataTable[[#This Row],[Match Nr.]]="","N/A",DataTable[[#This Row],[Match Nr.]])</f>
        <v>N/A</v>
      </c>
      <c r="C6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3" t="str">
        <f>IF(AND(DataTable[[#This Row],[Successful Lo. G. S]]="",DataTable[[#This Row],[Successful Hi. G. S.]]=""),"N/A",DataTable[[#This Row],[Successful Lo. G. S]]*2+DataTable[[#This Row],[Successful Hi. G. S.]]*10)</f>
        <v>N/A</v>
      </c>
      <c r="H6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3" s="11" t="str">
        <f>IF(DataTable[[#This Row],[Lo. B. Successful Xings.]]="","N/A",SUM(ProcessedData[[#This Row],[Lo. B. Ti.]],DataTable[[#This Row],[Lo. B. Successful Xings.]]+1))</f>
        <v>N/A</v>
      </c>
      <c r="Z6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4" spans="1:26" x14ac:dyDescent="0.2">
      <c r="A624" t="str">
        <f>IF(DataTable[[#This Row],[Tm.]]="","N/A",DataTable[[#This Row],[Tm.]])</f>
        <v>N/A</v>
      </c>
      <c r="B624" t="str">
        <f>IF(DataTable[[#This Row],[Match Nr.]]="","N/A",DataTable[[#This Row],[Match Nr.]])</f>
        <v>N/A</v>
      </c>
      <c r="C6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4" t="str">
        <f>IF(AND(DataTable[[#This Row],[Successful Lo. G. S]]="",DataTable[[#This Row],[Successful Hi. G. S.]]=""),"N/A",DataTable[[#This Row],[Successful Lo. G. S]]*2+DataTable[[#This Row],[Successful Hi. G. S.]]*10)</f>
        <v>N/A</v>
      </c>
      <c r="H6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4" s="11" t="str">
        <f>IF(DataTable[[#This Row],[Lo. B. Successful Xings.]]="","N/A",SUM(ProcessedData[[#This Row],[Lo. B. Ti.]],DataTable[[#This Row],[Lo. B. Successful Xings.]]+1))</f>
        <v>N/A</v>
      </c>
      <c r="Z6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5" spans="1:26" x14ac:dyDescent="0.2">
      <c r="A625" t="str">
        <f>IF(DataTable[[#This Row],[Tm.]]="","N/A",DataTable[[#This Row],[Tm.]])</f>
        <v>N/A</v>
      </c>
      <c r="B625" t="str">
        <f>IF(DataTable[[#This Row],[Match Nr.]]="","N/A",DataTable[[#This Row],[Match Nr.]])</f>
        <v>N/A</v>
      </c>
      <c r="C6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5" t="str">
        <f>IF(AND(DataTable[[#This Row],[Successful Lo. G. S]]="",DataTable[[#This Row],[Successful Hi. G. S.]]=""),"N/A",DataTable[[#This Row],[Successful Lo. G. S]]*2+DataTable[[#This Row],[Successful Hi. G. S.]]*10)</f>
        <v>N/A</v>
      </c>
      <c r="H6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5" s="11" t="str">
        <f>IF(DataTable[[#This Row],[Lo. B. Successful Xings.]]="","N/A",SUM(ProcessedData[[#This Row],[Lo. B. Ti.]],DataTable[[#This Row],[Lo. B. Successful Xings.]]+1))</f>
        <v>N/A</v>
      </c>
      <c r="Z6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6" spans="1:26" x14ac:dyDescent="0.2">
      <c r="A626" t="str">
        <f>IF(DataTable[[#This Row],[Tm.]]="","N/A",DataTable[[#This Row],[Tm.]])</f>
        <v>N/A</v>
      </c>
      <c r="B626" t="str">
        <f>IF(DataTable[[#This Row],[Match Nr.]]="","N/A",DataTable[[#This Row],[Match Nr.]])</f>
        <v>N/A</v>
      </c>
      <c r="C6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6" t="str">
        <f>IF(AND(DataTable[[#This Row],[Successful Lo. G. S]]="",DataTable[[#This Row],[Successful Hi. G. S.]]=""),"N/A",DataTable[[#This Row],[Successful Lo. G. S]]*2+DataTable[[#This Row],[Successful Hi. G. S.]]*10)</f>
        <v>N/A</v>
      </c>
      <c r="H6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6" s="11" t="str">
        <f>IF(DataTable[[#This Row],[Lo. B. Successful Xings.]]="","N/A",SUM(ProcessedData[[#This Row],[Lo. B. Ti.]],DataTable[[#This Row],[Lo. B. Successful Xings.]]+1))</f>
        <v>N/A</v>
      </c>
      <c r="Z6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7" spans="1:26" x14ac:dyDescent="0.2">
      <c r="A627" t="str">
        <f>IF(DataTable[[#This Row],[Tm.]]="","N/A",DataTable[[#This Row],[Tm.]])</f>
        <v>N/A</v>
      </c>
      <c r="B627" t="str">
        <f>IF(DataTable[[#This Row],[Match Nr.]]="","N/A",DataTable[[#This Row],[Match Nr.]])</f>
        <v>N/A</v>
      </c>
      <c r="C6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7" t="str">
        <f>IF(AND(DataTable[[#This Row],[Successful Lo. G. S]]="",DataTable[[#This Row],[Successful Hi. G. S.]]=""),"N/A",DataTable[[#This Row],[Successful Lo. G. S]]*2+DataTable[[#This Row],[Successful Hi. G. S.]]*10)</f>
        <v>N/A</v>
      </c>
      <c r="H6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7" s="11" t="str">
        <f>IF(DataTable[[#This Row],[Lo. B. Successful Xings.]]="","N/A",SUM(ProcessedData[[#This Row],[Lo. B. Ti.]],DataTable[[#This Row],[Lo. B. Successful Xings.]]+1))</f>
        <v>N/A</v>
      </c>
      <c r="Z6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8" spans="1:26" x14ac:dyDescent="0.2">
      <c r="A628" t="str">
        <f>IF(DataTable[[#This Row],[Tm.]]="","N/A",DataTable[[#This Row],[Tm.]])</f>
        <v>N/A</v>
      </c>
      <c r="B628" t="str">
        <f>IF(DataTable[[#This Row],[Match Nr.]]="","N/A",DataTable[[#This Row],[Match Nr.]])</f>
        <v>N/A</v>
      </c>
      <c r="C6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8" t="str">
        <f>IF(AND(DataTable[[#This Row],[Successful Lo. G. S]]="",DataTable[[#This Row],[Successful Hi. G. S.]]=""),"N/A",DataTable[[#This Row],[Successful Lo. G. S]]*2+DataTable[[#This Row],[Successful Hi. G. S.]]*10)</f>
        <v>N/A</v>
      </c>
      <c r="H6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8" s="11" t="str">
        <f>IF(DataTable[[#This Row],[Lo. B. Successful Xings.]]="","N/A",SUM(ProcessedData[[#This Row],[Lo. B. Ti.]],DataTable[[#This Row],[Lo. B. Successful Xings.]]+1))</f>
        <v>N/A</v>
      </c>
      <c r="Z6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29" spans="1:26" x14ac:dyDescent="0.2">
      <c r="A629" t="str">
        <f>IF(DataTable[[#This Row],[Tm.]]="","N/A",DataTable[[#This Row],[Tm.]])</f>
        <v>N/A</v>
      </c>
      <c r="B629" t="str">
        <f>IF(DataTable[[#This Row],[Match Nr.]]="","N/A",DataTable[[#This Row],[Match Nr.]])</f>
        <v>N/A</v>
      </c>
      <c r="C6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29" t="str">
        <f>IF(AND(DataTable[[#This Row],[Successful Lo. G. S]]="",DataTable[[#This Row],[Successful Hi. G. S.]]=""),"N/A",DataTable[[#This Row],[Successful Lo. G. S]]*2+DataTable[[#This Row],[Successful Hi. G. S.]]*10)</f>
        <v>N/A</v>
      </c>
      <c r="H6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29" s="11" t="str">
        <f>IF(DataTable[[#This Row],[Lo. B. Successful Xings.]]="","N/A",SUM(ProcessedData[[#This Row],[Lo. B. Ti.]],DataTable[[#This Row],[Lo. B. Successful Xings.]]+1))</f>
        <v>N/A</v>
      </c>
      <c r="Z6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0" spans="1:26" x14ac:dyDescent="0.2">
      <c r="A630" t="str">
        <f>IF(DataTable[[#This Row],[Tm.]]="","N/A",DataTable[[#This Row],[Tm.]])</f>
        <v>N/A</v>
      </c>
      <c r="B630" t="str">
        <f>IF(DataTable[[#This Row],[Match Nr.]]="","N/A",DataTable[[#This Row],[Match Nr.]])</f>
        <v>N/A</v>
      </c>
      <c r="C6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0" t="str">
        <f>IF(AND(DataTable[[#This Row],[Successful Lo. G. S]]="",DataTable[[#This Row],[Successful Hi. G. S.]]=""),"N/A",DataTable[[#This Row],[Successful Lo. G. S]]*2+DataTable[[#This Row],[Successful Hi. G. S.]]*10)</f>
        <v>N/A</v>
      </c>
      <c r="H6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0" s="11" t="str">
        <f>IF(DataTable[[#This Row],[Lo. B. Successful Xings.]]="","N/A",SUM(ProcessedData[[#This Row],[Lo. B. Ti.]],DataTable[[#This Row],[Lo. B. Successful Xings.]]+1))</f>
        <v>N/A</v>
      </c>
      <c r="Z6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1" spans="1:26" x14ac:dyDescent="0.2">
      <c r="A631" t="str">
        <f>IF(DataTable[[#This Row],[Tm.]]="","N/A",DataTable[[#This Row],[Tm.]])</f>
        <v>N/A</v>
      </c>
      <c r="B631" t="str">
        <f>IF(DataTable[[#This Row],[Match Nr.]]="","N/A",DataTable[[#This Row],[Match Nr.]])</f>
        <v>N/A</v>
      </c>
      <c r="C6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1" t="str">
        <f>IF(AND(DataTable[[#This Row],[Successful Lo. G. S]]="",DataTable[[#This Row],[Successful Hi. G. S.]]=""),"N/A",DataTable[[#This Row],[Successful Lo. G. S]]*2+DataTable[[#This Row],[Successful Hi. G. S.]]*10)</f>
        <v>N/A</v>
      </c>
      <c r="H6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1" s="11" t="str">
        <f>IF(DataTable[[#This Row],[Lo. B. Successful Xings.]]="","N/A",SUM(ProcessedData[[#This Row],[Lo. B. Ti.]],DataTable[[#This Row],[Lo. B. Successful Xings.]]+1))</f>
        <v>N/A</v>
      </c>
      <c r="Z6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2" spans="1:26" x14ac:dyDescent="0.2">
      <c r="A632" t="str">
        <f>IF(DataTable[[#This Row],[Tm.]]="","N/A",DataTable[[#This Row],[Tm.]])</f>
        <v>N/A</v>
      </c>
      <c r="B632" t="str">
        <f>IF(DataTable[[#This Row],[Match Nr.]]="","N/A",DataTable[[#This Row],[Match Nr.]])</f>
        <v>N/A</v>
      </c>
      <c r="C6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2" t="str">
        <f>IF(AND(DataTable[[#This Row],[Successful Lo. G. S]]="",DataTable[[#This Row],[Successful Hi. G. S.]]=""),"N/A",DataTable[[#This Row],[Successful Lo. G. S]]*2+DataTable[[#This Row],[Successful Hi. G. S.]]*10)</f>
        <v>N/A</v>
      </c>
      <c r="H6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2" s="11" t="str">
        <f>IF(DataTable[[#This Row],[Lo. B. Successful Xings.]]="","N/A",SUM(ProcessedData[[#This Row],[Lo. B. Ti.]],DataTable[[#This Row],[Lo. B. Successful Xings.]]+1))</f>
        <v>N/A</v>
      </c>
      <c r="Z6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3" spans="1:26" x14ac:dyDescent="0.2">
      <c r="A633" t="str">
        <f>IF(DataTable[[#This Row],[Tm.]]="","N/A",DataTable[[#This Row],[Tm.]])</f>
        <v>N/A</v>
      </c>
      <c r="B633" t="str">
        <f>IF(DataTable[[#This Row],[Match Nr.]]="","N/A",DataTable[[#This Row],[Match Nr.]])</f>
        <v>N/A</v>
      </c>
      <c r="C6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3" t="str">
        <f>IF(AND(DataTable[[#This Row],[Successful Lo. G. S]]="",DataTable[[#This Row],[Successful Hi. G. S.]]=""),"N/A",DataTable[[#This Row],[Successful Lo. G. S]]*2+DataTable[[#This Row],[Successful Hi. G. S.]]*10)</f>
        <v>N/A</v>
      </c>
      <c r="H6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3" s="11" t="str">
        <f>IF(DataTable[[#This Row],[Lo. B. Successful Xings.]]="","N/A",SUM(ProcessedData[[#This Row],[Lo. B. Ti.]],DataTable[[#This Row],[Lo. B. Successful Xings.]]+1))</f>
        <v>N/A</v>
      </c>
      <c r="Z6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4" spans="1:26" x14ac:dyDescent="0.2">
      <c r="A634" t="str">
        <f>IF(DataTable[[#This Row],[Tm.]]="","N/A",DataTable[[#This Row],[Tm.]])</f>
        <v>N/A</v>
      </c>
      <c r="B634" t="str">
        <f>IF(DataTable[[#This Row],[Match Nr.]]="","N/A",DataTable[[#This Row],[Match Nr.]])</f>
        <v>N/A</v>
      </c>
      <c r="C6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4" t="str">
        <f>IF(AND(DataTable[[#This Row],[Successful Lo. G. S]]="",DataTable[[#This Row],[Successful Hi. G. S.]]=""),"N/A",DataTable[[#This Row],[Successful Lo. G. S]]*2+DataTable[[#This Row],[Successful Hi. G. S.]]*10)</f>
        <v>N/A</v>
      </c>
      <c r="H6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4" s="11" t="str">
        <f>IF(DataTable[[#This Row],[Lo. B. Successful Xings.]]="","N/A",SUM(ProcessedData[[#This Row],[Lo. B. Ti.]],DataTable[[#This Row],[Lo. B. Successful Xings.]]+1))</f>
        <v>N/A</v>
      </c>
      <c r="Z6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5" spans="1:26" x14ac:dyDescent="0.2">
      <c r="A635" t="str">
        <f>IF(DataTable[[#This Row],[Tm.]]="","N/A",DataTable[[#This Row],[Tm.]])</f>
        <v>N/A</v>
      </c>
      <c r="B635" t="str">
        <f>IF(DataTable[[#This Row],[Match Nr.]]="","N/A",DataTable[[#This Row],[Match Nr.]])</f>
        <v>N/A</v>
      </c>
      <c r="C6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5" t="str">
        <f>IF(AND(DataTable[[#This Row],[Successful Lo. G. S]]="",DataTable[[#This Row],[Successful Hi. G. S.]]=""),"N/A",DataTable[[#This Row],[Successful Lo. G. S]]*2+DataTable[[#This Row],[Successful Hi. G. S.]]*10)</f>
        <v>N/A</v>
      </c>
      <c r="H6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5" s="11" t="str">
        <f>IF(DataTable[[#This Row],[Lo. B. Successful Xings.]]="","N/A",SUM(ProcessedData[[#This Row],[Lo. B. Ti.]],DataTable[[#This Row],[Lo. B. Successful Xings.]]+1))</f>
        <v>N/A</v>
      </c>
      <c r="Z6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6" spans="1:26" x14ac:dyDescent="0.2">
      <c r="A636" t="str">
        <f>IF(DataTable[[#This Row],[Tm.]]="","N/A",DataTable[[#This Row],[Tm.]])</f>
        <v>N/A</v>
      </c>
      <c r="B636" t="str">
        <f>IF(DataTable[[#This Row],[Match Nr.]]="","N/A",DataTable[[#This Row],[Match Nr.]])</f>
        <v>N/A</v>
      </c>
      <c r="C6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6" t="str">
        <f>IF(AND(DataTable[[#This Row],[Successful Lo. G. S]]="",DataTable[[#This Row],[Successful Hi. G. S.]]=""),"N/A",DataTable[[#This Row],[Successful Lo. G. S]]*2+DataTable[[#This Row],[Successful Hi. G. S.]]*10)</f>
        <v>N/A</v>
      </c>
      <c r="H6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6" s="11" t="str">
        <f>IF(DataTable[[#This Row],[Lo. B. Successful Xings.]]="","N/A",SUM(ProcessedData[[#This Row],[Lo. B. Ti.]],DataTable[[#This Row],[Lo. B. Successful Xings.]]+1))</f>
        <v>N/A</v>
      </c>
      <c r="Z6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7" spans="1:26" x14ac:dyDescent="0.2">
      <c r="A637" t="str">
        <f>IF(DataTable[[#This Row],[Tm.]]="","N/A",DataTable[[#This Row],[Tm.]])</f>
        <v>N/A</v>
      </c>
      <c r="B637" t="str">
        <f>IF(DataTable[[#This Row],[Match Nr.]]="","N/A",DataTable[[#This Row],[Match Nr.]])</f>
        <v>N/A</v>
      </c>
      <c r="C6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7" t="str">
        <f>IF(AND(DataTable[[#This Row],[Successful Lo. G. S]]="",DataTable[[#This Row],[Successful Hi. G. S.]]=""),"N/A",DataTable[[#This Row],[Successful Lo. G. S]]*2+DataTable[[#This Row],[Successful Hi. G. S.]]*10)</f>
        <v>N/A</v>
      </c>
      <c r="H6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7" s="11" t="str">
        <f>IF(DataTable[[#This Row],[Lo. B. Successful Xings.]]="","N/A",SUM(ProcessedData[[#This Row],[Lo. B. Ti.]],DataTable[[#This Row],[Lo. B. Successful Xings.]]+1))</f>
        <v>N/A</v>
      </c>
      <c r="Z6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8" spans="1:26" x14ac:dyDescent="0.2">
      <c r="A638" t="str">
        <f>IF(DataTable[[#This Row],[Tm.]]="","N/A",DataTable[[#This Row],[Tm.]])</f>
        <v>N/A</v>
      </c>
      <c r="B638" t="str">
        <f>IF(DataTable[[#This Row],[Match Nr.]]="","N/A",DataTable[[#This Row],[Match Nr.]])</f>
        <v>N/A</v>
      </c>
      <c r="C6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8" t="str">
        <f>IF(AND(DataTable[[#This Row],[Successful Lo. G. S]]="",DataTable[[#This Row],[Successful Hi. G. S.]]=""),"N/A",DataTable[[#This Row],[Successful Lo. G. S]]*2+DataTable[[#This Row],[Successful Hi. G. S.]]*10)</f>
        <v>N/A</v>
      </c>
      <c r="H6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8" s="11" t="str">
        <f>IF(DataTable[[#This Row],[Lo. B. Successful Xings.]]="","N/A",SUM(ProcessedData[[#This Row],[Lo. B. Ti.]],DataTable[[#This Row],[Lo. B. Successful Xings.]]+1))</f>
        <v>N/A</v>
      </c>
      <c r="Z6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39" spans="1:26" x14ac:dyDescent="0.2">
      <c r="A639" t="str">
        <f>IF(DataTable[[#This Row],[Tm.]]="","N/A",DataTable[[#This Row],[Tm.]])</f>
        <v>N/A</v>
      </c>
      <c r="B639" t="str">
        <f>IF(DataTable[[#This Row],[Match Nr.]]="","N/A",DataTable[[#This Row],[Match Nr.]])</f>
        <v>N/A</v>
      </c>
      <c r="C6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39" t="str">
        <f>IF(AND(DataTable[[#This Row],[Successful Lo. G. S]]="",DataTable[[#This Row],[Successful Hi. G. S.]]=""),"N/A",DataTable[[#This Row],[Successful Lo. G. S]]*2+DataTable[[#This Row],[Successful Hi. G. S.]]*10)</f>
        <v>N/A</v>
      </c>
      <c r="H6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39" s="11" t="str">
        <f>IF(DataTable[[#This Row],[Lo. B. Successful Xings.]]="","N/A",SUM(ProcessedData[[#This Row],[Lo. B. Ti.]],DataTable[[#This Row],[Lo. B. Successful Xings.]]+1))</f>
        <v>N/A</v>
      </c>
      <c r="Z6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0" spans="1:26" x14ac:dyDescent="0.2">
      <c r="A640" t="str">
        <f>IF(DataTable[[#This Row],[Tm.]]="","N/A",DataTable[[#This Row],[Tm.]])</f>
        <v>N/A</v>
      </c>
      <c r="B640" t="str">
        <f>IF(DataTable[[#This Row],[Match Nr.]]="","N/A",DataTable[[#This Row],[Match Nr.]])</f>
        <v>N/A</v>
      </c>
      <c r="C6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0" t="str">
        <f>IF(AND(DataTable[[#This Row],[Successful Lo. G. S]]="",DataTable[[#This Row],[Successful Hi. G. S.]]=""),"N/A",DataTable[[#This Row],[Successful Lo. G. S]]*2+DataTable[[#This Row],[Successful Hi. G. S.]]*10)</f>
        <v>N/A</v>
      </c>
      <c r="H6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0" s="11" t="str">
        <f>IF(DataTable[[#This Row],[Lo. B. Successful Xings.]]="","N/A",SUM(ProcessedData[[#This Row],[Lo. B. Ti.]],DataTable[[#This Row],[Lo. B. Successful Xings.]]+1))</f>
        <v>N/A</v>
      </c>
      <c r="Z6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1" spans="1:26" x14ac:dyDescent="0.2">
      <c r="A641" t="str">
        <f>IF(DataTable[[#This Row],[Tm.]]="","N/A",DataTable[[#This Row],[Tm.]])</f>
        <v>N/A</v>
      </c>
      <c r="B641" t="str">
        <f>IF(DataTable[[#This Row],[Match Nr.]]="","N/A",DataTable[[#This Row],[Match Nr.]])</f>
        <v>N/A</v>
      </c>
      <c r="C6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1" t="str">
        <f>IF(AND(DataTable[[#This Row],[Successful Lo. G. S]]="",DataTable[[#This Row],[Successful Hi. G. S.]]=""),"N/A",DataTable[[#This Row],[Successful Lo. G. S]]*2+DataTable[[#This Row],[Successful Hi. G. S.]]*10)</f>
        <v>N/A</v>
      </c>
      <c r="H6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1" s="11" t="str">
        <f>IF(DataTable[[#This Row],[Lo. B. Successful Xings.]]="","N/A",SUM(ProcessedData[[#This Row],[Lo. B. Ti.]],DataTable[[#This Row],[Lo. B. Successful Xings.]]+1))</f>
        <v>N/A</v>
      </c>
      <c r="Z6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2" spans="1:26" x14ac:dyDescent="0.2">
      <c r="A642" t="str">
        <f>IF(DataTable[[#This Row],[Tm.]]="","N/A",DataTable[[#This Row],[Tm.]])</f>
        <v>N/A</v>
      </c>
      <c r="B642" t="str">
        <f>IF(DataTable[[#This Row],[Match Nr.]]="","N/A",DataTable[[#This Row],[Match Nr.]])</f>
        <v>N/A</v>
      </c>
      <c r="C6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2" t="str">
        <f>IF(AND(DataTable[[#This Row],[Successful Lo. G. S]]="",DataTable[[#This Row],[Successful Hi. G. S.]]=""),"N/A",DataTable[[#This Row],[Successful Lo. G. S]]*2+DataTable[[#This Row],[Successful Hi. G. S.]]*10)</f>
        <v>N/A</v>
      </c>
      <c r="H6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2" s="11" t="str">
        <f>IF(DataTable[[#This Row],[Lo. B. Successful Xings.]]="","N/A",SUM(ProcessedData[[#This Row],[Lo. B. Ti.]],DataTable[[#This Row],[Lo. B. Successful Xings.]]+1))</f>
        <v>N/A</v>
      </c>
      <c r="Z6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3" spans="1:26" x14ac:dyDescent="0.2">
      <c r="A643" t="str">
        <f>IF(DataTable[[#This Row],[Tm.]]="","N/A",DataTable[[#This Row],[Tm.]])</f>
        <v>N/A</v>
      </c>
      <c r="B643" t="str">
        <f>IF(DataTable[[#This Row],[Match Nr.]]="","N/A",DataTable[[#This Row],[Match Nr.]])</f>
        <v>N/A</v>
      </c>
      <c r="C6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3" t="str">
        <f>IF(AND(DataTable[[#This Row],[Successful Lo. G. S]]="",DataTable[[#This Row],[Successful Hi. G. S.]]=""),"N/A",DataTable[[#This Row],[Successful Lo. G. S]]*2+DataTable[[#This Row],[Successful Hi. G. S.]]*10)</f>
        <v>N/A</v>
      </c>
      <c r="H6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3" s="11" t="str">
        <f>IF(DataTable[[#This Row],[Lo. B. Successful Xings.]]="","N/A",SUM(ProcessedData[[#This Row],[Lo. B. Ti.]],DataTable[[#This Row],[Lo. B. Successful Xings.]]+1))</f>
        <v>N/A</v>
      </c>
      <c r="Z6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4" spans="1:26" x14ac:dyDescent="0.2">
      <c r="A644" t="str">
        <f>IF(DataTable[[#This Row],[Tm.]]="","N/A",DataTable[[#This Row],[Tm.]])</f>
        <v>N/A</v>
      </c>
      <c r="B644" t="str">
        <f>IF(DataTable[[#This Row],[Match Nr.]]="","N/A",DataTable[[#This Row],[Match Nr.]])</f>
        <v>N/A</v>
      </c>
      <c r="C6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4" t="str">
        <f>IF(AND(DataTable[[#This Row],[Successful Lo. G. S]]="",DataTable[[#This Row],[Successful Hi. G. S.]]=""),"N/A",DataTable[[#This Row],[Successful Lo. G. S]]*2+DataTable[[#This Row],[Successful Hi. G. S.]]*10)</f>
        <v>N/A</v>
      </c>
      <c r="H6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4" s="11" t="str">
        <f>IF(DataTable[[#This Row],[Lo. B. Successful Xings.]]="","N/A",SUM(ProcessedData[[#This Row],[Lo. B. Ti.]],DataTable[[#This Row],[Lo. B. Successful Xings.]]+1))</f>
        <v>N/A</v>
      </c>
      <c r="Z6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5" spans="1:26" x14ac:dyDescent="0.2">
      <c r="A645" t="str">
        <f>IF(DataTable[[#This Row],[Tm.]]="","N/A",DataTable[[#This Row],[Tm.]])</f>
        <v>N/A</v>
      </c>
      <c r="B645" t="str">
        <f>IF(DataTable[[#This Row],[Match Nr.]]="","N/A",DataTable[[#This Row],[Match Nr.]])</f>
        <v>N/A</v>
      </c>
      <c r="C6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5" t="str">
        <f>IF(AND(DataTable[[#This Row],[Successful Lo. G. S]]="",DataTable[[#This Row],[Successful Hi. G. S.]]=""),"N/A",DataTable[[#This Row],[Successful Lo. G. S]]*2+DataTable[[#This Row],[Successful Hi. G. S.]]*10)</f>
        <v>N/A</v>
      </c>
      <c r="H6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5" s="11" t="str">
        <f>IF(DataTable[[#This Row],[Lo. B. Successful Xings.]]="","N/A",SUM(ProcessedData[[#This Row],[Lo. B. Ti.]],DataTable[[#This Row],[Lo. B. Successful Xings.]]+1))</f>
        <v>N/A</v>
      </c>
      <c r="Z6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6" spans="1:26" x14ac:dyDescent="0.2">
      <c r="A646" t="str">
        <f>IF(DataTable[[#This Row],[Tm.]]="","N/A",DataTable[[#This Row],[Tm.]])</f>
        <v>N/A</v>
      </c>
      <c r="B646" t="str">
        <f>IF(DataTable[[#This Row],[Match Nr.]]="","N/A",DataTable[[#This Row],[Match Nr.]])</f>
        <v>N/A</v>
      </c>
      <c r="C6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6" t="str">
        <f>IF(AND(DataTable[[#This Row],[Successful Lo. G. S]]="",DataTable[[#This Row],[Successful Hi. G. S.]]=""),"N/A",DataTable[[#This Row],[Successful Lo. G. S]]*2+DataTable[[#This Row],[Successful Hi. G. S.]]*10)</f>
        <v>N/A</v>
      </c>
      <c r="H6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6" s="11" t="str">
        <f>IF(DataTable[[#This Row],[Lo. B. Successful Xings.]]="","N/A",SUM(ProcessedData[[#This Row],[Lo. B. Ti.]],DataTable[[#This Row],[Lo. B. Successful Xings.]]+1))</f>
        <v>N/A</v>
      </c>
      <c r="Z6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7" spans="1:26" x14ac:dyDescent="0.2">
      <c r="A647" t="str">
        <f>IF(DataTable[[#This Row],[Tm.]]="","N/A",DataTable[[#This Row],[Tm.]])</f>
        <v>N/A</v>
      </c>
      <c r="B647" t="str">
        <f>IF(DataTable[[#This Row],[Match Nr.]]="","N/A",DataTable[[#This Row],[Match Nr.]])</f>
        <v>N/A</v>
      </c>
      <c r="C6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7" t="str">
        <f>IF(AND(DataTable[[#This Row],[Successful Lo. G. S]]="",DataTable[[#This Row],[Successful Hi. G. S.]]=""),"N/A",DataTable[[#This Row],[Successful Lo. G. S]]*2+DataTable[[#This Row],[Successful Hi. G. S.]]*10)</f>
        <v>N/A</v>
      </c>
      <c r="H6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7" s="11" t="str">
        <f>IF(DataTable[[#This Row],[Lo. B. Successful Xings.]]="","N/A",SUM(ProcessedData[[#This Row],[Lo. B. Ti.]],DataTable[[#This Row],[Lo. B. Successful Xings.]]+1))</f>
        <v>N/A</v>
      </c>
      <c r="Z6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8" spans="1:26" x14ac:dyDescent="0.2">
      <c r="A648" t="str">
        <f>IF(DataTable[[#This Row],[Tm.]]="","N/A",DataTable[[#This Row],[Tm.]])</f>
        <v>N/A</v>
      </c>
      <c r="B648" t="str">
        <f>IF(DataTable[[#This Row],[Match Nr.]]="","N/A",DataTable[[#This Row],[Match Nr.]])</f>
        <v>N/A</v>
      </c>
      <c r="C6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8" t="str">
        <f>IF(AND(DataTable[[#This Row],[Successful Lo. G. S]]="",DataTable[[#This Row],[Successful Hi. G. S.]]=""),"N/A",DataTable[[#This Row],[Successful Lo. G. S]]*2+DataTable[[#This Row],[Successful Hi. G. S.]]*10)</f>
        <v>N/A</v>
      </c>
      <c r="H6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8" s="11" t="str">
        <f>IF(DataTable[[#This Row],[Lo. B. Successful Xings.]]="","N/A",SUM(ProcessedData[[#This Row],[Lo. B. Ti.]],DataTable[[#This Row],[Lo. B. Successful Xings.]]+1))</f>
        <v>N/A</v>
      </c>
      <c r="Z6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49" spans="1:26" x14ac:dyDescent="0.2">
      <c r="A649" t="str">
        <f>IF(DataTable[[#This Row],[Tm.]]="","N/A",DataTable[[#This Row],[Tm.]])</f>
        <v>N/A</v>
      </c>
      <c r="B649" t="str">
        <f>IF(DataTable[[#This Row],[Match Nr.]]="","N/A",DataTable[[#This Row],[Match Nr.]])</f>
        <v>N/A</v>
      </c>
      <c r="C6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49" t="str">
        <f>IF(AND(DataTable[[#This Row],[Successful Lo. G. S]]="",DataTable[[#This Row],[Successful Hi. G. S.]]=""),"N/A",DataTable[[#This Row],[Successful Lo. G. S]]*2+DataTable[[#This Row],[Successful Hi. G. S.]]*10)</f>
        <v>N/A</v>
      </c>
      <c r="H6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49" s="11" t="str">
        <f>IF(DataTable[[#This Row],[Lo. B. Successful Xings.]]="","N/A",SUM(ProcessedData[[#This Row],[Lo. B. Ti.]],DataTable[[#This Row],[Lo. B. Successful Xings.]]+1))</f>
        <v>N/A</v>
      </c>
      <c r="Z6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0" spans="1:26" x14ac:dyDescent="0.2">
      <c r="A650" t="str">
        <f>IF(DataTable[[#This Row],[Tm.]]="","N/A",DataTable[[#This Row],[Tm.]])</f>
        <v>N/A</v>
      </c>
      <c r="B650" t="str">
        <f>IF(DataTable[[#This Row],[Match Nr.]]="","N/A",DataTable[[#This Row],[Match Nr.]])</f>
        <v>N/A</v>
      </c>
      <c r="C6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0" t="str">
        <f>IF(AND(DataTable[[#This Row],[Successful Lo. G. S]]="",DataTable[[#This Row],[Successful Hi. G. S.]]=""),"N/A",DataTable[[#This Row],[Successful Lo. G. S]]*2+DataTable[[#This Row],[Successful Hi. G. S.]]*10)</f>
        <v>N/A</v>
      </c>
      <c r="H6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0" s="11" t="str">
        <f>IF(DataTable[[#This Row],[Lo. B. Successful Xings.]]="","N/A",SUM(ProcessedData[[#This Row],[Lo. B. Ti.]],DataTable[[#This Row],[Lo. B. Successful Xings.]]+1))</f>
        <v>N/A</v>
      </c>
      <c r="Z6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1" spans="1:26" x14ac:dyDescent="0.2">
      <c r="A651" t="str">
        <f>IF(DataTable[[#This Row],[Tm.]]="","N/A",DataTable[[#This Row],[Tm.]])</f>
        <v>N/A</v>
      </c>
      <c r="B651" t="str">
        <f>IF(DataTable[[#This Row],[Match Nr.]]="","N/A",DataTable[[#This Row],[Match Nr.]])</f>
        <v>N/A</v>
      </c>
      <c r="C6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1" t="str">
        <f>IF(AND(DataTable[[#This Row],[Successful Lo. G. S]]="",DataTable[[#This Row],[Successful Hi. G. S.]]=""),"N/A",DataTable[[#This Row],[Successful Lo. G. S]]*2+DataTable[[#This Row],[Successful Hi. G. S.]]*10)</f>
        <v>N/A</v>
      </c>
      <c r="H6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1" s="11" t="str">
        <f>IF(DataTable[[#This Row],[Lo. B. Successful Xings.]]="","N/A",SUM(ProcessedData[[#This Row],[Lo. B. Ti.]],DataTable[[#This Row],[Lo. B. Successful Xings.]]+1))</f>
        <v>N/A</v>
      </c>
      <c r="Z6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2" spans="1:26" x14ac:dyDescent="0.2">
      <c r="A652" t="str">
        <f>IF(DataTable[[#This Row],[Tm.]]="","N/A",DataTable[[#This Row],[Tm.]])</f>
        <v>N/A</v>
      </c>
      <c r="B652" t="str">
        <f>IF(DataTable[[#This Row],[Match Nr.]]="","N/A",DataTable[[#This Row],[Match Nr.]])</f>
        <v>N/A</v>
      </c>
      <c r="C6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2" t="str">
        <f>IF(AND(DataTable[[#This Row],[Successful Lo. G. S]]="",DataTable[[#This Row],[Successful Hi. G. S.]]=""),"N/A",DataTable[[#This Row],[Successful Lo. G. S]]*2+DataTable[[#This Row],[Successful Hi. G. S.]]*10)</f>
        <v>N/A</v>
      </c>
      <c r="H6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2" s="11" t="str">
        <f>IF(DataTable[[#This Row],[Lo. B. Successful Xings.]]="","N/A",SUM(ProcessedData[[#This Row],[Lo. B. Ti.]],DataTable[[#This Row],[Lo. B. Successful Xings.]]+1))</f>
        <v>N/A</v>
      </c>
      <c r="Z6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3" spans="1:26" x14ac:dyDescent="0.2">
      <c r="A653" t="str">
        <f>IF(DataTable[[#This Row],[Tm.]]="","N/A",DataTable[[#This Row],[Tm.]])</f>
        <v>N/A</v>
      </c>
      <c r="B653" t="str">
        <f>IF(DataTable[[#This Row],[Match Nr.]]="","N/A",DataTable[[#This Row],[Match Nr.]])</f>
        <v>N/A</v>
      </c>
      <c r="C6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3" t="str">
        <f>IF(AND(DataTable[[#This Row],[Successful Lo. G. S]]="",DataTable[[#This Row],[Successful Hi. G. S.]]=""),"N/A",DataTable[[#This Row],[Successful Lo. G. S]]*2+DataTable[[#This Row],[Successful Hi. G. S.]]*10)</f>
        <v>N/A</v>
      </c>
      <c r="H6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3" s="11" t="str">
        <f>IF(DataTable[[#This Row],[Lo. B. Successful Xings.]]="","N/A",SUM(ProcessedData[[#This Row],[Lo. B. Ti.]],DataTable[[#This Row],[Lo. B. Successful Xings.]]+1))</f>
        <v>N/A</v>
      </c>
      <c r="Z6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4" spans="1:26" x14ac:dyDescent="0.2">
      <c r="A654" t="str">
        <f>IF(DataTable[[#This Row],[Tm.]]="","N/A",DataTable[[#This Row],[Tm.]])</f>
        <v>N/A</v>
      </c>
      <c r="B654" t="str">
        <f>IF(DataTable[[#This Row],[Match Nr.]]="","N/A",DataTable[[#This Row],[Match Nr.]])</f>
        <v>N/A</v>
      </c>
      <c r="C6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4" t="str">
        <f>IF(AND(DataTable[[#This Row],[Successful Lo. G. S]]="",DataTable[[#This Row],[Successful Hi. G. S.]]=""),"N/A",DataTable[[#This Row],[Successful Lo. G. S]]*2+DataTable[[#This Row],[Successful Hi. G. S.]]*10)</f>
        <v>N/A</v>
      </c>
      <c r="H6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4" s="11" t="str">
        <f>IF(DataTable[[#This Row],[Lo. B. Successful Xings.]]="","N/A",SUM(ProcessedData[[#This Row],[Lo. B. Ti.]],DataTable[[#This Row],[Lo. B. Successful Xings.]]+1))</f>
        <v>N/A</v>
      </c>
      <c r="Z6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5" spans="1:26" x14ac:dyDescent="0.2">
      <c r="A655" t="str">
        <f>IF(DataTable[[#This Row],[Tm.]]="","N/A",DataTable[[#This Row],[Tm.]])</f>
        <v>N/A</v>
      </c>
      <c r="B655" t="str">
        <f>IF(DataTable[[#This Row],[Match Nr.]]="","N/A",DataTable[[#This Row],[Match Nr.]])</f>
        <v>N/A</v>
      </c>
      <c r="C6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5" t="str">
        <f>IF(AND(DataTable[[#This Row],[Successful Lo. G. S]]="",DataTable[[#This Row],[Successful Hi. G. S.]]=""),"N/A",DataTable[[#This Row],[Successful Lo. G. S]]*2+DataTable[[#This Row],[Successful Hi. G. S.]]*10)</f>
        <v>N/A</v>
      </c>
      <c r="H6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5" s="11" t="str">
        <f>IF(DataTable[[#This Row],[Lo. B. Successful Xings.]]="","N/A",SUM(ProcessedData[[#This Row],[Lo. B. Ti.]],DataTable[[#This Row],[Lo. B. Successful Xings.]]+1))</f>
        <v>N/A</v>
      </c>
      <c r="Z6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6" spans="1:26" x14ac:dyDescent="0.2">
      <c r="A656" t="str">
        <f>IF(DataTable[[#This Row],[Tm.]]="","N/A",DataTable[[#This Row],[Tm.]])</f>
        <v>N/A</v>
      </c>
      <c r="B656" t="str">
        <f>IF(DataTable[[#This Row],[Match Nr.]]="","N/A",DataTable[[#This Row],[Match Nr.]])</f>
        <v>N/A</v>
      </c>
      <c r="C6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6" t="str">
        <f>IF(AND(DataTable[[#This Row],[Successful Lo. G. S]]="",DataTable[[#This Row],[Successful Hi. G. S.]]=""),"N/A",DataTable[[#This Row],[Successful Lo. G. S]]*2+DataTable[[#This Row],[Successful Hi. G. S.]]*10)</f>
        <v>N/A</v>
      </c>
      <c r="H6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6" s="11" t="str">
        <f>IF(DataTable[[#This Row],[Lo. B. Successful Xings.]]="","N/A",SUM(ProcessedData[[#This Row],[Lo. B. Ti.]],DataTable[[#This Row],[Lo. B. Successful Xings.]]+1))</f>
        <v>N/A</v>
      </c>
      <c r="Z6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7" spans="1:26" x14ac:dyDescent="0.2">
      <c r="A657" t="str">
        <f>IF(DataTable[[#This Row],[Tm.]]="","N/A",DataTable[[#This Row],[Tm.]])</f>
        <v>N/A</v>
      </c>
      <c r="B657" t="str">
        <f>IF(DataTable[[#This Row],[Match Nr.]]="","N/A",DataTable[[#This Row],[Match Nr.]])</f>
        <v>N/A</v>
      </c>
      <c r="C6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7" t="str">
        <f>IF(AND(DataTable[[#This Row],[Successful Lo. G. S]]="",DataTable[[#This Row],[Successful Hi. G. S.]]=""),"N/A",DataTable[[#This Row],[Successful Lo. G. S]]*2+DataTable[[#This Row],[Successful Hi. G. S.]]*10)</f>
        <v>N/A</v>
      </c>
      <c r="H6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7" s="11" t="str">
        <f>IF(DataTable[[#This Row],[Lo. B. Successful Xings.]]="","N/A",SUM(ProcessedData[[#This Row],[Lo. B. Ti.]],DataTable[[#This Row],[Lo. B. Successful Xings.]]+1))</f>
        <v>N/A</v>
      </c>
      <c r="Z6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8" spans="1:26" x14ac:dyDescent="0.2">
      <c r="A658" t="str">
        <f>IF(DataTable[[#This Row],[Tm.]]="","N/A",DataTable[[#This Row],[Tm.]])</f>
        <v>N/A</v>
      </c>
      <c r="B658" t="str">
        <f>IF(DataTable[[#This Row],[Match Nr.]]="","N/A",DataTable[[#This Row],[Match Nr.]])</f>
        <v>N/A</v>
      </c>
      <c r="C6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8" t="str">
        <f>IF(AND(DataTable[[#This Row],[Successful Lo. G. S]]="",DataTable[[#This Row],[Successful Hi. G. S.]]=""),"N/A",DataTable[[#This Row],[Successful Lo. G. S]]*2+DataTable[[#This Row],[Successful Hi. G. S.]]*10)</f>
        <v>N/A</v>
      </c>
      <c r="H6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8" s="11" t="str">
        <f>IF(DataTable[[#This Row],[Lo. B. Successful Xings.]]="","N/A",SUM(ProcessedData[[#This Row],[Lo. B. Ti.]],DataTable[[#This Row],[Lo. B. Successful Xings.]]+1))</f>
        <v>N/A</v>
      </c>
      <c r="Z6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59" spans="1:26" x14ac:dyDescent="0.2">
      <c r="A659" t="str">
        <f>IF(DataTable[[#This Row],[Tm.]]="","N/A",DataTable[[#This Row],[Tm.]])</f>
        <v>N/A</v>
      </c>
      <c r="B659" t="str">
        <f>IF(DataTable[[#This Row],[Match Nr.]]="","N/A",DataTable[[#This Row],[Match Nr.]])</f>
        <v>N/A</v>
      </c>
      <c r="C6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59" t="str">
        <f>IF(AND(DataTable[[#This Row],[Successful Lo. G. S]]="",DataTable[[#This Row],[Successful Hi. G. S.]]=""),"N/A",DataTable[[#This Row],[Successful Lo. G. S]]*2+DataTable[[#This Row],[Successful Hi. G. S.]]*10)</f>
        <v>N/A</v>
      </c>
      <c r="H6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59" s="11" t="str">
        <f>IF(DataTable[[#This Row],[Lo. B. Successful Xings.]]="","N/A",SUM(ProcessedData[[#This Row],[Lo. B. Ti.]],DataTable[[#This Row],[Lo. B. Successful Xings.]]+1))</f>
        <v>N/A</v>
      </c>
      <c r="Z6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0" spans="1:26" x14ac:dyDescent="0.2">
      <c r="A660" t="str">
        <f>IF(DataTable[[#This Row],[Tm.]]="","N/A",DataTable[[#This Row],[Tm.]])</f>
        <v>N/A</v>
      </c>
      <c r="B660" t="str">
        <f>IF(DataTable[[#This Row],[Match Nr.]]="","N/A",DataTable[[#This Row],[Match Nr.]])</f>
        <v>N/A</v>
      </c>
      <c r="C6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0" t="str">
        <f>IF(AND(DataTable[[#This Row],[Successful Lo. G. S]]="",DataTable[[#This Row],[Successful Hi. G. S.]]=""),"N/A",DataTable[[#This Row],[Successful Lo. G. S]]*2+DataTable[[#This Row],[Successful Hi. G. S.]]*10)</f>
        <v>N/A</v>
      </c>
      <c r="H6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0" s="11" t="str">
        <f>IF(DataTable[[#This Row],[Lo. B. Successful Xings.]]="","N/A",SUM(ProcessedData[[#This Row],[Lo. B. Ti.]],DataTable[[#This Row],[Lo. B. Successful Xings.]]+1))</f>
        <v>N/A</v>
      </c>
      <c r="Z6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1" spans="1:26" x14ac:dyDescent="0.2">
      <c r="A661" t="str">
        <f>IF(DataTable[[#This Row],[Tm.]]="","N/A",DataTable[[#This Row],[Tm.]])</f>
        <v>N/A</v>
      </c>
      <c r="B661" t="str">
        <f>IF(DataTable[[#This Row],[Match Nr.]]="","N/A",DataTable[[#This Row],[Match Nr.]])</f>
        <v>N/A</v>
      </c>
      <c r="C6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1" t="str">
        <f>IF(AND(DataTable[[#This Row],[Successful Lo. G. S]]="",DataTable[[#This Row],[Successful Hi. G. S.]]=""),"N/A",DataTable[[#This Row],[Successful Lo. G. S]]*2+DataTable[[#This Row],[Successful Hi. G. S.]]*10)</f>
        <v>N/A</v>
      </c>
      <c r="H6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1" s="11" t="str">
        <f>IF(DataTable[[#This Row],[Lo. B. Successful Xings.]]="","N/A",SUM(ProcessedData[[#This Row],[Lo. B. Ti.]],DataTable[[#This Row],[Lo. B. Successful Xings.]]+1))</f>
        <v>N/A</v>
      </c>
      <c r="Z6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2" spans="1:26" x14ac:dyDescent="0.2">
      <c r="A662" t="str">
        <f>IF(DataTable[[#This Row],[Tm.]]="","N/A",DataTable[[#This Row],[Tm.]])</f>
        <v>N/A</v>
      </c>
      <c r="B662" t="str">
        <f>IF(DataTable[[#This Row],[Match Nr.]]="","N/A",DataTable[[#This Row],[Match Nr.]])</f>
        <v>N/A</v>
      </c>
      <c r="C6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2" t="str">
        <f>IF(AND(DataTable[[#This Row],[Successful Lo. G. S]]="",DataTable[[#This Row],[Successful Hi. G. S.]]=""),"N/A",DataTable[[#This Row],[Successful Lo. G. S]]*2+DataTable[[#This Row],[Successful Hi. G. S.]]*10)</f>
        <v>N/A</v>
      </c>
      <c r="H6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2" s="11" t="str">
        <f>IF(DataTable[[#This Row],[Lo. B. Successful Xings.]]="","N/A",SUM(ProcessedData[[#This Row],[Lo. B. Ti.]],DataTable[[#This Row],[Lo. B. Successful Xings.]]+1))</f>
        <v>N/A</v>
      </c>
      <c r="Z6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3" spans="1:26" x14ac:dyDescent="0.2">
      <c r="A663" t="str">
        <f>IF(DataTable[[#This Row],[Tm.]]="","N/A",DataTable[[#This Row],[Tm.]])</f>
        <v>N/A</v>
      </c>
      <c r="B663" t="str">
        <f>IF(DataTable[[#This Row],[Match Nr.]]="","N/A",DataTable[[#This Row],[Match Nr.]])</f>
        <v>N/A</v>
      </c>
      <c r="C6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3" t="str">
        <f>IF(AND(DataTable[[#This Row],[Successful Lo. G. S]]="",DataTable[[#This Row],[Successful Hi. G. S.]]=""),"N/A",DataTable[[#This Row],[Successful Lo. G. S]]*2+DataTable[[#This Row],[Successful Hi. G. S.]]*10)</f>
        <v>N/A</v>
      </c>
      <c r="H6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3" s="11" t="str">
        <f>IF(DataTable[[#This Row],[Lo. B. Successful Xings.]]="","N/A",SUM(ProcessedData[[#This Row],[Lo. B. Ti.]],DataTable[[#This Row],[Lo. B. Successful Xings.]]+1))</f>
        <v>N/A</v>
      </c>
      <c r="Z6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4" spans="1:26" x14ac:dyDescent="0.2">
      <c r="A664" t="str">
        <f>IF(DataTable[[#This Row],[Tm.]]="","N/A",DataTable[[#This Row],[Tm.]])</f>
        <v>N/A</v>
      </c>
      <c r="B664" t="str">
        <f>IF(DataTable[[#This Row],[Match Nr.]]="","N/A",DataTable[[#This Row],[Match Nr.]])</f>
        <v>N/A</v>
      </c>
      <c r="C6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4" t="str">
        <f>IF(AND(DataTable[[#This Row],[Successful Lo. G. S]]="",DataTable[[#This Row],[Successful Hi. G. S.]]=""),"N/A",DataTable[[#This Row],[Successful Lo. G. S]]*2+DataTable[[#This Row],[Successful Hi. G. S.]]*10)</f>
        <v>N/A</v>
      </c>
      <c r="H6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4" s="11" t="str">
        <f>IF(DataTable[[#This Row],[Lo. B. Successful Xings.]]="","N/A",SUM(ProcessedData[[#This Row],[Lo. B. Ti.]],DataTable[[#This Row],[Lo. B. Successful Xings.]]+1))</f>
        <v>N/A</v>
      </c>
      <c r="Z6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5" spans="1:26" x14ac:dyDescent="0.2">
      <c r="A665" t="str">
        <f>IF(DataTable[[#This Row],[Tm.]]="","N/A",DataTable[[#This Row],[Tm.]])</f>
        <v>N/A</v>
      </c>
      <c r="B665" t="str">
        <f>IF(DataTable[[#This Row],[Match Nr.]]="","N/A",DataTable[[#This Row],[Match Nr.]])</f>
        <v>N/A</v>
      </c>
      <c r="C6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5" t="str">
        <f>IF(AND(DataTable[[#This Row],[Successful Lo. G. S]]="",DataTable[[#This Row],[Successful Hi. G. S.]]=""),"N/A",DataTable[[#This Row],[Successful Lo. G. S]]*2+DataTable[[#This Row],[Successful Hi. G. S.]]*10)</f>
        <v>N/A</v>
      </c>
      <c r="H6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5" s="11" t="str">
        <f>IF(DataTable[[#This Row],[Lo. B. Successful Xings.]]="","N/A",SUM(ProcessedData[[#This Row],[Lo. B. Ti.]],DataTable[[#This Row],[Lo. B. Successful Xings.]]+1))</f>
        <v>N/A</v>
      </c>
      <c r="Z6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6" spans="1:26" x14ac:dyDescent="0.2">
      <c r="A666" t="str">
        <f>IF(DataTable[[#This Row],[Tm.]]="","N/A",DataTable[[#This Row],[Tm.]])</f>
        <v>N/A</v>
      </c>
      <c r="B666" t="str">
        <f>IF(DataTable[[#This Row],[Match Nr.]]="","N/A",DataTable[[#This Row],[Match Nr.]])</f>
        <v>N/A</v>
      </c>
      <c r="C6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6" t="str">
        <f>IF(AND(DataTable[[#This Row],[Successful Lo. G. S]]="",DataTable[[#This Row],[Successful Hi. G. S.]]=""),"N/A",DataTable[[#This Row],[Successful Lo. G. S]]*2+DataTable[[#This Row],[Successful Hi. G. S.]]*10)</f>
        <v>N/A</v>
      </c>
      <c r="H6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6" s="11" t="str">
        <f>IF(DataTable[[#This Row],[Lo. B. Successful Xings.]]="","N/A",SUM(ProcessedData[[#This Row],[Lo. B. Ti.]],DataTable[[#This Row],[Lo. B. Successful Xings.]]+1))</f>
        <v>N/A</v>
      </c>
      <c r="Z6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7" spans="1:26" x14ac:dyDescent="0.2">
      <c r="A667" t="str">
        <f>IF(DataTable[[#This Row],[Tm.]]="","N/A",DataTable[[#This Row],[Tm.]])</f>
        <v>N/A</v>
      </c>
      <c r="B667" t="str">
        <f>IF(DataTable[[#This Row],[Match Nr.]]="","N/A",DataTable[[#This Row],[Match Nr.]])</f>
        <v>N/A</v>
      </c>
      <c r="C6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7" t="str">
        <f>IF(AND(DataTable[[#This Row],[Successful Lo. G. S]]="",DataTable[[#This Row],[Successful Hi. G. S.]]=""),"N/A",DataTable[[#This Row],[Successful Lo. G. S]]*2+DataTable[[#This Row],[Successful Hi. G. S.]]*10)</f>
        <v>N/A</v>
      </c>
      <c r="H6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7" s="11" t="str">
        <f>IF(DataTable[[#This Row],[Lo. B. Successful Xings.]]="","N/A",SUM(ProcessedData[[#This Row],[Lo. B. Ti.]],DataTable[[#This Row],[Lo. B. Successful Xings.]]+1))</f>
        <v>N/A</v>
      </c>
      <c r="Z6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8" spans="1:26" x14ac:dyDescent="0.2">
      <c r="A668" t="str">
        <f>IF(DataTable[[#This Row],[Tm.]]="","N/A",DataTable[[#This Row],[Tm.]])</f>
        <v>N/A</v>
      </c>
      <c r="B668" t="str">
        <f>IF(DataTable[[#This Row],[Match Nr.]]="","N/A",DataTable[[#This Row],[Match Nr.]])</f>
        <v>N/A</v>
      </c>
      <c r="C6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8" t="str">
        <f>IF(AND(DataTable[[#This Row],[Successful Lo. G. S]]="",DataTable[[#This Row],[Successful Hi. G. S.]]=""),"N/A",DataTable[[#This Row],[Successful Lo. G. S]]*2+DataTable[[#This Row],[Successful Hi. G. S.]]*10)</f>
        <v>N/A</v>
      </c>
      <c r="H6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8" s="11" t="str">
        <f>IF(DataTable[[#This Row],[Lo. B. Successful Xings.]]="","N/A",SUM(ProcessedData[[#This Row],[Lo. B. Ti.]],DataTable[[#This Row],[Lo. B. Successful Xings.]]+1))</f>
        <v>N/A</v>
      </c>
      <c r="Z6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69" spans="1:26" x14ac:dyDescent="0.2">
      <c r="A669" t="str">
        <f>IF(DataTable[[#This Row],[Tm.]]="","N/A",DataTable[[#This Row],[Tm.]])</f>
        <v>N/A</v>
      </c>
      <c r="B669" t="str">
        <f>IF(DataTable[[#This Row],[Match Nr.]]="","N/A",DataTable[[#This Row],[Match Nr.]])</f>
        <v>N/A</v>
      </c>
      <c r="C6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69" t="str">
        <f>IF(AND(DataTable[[#This Row],[Successful Lo. G. S]]="",DataTable[[#This Row],[Successful Hi. G. S.]]=""),"N/A",DataTable[[#This Row],[Successful Lo. G. S]]*2+DataTable[[#This Row],[Successful Hi. G. S.]]*10)</f>
        <v>N/A</v>
      </c>
      <c r="H6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69" s="11" t="str">
        <f>IF(DataTable[[#This Row],[Lo. B. Successful Xings.]]="","N/A",SUM(ProcessedData[[#This Row],[Lo. B. Ti.]],DataTable[[#This Row],[Lo. B. Successful Xings.]]+1))</f>
        <v>N/A</v>
      </c>
      <c r="Z6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0" spans="1:26" x14ac:dyDescent="0.2">
      <c r="A670" t="str">
        <f>IF(DataTable[[#This Row],[Tm.]]="","N/A",DataTable[[#This Row],[Tm.]])</f>
        <v>N/A</v>
      </c>
      <c r="B670" t="str">
        <f>IF(DataTable[[#This Row],[Match Nr.]]="","N/A",DataTable[[#This Row],[Match Nr.]])</f>
        <v>N/A</v>
      </c>
      <c r="C6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0" t="str">
        <f>IF(AND(DataTable[[#This Row],[Successful Lo. G. S]]="",DataTable[[#This Row],[Successful Hi. G. S.]]=""),"N/A",DataTable[[#This Row],[Successful Lo. G. S]]*2+DataTable[[#This Row],[Successful Hi. G. S.]]*10)</f>
        <v>N/A</v>
      </c>
      <c r="H6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0" s="11" t="str">
        <f>IF(DataTable[[#This Row],[Lo. B. Successful Xings.]]="","N/A",SUM(ProcessedData[[#This Row],[Lo. B. Ti.]],DataTable[[#This Row],[Lo. B. Successful Xings.]]+1))</f>
        <v>N/A</v>
      </c>
      <c r="Z6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1" spans="1:26" x14ac:dyDescent="0.2">
      <c r="A671" t="str">
        <f>IF(DataTable[[#This Row],[Tm.]]="","N/A",DataTable[[#This Row],[Tm.]])</f>
        <v>N/A</v>
      </c>
      <c r="B671" t="str">
        <f>IF(DataTable[[#This Row],[Match Nr.]]="","N/A",DataTable[[#This Row],[Match Nr.]])</f>
        <v>N/A</v>
      </c>
      <c r="C6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1" t="str">
        <f>IF(AND(DataTable[[#This Row],[Successful Lo. G. S]]="",DataTable[[#This Row],[Successful Hi. G. S.]]=""),"N/A",DataTable[[#This Row],[Successful Lo. G. S]]*2+DataTable[[#This Row],[Successful Hi. G. S.]]*10)</f>
        <v>N/A</v>
      </c>
      <c r="H6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1" s="11" t="str">
        <f>IF(DataTable[[#This Row],[Lo. B. Successful Xings.]]="","N/A",SUM(ProcessedData[[#This Row],[Lo. B. Ti.]],DataTable[[#This Row],[Lo. B. Successful Xings.]]+1))</f>
        <v>N/A</v>
      </c>
      <c r="Z6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2" spans="1:26" x14ac:dyDescent="0.2">
      <c r="A672" t="str">
        <f>IF(DataTable[[#This Row],[Tm.]]="","N/A",DataTable[[#This Row],[Tm.]])</f>
        <v>N/A</v>
      </c>
      <c r="B672" t="str">
        <f>IF(DataTable[[#This Row],[Match Nr.]]="","N/A",DataTable[[#This Row],[Match Nr.]])</f>
        <v>N/A</v>
      </c>
      <c r="C6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2" t="str">
        <f>IF(AND(DataTable[[#This Row],[Successful Lo. G. S]]="",DataTable[[#This Row],[Successful Hi. G. S.]]=""),"N/A",DataTable[[#This Row],[Successful Lo. G. S]]*2+DataTable[[#This Row],[Successful Hi. G. S.]]*10)</f>
        <v>N/A</v>
      </c>
      <c r="H6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2" s="11" t="str">
        <f>IF(DataTable[[#This Row],[Lo. B. Successful Xings.]]="","N/A",SUM(ProcessedData[[#This Row],[Lo. B. Ti.]],DataTable[[#This Row],[Lo. B. Successful Xings.]]+1))</f>
        <v>N/A</v>
      </c>
      <c r="Z6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3" spans="1:26" x14ac:dyDescent="0.2">
      <c r="A673" t="str">
        <f>IF(DataTable[[#This Row],[Tm.]]="","N/A",DataTable[[#This Row],[Tm.]])</f>
        <v>N/A</v>
      </c>
      <c r="B673" t="str">
        <f>IF(DataTable[[#This Row],[Match Nr.]]="","N/A",DataTable[[#This Row],[Match Nr.]])</f>
        <v>N/A</v>
      </c>
      <c r="C6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3" t="str">
        <f>IF(AND(DataTable[[#This Row],[Successful Lo. G. S]]="",DataTable[[#This Row],[Successful Hi. G. S.]]=""),"N/A",DataTable[[#This Row],[Successful Lo. G. S]]*2+DataTable[[#This Row],[Successful Hi. G. S.]]*10)</f>
        <v>N/A</v>
      </c>
      <c r="H6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3" s="11" t="str">
        <f>IF(DataTable[[#This Row],[Lo. B. Successful Xings.]]="","N/A",SUM(ProcessedData[[#This Row],[Lo. B. Ti.]],DataTable[[#This Row],[Lo. B. Successful Xings.]]+1))</f>
        <v>N/A</v>
      </c>
      <c r="Z6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4" spans="1:26" x14ac:dyDescent="0.2">
      <c r="A674" t="str">
        <f>IF(DataTable[[#This Row],[Tm.]]="","N/A",DataTable[[#This Row],[Tm.]])</f>
        <v>N/A</v>
      </c>
      <c r="B674" t="str">
        <f>IF(DataTable[[#This Row],[Match Nr.]]="","N/A",DataTable[[#This Row],[Match Nr.]])</f>
        <v>N/A</v>
      </c>
      <c r="C6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4" t="str">
        <f>IF(AND(DataTable[[#This Row],[Successful Lo. G. S]]="",DataTable[[#This Row],[Successful Hi. G. S.]]=""),"N/A",DataTable[[#This Row],[Successful Lo. G. S]]*2+DataTable[[#This Row],[Successful Hi. G. S.]]*10)</f>
        <v>N/A</v>
      </c>
      <c r="H6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4" s="11" t="str">
        <f>IF(DataTable[[#This Row],[Lo. B. Successful Xings.]]="","N/A",SUM(ProcessedData[[#This Row],[Lo. B. Ti.]],DataTable[[#This Row],[Lo. B. Successful Xings.]]+1))</f>
        <v>N/A</v>
      </c>
      <c r="Z6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5" spans="1:26" x14ac:dyDescent="0.2">
      <c r="A675" t="str">
        <f>IF(DataTable[[#This Row],[Tm.]]="","N/A",DataTable[[#This Row],[Tm.]])</f>
        <v>N/A</v>
      </c>
      <c r="B675" t="str">
        <f>IF(DataTable[[#This Row],[Match Nr.]]="","N/A",DataTable[[#This Row],[Match Nr.]])</f>
        <v>N/A</v>
      </c>
      <c r="C6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5" t="str">
        <f>IF(AND(DataTable[[#This Row],[Successful Lo. G. S]]="",DataTable[[#This Row],[Successful Hi. G. S.]]=""),"N/A",DataTable[[#This Row],[Successful Lo. G. S]]*2+DataTable[[#This Row],[Successful Hi. G. S.]]*10)</f>
        <v>N/A</v>
      </c>
      <c r="H6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5" s="11" t="str">
        <f>IF(DataTable[[#This Row],[Lo. B. Successful Xings.]]="","N/A",SUM(ProcessedData[[#This Row],[Lo. B. Ti.]],DataTable[[#This Row],[Lo. B. Successful Xings.]]+1))</f>
        <v>N/A</v>
      </c>
      <c r="Z6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6" spans="1:26" x14ac:dyDescent="0.2">
      <c r="A676" t="str">
        <f>IF(DataTable[[#This Row],[Tm.]]="","N/A",DataTable[[#This Row],[Tm.]])</f>
        <v>N/A</v>
      </c>
      <c r="B676" t="str">
        <f>IF(DataTable[[#This Row],[Match Nr.]]="","N/A",DataTable[[#This Row],[Match Nr.]])</f>
        <v>N/A</v>
      </c>
      <c r="C6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6" t="str">
        <f>IF(AND(DataTable[[#This Row],[Successful Lo. G. S]]="",DataTable[[#This Row],[Successful Hi. G. S.]]=""),"N/A",DataTable[[#This Row],[Successful Lo. G. S]]*2+DataTable[[#This Row],[Successful Hi. G. S.]]*10)</f>
        <v>N/A</v>
      </c>
      <c r="H6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6" s="11" t="str">
        <f>IF(DataTable[[#This Row],[Lo. B. Successful Xings.]]="","N/A",SUM(ProcessedData[[#This Row],[Lo. B. Ti.]],DataTable[[#This Row],[Lo. B. Successful Xings.]]+1))</f>
        <v>N/A</v>
      </c>
      <c r="Z6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7" spans="1:26" x14ac:dyDescent="0.2">
      <c r="A677" t="str">
        <f>IF(DataTable[[#This Row],[Tm.]]="","N/A",DataTable[[#This Row],[Tm.]])</f>
        <v>N/A</v>
      </c>
      <c r="B677" t="str">
        <f>IF(DataTable[[#This Row],[Match Nr.]]="","N/A",DataTable[[#This Row],[Match Nr.]])</f>
        <v>N/A</v>
      </c>
      <c r="C6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7" t="str">
        <f>IF(AND(DataTable[[#This Row],[Successful Lo. G. S]]="",DataTable[[#This Row],[Successful Hi. G. S.]]=""),"N/A",DataTable[[#This Row],[Successful Lo. G. S]]*2+DataTable[[#This Row],[Successful Hi. G. S.]]*10)</f>
        <v>N/A</v>
      </c>
      <c r="H6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7" s="11" t="str">
        <f>IF(DataTable[[#This Row],[Lo. B. Successful Xings.]]="","N/A",SUM(ProcessedData[[#This Row],[Lo. B. Ti.]],DataTable[[#This Row],[Lo. B. Successful Xings.]]+1))</f>
        <v>N/A</v>
      </c>
      <c r="Z6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8" spans="1:26" x14ac:dyDescent="0.2">
      <c r="A678" t="str">
        <f>IF(DataTable[[#This Row],[Tm.]]="","N/A",DataTable[[#This Row],[Tm.]])</f>
        <v>N/A</v>
      </c>
      <c r="B678" t="str">
        <f>IF(DataTable[[#This Row],[Match Nr.]]="","N/A",DataTable[[#This Row],[Match Nr.]])</f>
        <v>N/A</v>
      </c>
      <c r="C6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8" t="str">
        <f>IF(AND(DataTable[[#This Row],[Successful Lo. G. S]]="",DataTable[[#This Row],[Successful Hi. G. S.]]=""),"N/A",DataTable[[#This Row],[Successful Lo. G. S]]*2+DataTable[[#This Row],[Successful Hi. G. S.]]*10)</f>
        <v>N/A</v>
      </c>
      <c r="H6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8" s="11" t="str">
        <f>IF(DataTable[[#This Row],[Lo. B. Successful Xings.]]="","N/A",SUM(ProcessedData[[#This Row],[Lo. B. Ti.]],DataTable[[#This Row],[Lo. B. Successful Xings.]]+1))</f>
        <v>N/A</v>
      </c>
      <c r="Z6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79" spans="1:26" x14ac:dyDescent="0.2">
      <c r="A679" t="str">
        <f>IF(DataTable[[#This Row],[Tm.]]="","N/A",DataTable[[#This Row],[Tm.]])</f>
        <v>N/A</v>
      </c>
      <c r="B679" t="str">
        <f>IF(DataTable[[#This Row],[Match Nr.]]="","N/A",DataTable[[#This Row],[Match Nr.]])</f>
        <v>N/A</v>
      </c>
      <c r="C6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79" t="str">
        <f>IF(AND(DataTable[[#This Row],[Successful Lo. G. S]]="",DataTable[[#This Row],[Successful Hi. G. S.]]=""),"N/A",DataTable[[#This Row],[Successful Lo. G. S]]*2+DataTable[[#This Row],[Successful Hi. G. S.]]*10)</f>
        <v>N/A</v>
      </c>
      <c r="H6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79" s="11" t="str">
        <f>IF(DataTable[[#This Row],[Lo. B. Successful Xings.]]="","N/A",SUM(ProcessedData[[#This Row],[Lo. B. Ti.]],DataTable[[#This Row],[Lo. B. Successful Xings.]]+1))</f>
        <v>N/A</v>
      </c>
      <c r="Z6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0" spans="1:26" x14ac:dyDescent="0.2">
      <c r="A680" t="str">
        <f>IF(DataTable[[#This Row],[Tm.]]="","N/A",DataTable[[#This Row],[Tm.]])</f>
        <v>N/A</v>
      </c>
      <c r="B680" t="str">
        <f>IF(DataTable[[#This Row],[Match Nr.]]="","N/A",DataTable[[#This Row],[Match Nr.]])</f>
        <v>N/A</v>
      </c>
      <c r="C6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0" t="str">
        <f>IF(AND(DataTable[[#This Row],[Successful Lo. G. S]]="",DataTable[[#This Row],[Successful Hi. G. S.]]=""),"N/A",DataTable[[#This Row],[Successful Lo. G. S]]*2+DataTable[[#This Row],[Successful Hi. G. S.]]*10)</f>
        <v>N/A</v>
      </c>
      <c r="H6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0" s="11" t="str">
        <f>IF(DataTable[[#This Row],[Lo. B. Successful Xings.]]="","N/A",SUM(ProcessedData[[#This Row],[Lo. B. Ti.]],DataTable[[#This Row],[Lo. B. Successful Xings.]]+1))</f>
        <v>N/A</v>
      </c>
      <c r="Z6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1" spans="1:26" x14ac:dyDescent="0.2">
      <c r="A681" t="str">
        <f>IF(DataTable[[#This Row],[Tm.]]="","N/A",DataTable[[#This Row],[Tm.]])</f>
        <v>N/A</v>
      </c>
      <c r="B681" t="str">
        <f>IF(DataTable[[#This Row],[Match Nr.]]="","N/A",DataTable[[#This Row],[Match Nr.]])</f>
        <v>N/A</v>
      </c>
      <c r="C6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1" t="str">
        <f>IF(AND(DataTable[[#This Row],[Successful Lo. G. S]]="",DataTable[[#This Row],[Successful Hi. G. S.]]=""),"N/A",DataTable[[#This Row],[Successful Lo. G. S]]*2+DataTable[[#This Row],[Successful Hi. G. S.]]*10)</f>
        <v>N/A</v>
      </c>
      <c r="H6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1" s="11" t="str">
        <f>IF(DataTable[[#This Row],[Lo. B. Successful Xings.]]="","N/A",SUM(ProcessedData[[#This Row],[Lo. B. Ti.]],DataTable[[#This Row],[Lo. B. Successful Xings.]]+1))</f>
        <v>N/A</v>
      </c>
      <c r="Z6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2" spans="1:26" x14ac:dyDescent="0.2">
      <c r="A682" t="str">
        <f>IF(DataTable[[#This Row],[Tm.]]="","N/A",DataTable[[#This Row],[Tm.]])</f>
        <v>N/A</v>
      </c>
      <c r="B682" t="str">
        <f>IF(DataTable[[#This Row],[Match Nr.]]="","N/A",DataTable[[#This Row],[Match Nr.]])</f>
        <v>N/A</v>
      </c>
      <c r="C6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2" t="str">
        <f>IF(AND(DataTable[[#This Row],[Successful Lo. G. S]]="",DataTable[[#This Row],[Successful Hi. G. S.]]=""),"N/A",DataTable[[#This Row],[Successful Lo. G. S]]*2+DataTable[[#This Row],[Successful Hi. G. S.]]*10)</f>
        <v>N/A</v>
      </c>
      <c r="H6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2" s="11" t="str">
        <f>IF(DataTable[[#This Row],[Lo. B. Successful Xings.]]="","N/A",SUM(ProcessedData[[#This Row],[Lo. B. Ti.]],DataTable[[#This Row],[Lo. B. Successful Xings.]]+1))</f>
        <v>N/A</v>
      </c>
      <c r="Z6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3" spans="1:26" x14ac:dyDescent="0.2">
      <c r="A683" t="str">
        <f>IF(DataTable[[#This Row],[Tm.]]="","N/A",DataTable[[#This Row],[Tm.]])</f>
        <v>N/A</v>
      </c>
      <c r="B683" t="str">
        <f>IF(DataTable[[#This Row],[Match Nr.]]="","N/A",DataTable[[#This Row],[Match Nr.]])</f>
        <v>N/A</v>
      </c>
      <c r="C6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3" t="str">
        <f>IF(AND(DataTable[[#This Row],[Successful Lo. G. S]]="",DataTable[[#This Row],[Successful Hi. G. S.]]=""),"N/A",DataTable[[#This Row],[Successful Lo. G. S]]*2+DataTable[[#This Row],[Successful Hi. G. S.]]*10)</f>
        <v>N/A</v>
      </c>
      <c r="H6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3" s="11" t="str">
        <f>IF(DataTable[[#This Row],[Lo. B. Successful Xings.]]="","N/A",SUM(ProcessedData[[#This Row],[Lo. B. Ti.]],DataTable[[#This Row],[Lo. B. Successful Xings.]]+1))</f>
        <v>N/A</v>
      </c>
      <c r="Z6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4" spans="1:26" x14ac:dyDescent="0.2">
      <c r="A684" t="str">
        <f>IF(DataTable[[#This Row],[Tm.]]="","N/A",DataTable[[#This Row],[Tm.]])</f>
        <v>N/A</v>
      </c>
      <c r="B684" t="str">
        <f>IF(DataTable[[#This Row],[Match Nr.]]="","N/A",DataTable[[#This Row],[Match Nr.]])</f>
        <v>N/A</v>
      </c>
      <c r="C6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4" t="str">
        <f>IF(AND(DataTable[[#This Row],[Successful Lo. G. S]]="",DataTable[[#This Row],[Successful Hi. G. S.]]=""),"N/A",DataTable[[#This Row],[Successful Lo. G. S]]*2+DataTable[[#This Row],[Successful Hi. G. S.]]*10)</f>
        <v>N/A</v>
      </c>
      <c r="H6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4" s="11" t="str">
        <f>IF(DataTable[[#This Row],[Lo. B. Successful Xings.]]="","N/A",SUM(ProcessedData[[#This Row],[Lo. B. Ti.]],DataTable[[#This Row],[Lo. B. Successful Xings.]]+1))</f>
        <v>N/A</v>
      </c>
      <c r="Z6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5" spans="1:26" x14ac:dyDescent="0.2">
      <c r="A685" t="str">
        <f>IF(DataTable[[#This Row],[Tm.]]="","N/A",DataTable[[#This Row],[Tm.]])</f>
        <v>N/A</v>
      </c>
      <c r="B685" t="str">
        <f>IF(DataTable[[#This Row],[Match Nr.]]="","N/A",DataTable[[#This Row],[Match Nr.]])</f>
        <v>N/A</v>
      </c>
      <c r="C6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5" t="str">
        <f>IF(AND(DataTable[[#This Row],[Successful Lo. G. S]]="",DataTable[[#This Row],[Successful Hi. G. S.]]=""),"N/A",DataTable[[#This Row],[Successful Lo. G. S]]*2+DataTable[[#This Row],[Successful Hi. G. S.]]*10)</f>
        <v>N/A</v>
      </c>
      <c r="H6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5" s="11" t="str">
        <f>IF(DataTable[[#This Row],[Lo. B. Successful Xings.]]="","N/A",SUM(ProcessedData[[#This Row],[Lo. B. Ti.]],DataTable[[#This Row],[Lo. B. Successful Xings.]]+1))</f>
        <v>N/A</v>
      </c>
      <c r="Z6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6" spans="1:26" x14ac:dyDescent="0.2">
      <c r="A686" t="str">
        <f>IF(DataTable[[#This Row],[Tm.]]="","N/A",DataTable[[#This Row],[Tm.]])</f>
        <v>N/A</v>
      </c>
      <c r="B686" t="str">
        <f>IF(DataTable[[#This Row],[Match Nr.]]="","N/A",DataTable[[#This Row],[Match Nr.]])</f>
        <v>N/A</v>
      </c>
      <c r="C6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6" t="str">
        <f>IF(AND(DataTable[[#This Row],[Successful Lo. G. S]]="",DataTable[[#This Row],[Successful Hi. G. S.]]=""),"N/A",DataTable[[#This Row],[Successful Lo. G. S]]*2+DataTable[[#This Row],[Successful Hi. G. S.]]*10)</f>
        <v>N/A</v>
      </c>
      <c r="H6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6" s="11" t="str">
        <f>IF(DataTable[[#This Row],[Lo. B. Successful Xings.]]="","N/A",SUM(ProcessedData[[#This Row],[Lo. B. Ti.]],DataTable[[#This Row],[Lo. B. Successful Xings.]]+1))</f>
        <v>N/A</v>
      </c>
      <c r="Z6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7" spans="1:26" x14ac:dyDescent="0.2">
      <c r="A687" t="str">
        <f>IF(DataTable[[#This Row],[Tm.]]="","N/A",DataTable[[#This Row],[Tm.]])</f>
        <v>N/A</v>
      </c>
      <c r="B687" t="str">
        <f>IF(DataTable[[#This Row],[Match Nr.]]="","N/A",DataTable[[#This Row],[Match Nr.]])</f>
        <v>N/A</v>
      </c>
      <c r="C6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7" t="str">
        <f>IF(AND(DataTable[[#This Row],[Successful Lo. G. S]]="",DataTable[[#This Row],[Successful Hi. G. S.]]=""),"N/A",DataTable[[#This Row],[Successful Lo. G. S]]*2+DataTable[[#This Row],[Successful Hi. G. S.]]*10)</f>
        <v>N/A</v>
      </c>
      <c r="H6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7" s="11" t="str">
        <f>IF(DataTable[[#This Row],[Lo. B. Successful Xings.]]="","N/A",SUM(ProcessedData[[#This Row],[Lo. B. Ti.]],DataTable[[#This Row],[Lo. B. Successful Xings.]]+1))</f>
        <v>N/A</v>
      </c>
      <c r="Z6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8" spans="1:26" x14ac:dyDescent="0.2">
      <c r="A688" t="str">
        <f>IF(DataTable[[#This Row],[Tm.]]="","N/A",DataTable[[#This Row],[Tm.]])</f>
        <v>N/A</v>
      </c>
      <c r="B688" t="str">
        <f>IF(DataTable[[#This Row],[Match Nr.]]="","N/A",DataTable[[#This Row],[Match Nr.]])</f>
        <v>N/A</v>
      </c>
      <c r="C6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8" t="str">
        <f>IF(AND(DataTable[[#This Row],[Successful Lo. G. S]]="",DataTable[[#This Row],[Successful Hi. G. S.]]=""),"N/A",DataTable[[#This Row],[Successful Lo. G. S]]*2+DataTable[[#This Row],[Successful Hi. G. S.]]*10)</f>
        <v>N/A</v>
      </c>
      <c r="H6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8" s="11" t="str">
        <f>IF(DataTable[[#This Row],[Lo. B. Successful Xings.]]="","N/A",SUM(ProcessedData[[#This Row],[Lo. B. Ti.]],DataTable[[#This Row],[Lo. B. Successful Xings.]]+1))</f>
        <v>N/A</v>
      </c>
      <c r="Z6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89" spans="1:26" x14ac:dyDescent="0.2">
      <c r="A689" t="str">
        <f>IF(DataTable[[#This Row],[Tm.]]="","N/A",DataTable[[#This Row],[Tm.]])</f>
        <v>N/A</v>
      </c>
      <c r="B689" t="str">
        <f>IF(DataTable[[#This Row],[Match Nr.]]="","N/A",DataTable[[#This Row],[Match Nr.]])</f>
        <v>N/A</v>
      </c>
      <c r="C6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89" t="str">
        <f>IF(AND(DataTable[[#This Row],[Successful Lo. G. S]]="",DataTable[[#This Row],[Successful Hi. G. S.]]=""),"N/A",DataTable[[#This Row],[Successful Lo. G. S]]*2+DataTable[[#This Row],[Successful Hi. G. S.]]*10)</f>
        <v>N/A</v>
      </c>
      <c r="H6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89" s="11" t="str">
        <f>IF(DataTable[[#This Row],[Lo. B. Successful Xings.]]="","N/A",SUM(ProcessedData[[#This Row],[Lo. B. Ti.]],DataTable[[#This Row],[Lo. B. Successful Xings.]]+1))</f>
        <v>N/A</v>
      </c>
      <c r="Z6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0" spans="1:26" x14ac:dyDescent="0.2">
      <c r="A690" t="str">
        <f>IF(DataTable[[#This Row],[Tm.]]="","N/A",DataTable[[#This Row],[Tm.]])</f>
        <v>N/A</v>
      </c>
      <c r="B690" t="str">
        <f>IF(DataTable[[#This Row],[Match Nr.]]="","N/A",DataTable[[#This Row],[Match Nr.]])</f>
        <v>N/A</v>
      </c>
      <c r="C6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0" t="str">
        <f>IF(AND(DataTable[[#This Row],[Successful Lo. G. S]]="",DataTable[[#This Row],[Successful Hi. G. S.]]=""),"N/A",DataTable[[#This Row],[Successful Lo. G. S]]*2+DataTable[[#This Row],[Successful Hi. G. S.]]*10)</f>
        <v>N/A</v>
      </c>
      <c r="H6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0" s="11" t="str">
        <f>IF(DataTable[[#This Row],[Lo. B. Successful Xings.]]="","N/A",SUM(ProcessedData[[#This Row],[Lo. B. Ti.]],DataTable[[#This Row],[Lo. B. Successful Xings.]]+1))</f>
        <v>N/A</v>
      </c>
      <c r="Z6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1" spans="1:26" x14ac:dyDescent="0.2">
      <c r="A691" t="str">
        <f>IF(DataTable[[#This Row],[Tm.]]="","N/A",DataTable[[#This Row],[Tm.]])</f>
        <v>N/A</v>
      </c>
      <c r="B691" t="str">
        <f>IF(DataTable[[#This Row],[Match Nr.]]="","N/A",DataTable[[#This Row],[Match Nr.]])</f>
        <v>N/A</v>
      </c>
      <c r="C6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1" t="str">
        <f>IF(AND(DataTable[[#This Row],[Successful Lo. G. S]]="",DataTable[[#This Row],[Successful Hi. G. S.]]=""),"N/A",DataTable[[#This Row],[Successful Lo. G. S]]*2+DataTable[[#This Row],[Successful Hi. G. S.]]*10)</f>
        <v>N/A</v>
      </c>
      <c r="H6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1" s="11" t="str">
        <f>IF(DataTable[[#This Row],[Lo. B. Successful Xings.]]="","N/A",SUM(ProcessedData[[#This Row],[Lo. B. Ti.]],DataTable[[#This Row],[Lo. B. Successful Xings.]]+1))</f>
        <v>N/A</v>
      </c>
      <c r="Z6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2" spans="1:26" x14ac:dyDescent="0.2">
      <c r="A692" t="str">
        <f>IF(DataTable[[#This Row],[Tm.]]="","N/A",DataTable[[#This Row],[Tm.]])</f>
        <v>N/A</v>
      </c>
      <c r="B692" t="str">
        <f>IF(DataTable[[#This Row],[Match Nr.]]="","N/A",DataTable[[#This Row],[Match Nr.]])</f>
        <v>N/A</v>
      </c>
      <c r="C6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2" t="str">
        <f>IF(AND(DataTable[[#This Row],[Successful Lo. G. S]]="",DataTable[[#This Row],[Successful Hi. G. S.]]=""),"N/A",DataTable[[#This Row],[Successful Lo. G. S]]*2+DataTable[[#This Row],[Successful Hi. G. S.]]*10)</f>
        <v>N/A</v>
      </c>
      <c r="H6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2" s="11" t="str">
        <f>IF(DataTable[[#This Row],[Lo. B. Successful Xings.]]="","N/A",SUM(ProcessedData[[#This Row],[Lo. B. Ti.]],DataTable[[#This Row],[Lo. B. Successful Xings.]]+1))</f>
        <v>N/A</v>
      </c>
      <c r="Z6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3" spans="1:26" x14ac:dyDescent="0.2">
      <c r="A693" t="str">
        <f>IF(DataTable[[#This Row],[Tm.]]="","N/A",DataTable[[#This Row],[Tm.]])</f>
        <v>N/A</v>
      </c>
      <c r="B693" t="str">
        <f>IF(DataTable[[#This Row],[Match Nr.]]="","N/A",DataTable[[#This Row],[Match Nr.]])</f>
        <v>N/A</v>
      </c>
      <c r="C6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3" t="str">
        <f>IF(AND(DataTable[[#This Row],[Successful Lo. G. S]]="",DataTable[[#This Row],[Successful Hi. G. S.]]=""),"N/A",DataTable[[#This Row],[Successful Lo. G. S]]*2+DataTable[[#This Row],[Successful Hi. G. S.]]*10)</f>
        <v>N/A</v>
      </c>
      <c r="H6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3" s="11" t="str">
        <f>IF(DataTable[[#This Row],[Lo. B. Successful Xings.]]="","N/A",SUM(ProcessedData[[#This Row],[Lo. B. Ti.]],DataTable[[#This Row],[Lo. B. Successful Xings.]]+1))</f>
        <v>N/A</v>
      </c>
      <c r="Z6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4" spans="1:26" x14ac:dyDescent="0.2">
      <c r="A694" t="str">
        <f>IF(DataTable[[#This Row],[Tm.]]="","N/A",DataTable[[#This Row],[Tm.]])</f>
        <v>N/A</v>
      </c>
      <c r="B694" t="str">
        <f>IF(DataTable[[#This Row],[Match Nr.]]="","N/A",DataTable[[#This Row],[Match Nr.]])</f>
        <v>N/A</v>
      </c>
      <c r="C6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4" t="str">
        <f>IF(AND(DataTable[[#This Row],[Successful Lo. G. S]]="",DataTable[[#This Row],[Successful Hi. G. S.]]=""),"N/A",DataTable[[#This Row],[Successful Lo. G. S]]*2+DataTable[[#This Row],[Successful Hi. G. S.]]*10)</f>
        <v>N/A</v>
      </c>
      <c r="H6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4" s="11" t="str">
        <f>IF(DataTable[[#This Row],[Lo. B. Successful Xings.]]="","N/A",SUM(ProcessedData[[#This Row],[Lo. B. Ti.]],DataTable[[#This Row],[Lo. B. Successful Xings.]]+1))</f>
        <v>N/A</v>
      </c>
      <c r="Z6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5" spans="1:26" x14ac:dyDescent="0.2">
      <c r="A695" t="str">
        <f>IF(DataTable[[#This Row],[Tm.]]="","N/A",DataTable[[#This Row],[Tm.]])</f>
        <v>N/A</v>
      </c>
      <c r="B695" t="str">
        <f>IF(DataTable[[#This Row],[Match Nr.]]="","N/A",DataTable[[#This Row],[Match Nr.]])</f>
        <v>N/A</v>
      </c>
      <c r="C6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5" t="str">
        <f>IF(AND(DataTable[[#This Row],[Successful Lo. G. S]]="",DataTable[[#This Row],[Successful Hi. G. S.]]=""),"N/A",DataTable[[#This Row],[Successful Lo. G. S]]*2+DataTable[[#This Row],[Successful Hi. G. S.]]*10)</f>
        <v>N/A</v>
      </c>
      <c r="H6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5" s="11" t="str">
        <f>IF(DataTable[[#This Row],[Lo. B. Successful Xings.]]="","N/A",SUM(ProcessedData[[#This Row],[Lo. B. Ti.]],DataTable[[#This Row],[Lo. B. Successful Xings.]]+1))</f>
        <v>N/A</v>
      </c>
      <c r="Z6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6" spans="1:26" x14ac:dyDescent="0.2">
      <c r="A696" t="str">
        <f>IF(DataTable[[#This Row],[Tm.]]="","N/A",DataTable[[#This Row],[Tm.]])</f>
        <v>N/A</v>
      </c>
      <c r="B696" t="str">
        <f>IF(DataTable[[#This Row],[Match Nr.]]="","N/A",DataTable[[#This Row],[Match Nr.]])</f>
        <v>N/A</v>
      </c>
      <c r="C6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6" t="str">
        <f>IF(AND(DataTable[[#This Row],[Successful Lo. G. S]]="",DataTable[[#This Row],[Successful Hi. G. S.]]=""),"N/A",DataTable[[#This Row],[Successful Lo. G. S]]*2+DataTable[[#This Row],[Successful Hi. G. S.]]*10)</f>
        <v>N/A</v>
      </c>
      <c r="H6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6" s="11" t="str">
        <f>IF(DataTable[[#This Row],[Lo. B. Successful Xings.]]="","N/A",SUM(ProcessedData[[#This Row],[Lo. B. Ti.]],DataTable[[#This Row],[Lo. B. Successful Xings.]]+1))</f>
        <v>N/A</v>
      </c>
      <c r="Z6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7" spans="1:26" x14ac:dyDescent="0.2">
      <c r="A697" t="str">
        <f>IF(DataTable[[#This Row],[Tm.]]="","N/A",DataTable[[#This Row],[Tm.]])</f>
        <v>N/A</v>
      </c>
      <c r="B697" t="str">
        <f>IF(DataTable[[#This Row],[Match Nr.]]="","N/A",DataTable[[#This Row],[Match Nr.]])</f>
        <v>N/A</v>
      </c>
      <c r="C6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7" t="str">
        <f>IF(AND(DataTable[[#This Row],[Successful Lo. G. S]]="",DataTable[[#This Row],[Successful Hi. G. S.]]=""),"N/A",DataTable[[#This Row],[Successful Lo. G. S]]*2+DataTable[[#This Row],[Successful Hi. G. S.]]*10)</f>
        <v>N/A</v>
      </c>
      <c r="H6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7" s="11" t="str">
        <f>IF(DataTable[[#This Row],[Lo. B. Successful Xings.]]="","N/A",SUM(ProcessedData[[#This Row],[Lo. B. Ti.]],DataTable[[#This Row],[Lo. B. Successful Xings.]]+1))</f>
        <v>N/A</v>
      </c>
      <c r="Z6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8" spans="1:26" x14ac:dyDescent="0.2">
      <c r="A698" t="str">
        <f>IF(DataTable[[#This Row],[Tm.]]="","N/A",DataTable[[#This Row],[Tm.]])</f>
        <v>N/A</v>
      </c>
      <c r="B698" t="str">
        <f>IF(DataTable[[#This Row],[Match Nr.]]="","N/A",DataTable[[#This Row],[Match Nr.]])</f>
        <v>N/A</v>
      </c>
      <c r="C6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8" t="str">
        <f>IF(AND(DataTable[[#This Row],[Successful Lo. G. S]]="",DataTable[[#This Row],[Successful Hi. G. S.]]=""),"N/A",DataTable[[#This Row],[Successful Lo. G. S]]*2+DataTable[[#This Row],[Successful Hi. G. S.]]*10)</f>
        <v>N/A</v>
      </c>
      <c r="H6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8" s="11" t="str">
        <f>IF(DataTable[[#This Row],[Lo. B. Successful Xings.]]="","N/A",SUM(ProcessedData[[#This Row],[Lo. B. Ti.]],DataTable[[#This Row],[Lo. B. Successful Xings.]]+1))</f>
        <v>N/A</v>
      </c>
      <c r="Z6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699" spans="1:26" x14ac:dyDescent="0.2">
      <c r="A699" t="str">
        <f>IF(DataTable[[#This Row],[Tm.]]="","N/A",DataTable[[#This Row],[Tm.]])</f>
        <v>N/A</v>
      </c>
      <c r="B699" t="str">
        <f>IF(DataTable[[#This Row],[Match Nr.]]="","N/A",DataTable[[#This Row],[Match Nr.]])</f>
        <v>N/A</v>
      </c>
      <c r="C6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6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6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6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699" t="str">
        <f>IF(AND(DataTable[[#This Row],[Successful Lo. G. S]]="",DataTable[[#This Row],[Successful Hi. G. S.]]=""),"N/A",DataTable[[#This Row],[Successful Lo. G. S]]*2+DataTable[[#This Row],[Successful Hi. G. S.]]*10)</f>
        <v>N/A</v>
      </c>
      <c r="H6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6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6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6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6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6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6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6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6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6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6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6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6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6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6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6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699" s="11" t="str">
        <f>IF(DataTable[[#This Row],[Lo. B. Successful Xings.]]="","N/A",SUM(ProcessedData[[#This Row],[Lo. B. Ti.]],DataTable[[#This Row],[Lo. B. Successful Xings.]]+1))</f>
        <v>N/A</v>
      </c>
      <c r="Z6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0" spans="1:26" x14ac:dyDescent="0.2">
      <c r="A700" t="str">
        <f>IF(DataTable[[#This Row],[Tm.]]="","N/A",DataTable[[#This Row],[Tm.]])</f>
        <v>N/A</v>
      </c>
      <c r="B700" t="str">
        <f>IF(DataTable[[#This Row],[Match Nr.]]="","N/A",DataTable[[#This Row],[Match Nr.]])</f>
        <v>N/A</v>
      </c>
      <c r="C7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0" t="str">
        <f>IF(AND(DataTable[[#This Row],[Successful Lo. G. S]]="",DataTable[[#This Row],[Successful Hi. G. S.]]=""),"N/A",DataTable[[#This Row],[Successful Lo. G. S]]*2+DataTable[[#This Row],[Successful Hi. G. S.]]*10)</f>
        <v>N/A</v>
      </c>
      <c r="H7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0" s="11" t="str">
        <f>IF(DataTable[[#This Row],[Lo. B. Successful Xings.]]="","N/A",SUM(ProcessedData[[#This Row],[Lo. B. Ti.]],DataTable[[#This Row],[Lo. B. Successful Xings.]]+1))</f>
        <v>N/A</v>
      </c>
      <c r="Z7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1" spans="1:26" x14ac:dyDescent="0.2">
      <c r="A701" t="str">
        <f>IF(DataTable[[#This Row],[Tm.]]="","N/A",DataTable[[#This Row],[Tm.]])</f>
        <v>N/A</v>
      </c>
      <c r="B701" t="str">
        <f>IF(DataTable[[#This Row],[Match Nr.]]="","N/A",DataTable[[#This Row],[Match Nr.]])</f>
        <v>N/A</v>
      </c>
      <c r="C7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1" t="str">
        <f>IF(AND(DataTable[[#This Row],[Successful Lo. G. S]]="",DataTable[[#This Row],[Successful Hi. G. S.]]=""),"N/A",DataTable[[#This Row],[Successful Lo. G. S]]*2+DataTable[[#This Row],[Successful Hi. G. S.]]*10)</f>
        <v>N/A</v>
      </c>
      <c r="H7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1" s="11" t="str">
        <f>IF(DataTable[[#This Row],[Lo. B. Successful Xings.]]="","N/A",SUM(ProcessedData[[#This Row],[Lo. B. Ti.]],DataTable[[#This Row],[Lo. B. Successful Xings.]]+1))</f>
        <v>N/A</v>
      </c>
      <c r="Z7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2" spans="1:26" x14ac:dyDescent="0.2">
      <c r="A702" t="str">
        <f>IF(DataTable[[#This Row],[Tm.]]="","N/A",DataTable[[#This Row],[Tm.]])</f>
        <v>N/A</v>
      </c>
      <c r="B702" t="str">
        <f>IF(DataTable[[#This Row],[Match Nr.]]="","N/A",DataTable[[#This Row],[Match Nr.]])</f>
        <v>N/A</v>
      </c>
      <c r="C7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2" t="str">
        <f>IF(AND(DataTable[[#This Row],[Successful Lo. G. S]]="",DataTable[[#This Row],[Successful Hi. G. S.]]=""),"N/A",DataTable[[#This Row],[Successful Lo. G. S]]*2+DataTable[[#This Row],[Successful Hi. G. S.]]*10)</f>
        <v>N/A</v>
      </c>
      <c r="H7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2" s="11" t="str">
        <f>IF(DataTable[[#This Row],[Lo. B. Successful Xings.]]="","N/A",SUM(ProcessedData[[#This Row],[Lo. B. Ti.]],DataTable[[#This Row],[Lo. B. Successful Xings.]]+1))</f>
        <v>N/A</v>
      </c>
      <c r="Z7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3" spans="1:26" x14ac:dyDescent="0.2">
      <c r="A703" t="str">
        <f>IF(DataTable[[#This Row],[Tm.]]="","N/A",DataTable[[#This Row],[Tm.]])</f>
        <v>N/A</v>
      </c>
      <c r="B703" t="str">
        <f>IF(DataTable[[#This Row],[Match Nr.]]="","N/A",DataTable[[#This Row],[Match Nr.]])</f>
        <v>N/A</v>
      </c>
      <c r="C7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3" t="str">
        <f>IF(AND(DataTable[[#This Row],[Successful Lo. G. S]]="",DataTable[[#This Row],[Successful Hi. G. S.]]=""),"N/A",DataTable[[#This Row],[Successful Lo. G. S]]*2+DataTable[[#This Row],[Successful Hi. G. S.]]*10)</f>
        <v>N/A</v>
      </c>
      <c r="H7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3" s="11" t="str">
        <f>IF(DataTable[[#This Row],[Lo. B. Successful Xings.]]="","N/A",SUM(ProcessedData[[#This Row],[Lo. B. Ti.]],DataTable[[#This Row],[Lo. B. Successful Xings.]]+1))</f>
        <v>N/A</v>
      </c>
      <c r="Z7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4" spans="1:26" x14ac:dyDescent="0.2">
      <c r="A704" t="str">
        <f>IF(DataTable[[#This Row],[Tm.]]="","N/A",DataTable[[#This Row],[Tm.]])</f>
        <v>N/A</v>
      </c>
      <c r="B704" t="str">
        <f>IF(DataTable[[#This Row],[Match Nr.]]="","N/A",DataTable[[#This Row],[Match Nr.]])</f>
        <v>N/A</v>
      </c>
      <c r="C7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4" t="str">
        <f>IF(AND(DataTable[[#This Row],[Successful Lo. G. S]]="",DataTable[[#This Row],[Successful Hi. G. S.]]=""),"N/A",DataTable[[#This Row],[Successful Lo. G. S]]*2+DataTable[[#This Row],[Successful Hi. G. S.]]*10)</f>
        <v>N/A</v>
      </c>
      <c r="H7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4" s="11" t="str">
        <f>IF(DataTable[[#This Row],[Lo. B. Successful Xings.]]="","N/A",SUM(ProcessedData[[#This Row],[Lo. B. Ti.]],DataTable[[#This Row],[Lo. B. Successful Xings.]]+1))</f>
        <v>N/A</v>
      </c>
      <c r="Z7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5" spans="1:26" x14ac:dyDescent="0.2">
      <c r="A705" t="str">
        <f>IF(DataTable[[#This Row],[Tm.]]="","N/A",DataTable[[#This Row],[Tm.]])</f>
        <v>N/A</v>
      </c>
      <c r="B705" t="str">
        <f>IF(DataTable[[#This Row],[Match Nr.]]="","N/A",DataTable[[#This Row],[Match Nr.]])</f>
        <v>N/A</v>
      </c>
      <c r="C7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5" t="str">
        <f>IF(AND(DataTable[[#This Row],[Successful Lo. G. S]]="",DataTable[[#This Row],[Successful Hi. G. S.]]=""),"N/A",DataTable[[#This Row],[Successful Lo. G. S]]*2+DataTable[[#This Row],[Successful Hi. G. S.]]*10)</f>
        <v>N/A</v>
      </c>
      <c r="H7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5" s="11" t="str">
        <f>IF(DataTable[[#This Row],[Lo. B. Successful Xings.]]="","N/A",SUM(ProcessedData[[#This Row],[Lo. B. Ti.]],DataTable[[#This Row],[Lo. B. Successful Xings.]]+1))</f>
        <v>N/A</v>
      </c>
      <c r="Z7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6" spans="1:26" x14ac:dyDescent="0.2">
      <c r="A706" t="str">
        <f>IF(DataTable[[#This Row],[Tm.]]="","N/A",DataTable[[#This Row],[Tm.]])</f>
        <v>N/A</v>
      </c>
      <c r="B706" t="str">
        <f>IF(DataTable[[#This Row],[Match Nr.]]="","N/A",DataTable[[#This Row],[Match Nr.]])</f>
        <v>N/A</v>
      </c>
      <c r="C7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6" t="str">
        <f>IF(AND(DataTable[[#This Row],[Successful Lo. G. S]]="",DataTable[[#This Row],[Successful Hi. G. S.]]=""),"N/A",DataTable[[#This Row],[Successful Lo. G. S]]*2+DataTable[[#This Row],[Successful Hi. G. S.]]*10)</f>
        <v>N/A</v>
      </c>
      <c r="H7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6" s="11" t="str">
        <f>IF(DataTable[[#This Row],[Lo. B. Successful Xings.]]="","N/A",SUM(ProcessedData[[#This Row],[Lo. B. Ti.]],DataTable[[#This Row],[Lo. B. Successful Xings.]]+1))</f>
        <v>N/A</v>
      </c>
      <c r="Z7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7" spans="1:26" x14ac:dyDescent="0.2">
      <c r="A707" t="str">
        <f>IF(DataTable[[#This Row],[Tm.]]="","N/A",DataTable[[#This Row],[Tm.]])</f>
        <v>N/A</v>
      </c>
      <c r="B707" t="str">
        <f>IF(DataTable[[#This Row],[Match Nr.]]="","N/A",DataTable[[#This Row],[Match Nr.]])</f>
        <v>N/A</v>
      </c>
      <c r="C7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7" t="str">
        <f>IF(AND(DataTable[[#This Row],[Successful Lo. G. S]]="",DataTable[[#This Row],[Successful Hi. G. S.]]=""),"N/A",DataTable[[#This Row],[Successful Lo. G. S]]*2+DataTable[[#This Row],[Successful Hi. G. S.]]*10)</f>
        <v>N/A</v>
      </c>
      <c r="H7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7" s="11" t="str">
        <f>IF(DataTable[[#This Row],[Lo. B. Successful Xings.]]="","N/A",SUM(ProcessedData[[#This Row],[Lo. B. Ti.]],DataTable[[#This Row],[Lo. B. Successful Xings.]]+1))</f>
        <v>N/A</v>
      </c>
      <c r="Z7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8" spans="1:26" x14ac:dyDescent="0.2">
      <c r="A708" t="str">
        <f>IF(DataTable[[#This Row],[Tm.]]="","N/A",DataTable[[#This Row],[Tm.]])</f>
        <v>N/A</v>
      </c>
      <c r="B708" t="str">
        <f>IF(DataTable[[#This Row],[Match Nr.]]="","N/A",DataTable[[#This Row],[Match Nr.]])</f>
        <v>N/A</v>
      </c>
      <c r="C7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8" t="str">
        <f>IF(AND(DataTable[[#This Row],[Successful Lo. G. S]]="",DataTable[[#This Row],[Successful Hi. G. S.]]=""),"N/A",DataTable[[#This Row],[Successful Lo. G. S]]*2+DataTable[[#This Row],[Successful Hi. G. S.]]*10)</f>
        <v>N/A</v>
      </c>
      <c r="H7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8" s="11" t="str">
        <f>IF(DataTable[[#This Row],[Lo. B. Successful Xings.]]="","N/A",SUM(ProcessedData[[#This Row],[Lo. B. Ti.]],DataTable[[#This Row],[Lo. B. Successful Xings.]]+1))</f>
        <v>N/A</v>
      </c>
      <c r="Z7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09" spans="1:26" x14ac:dyDescent="0.2">
      <c r="A709" t="str">
        <f>IF(DataTable[[#This Row],[Tm.]]="","N/A",DataTable[[#This Row],[Tm.]])</f>
        <v>N/A</v>
      </c>
      <c r="B709" t="str">
        <f>IF(DataTable[[#This Row],[Match Nr.]]="","N/A",DataTable[[#This Row],[Match Nr.]])</f>
        <v>N/A</v>
      </c>
      <c r="C7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09" t="str">
        <f>IF(AND(DataTable[[#This Row],[Successful Lo. G. S]]="",DataTable[[#This Row],[Successful Hi. G. S.]]=""),"N/A",DataTable[[#This Row],[Successful Lo. G. S]]*2+DataTable[[#This Row],[Successful Hi. G. S.]]*10)</f>
        <v>N/A</v>
      </c>
      <c r="H7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09" s="11" t="str">
        <f>IF(DataTable[[#This Row],[Lo. B. Successful Xings.]]="","N/A",SUM(ProcessedData[[#This Row],[Lo. B. Ti.]],DataTable[[#This Row],[Lo. B. Successful Xings.]]+1))</f>
        <v>N/A</v>
      </c>
      <c r="Z7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0" spans="1:26" x14ac:dyDescent="0.2">
      <c r="A710" t="str">
        <f>IF(DataTable[[#This Row],[Tm.]]="","N/A",DataTable[[#This Row],[Tm.]])</f>
        <v>N/A</v>
      </c>
      <c r="B710" t="str">
        <f>IF(DataTable[[#This Row],[Match Nr.]]="","N/A",DataTable[[#This Row],[Match Nr.]])</f>
        <v>N/A</v>
      </c>
      <c r="C7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0" t="str">
        <f>IF(AND(DataTable[[#This Row],[Successful Lo. G. S]]="",DataTable[[#This Row],[Successful Hi. G. S.]]=""),"N/A",DataTable[[#This Row],[Successful Lo. G. S]]*2+DataTable[[#This Row],[Successful Hi. G. S.]]*10)</f>
        <v>N/A</v>
      </c>
      <c r="H7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0" s="11" t="str">
        <f>IF(DataTable[[#This Row],[Lo. B. Successful Xings.]]="","N/A",SUM(ProcessedData[[#This Row],[Lo. B. Ti.]],DataTable[[#This Row],[Lo. B. Successful Xings.]]+1))</f>
        <v>N/A</v>
      </c>
      <c r="Z7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1" spans="1:26" x14ac:dyDescent="0.2">
      <c r="A711" t="str">
        <f>IF(DataTable[[#This Row],[Tm.]]="","N/A",DataTable[[#This Row],[Tm.]])</f>
        <v>N/A</v>
      </c>
      <c r="B711" t="str">
        <f>IF(DataTable[[#This Row],[Match Nr.]]="","N/A",DataTable[[#This Row],[Match Nr.]])</f>
        <v>N/A</v>
      </c>
      <c r="C7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1" t="str">
        <f>IF(AND(DataTable[[#This Row],[Successful Lo. G. S]]="",DataTable[[#This Row],[Successful Hi. G. S.]]=""),"N/A",DataTable[[#This Row],[Successful Lo. G. S]]*2+DataTable[[#This Row],[Successful Hi. G. S.]]*10)</f>
        <v>N/A</v>
      </c>
      <c r="H7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1" s="11" t="str">
        <f>IF(DataTable[[#This Row],[Lo. B. Successful Xings.]]="","N/A",SUM(ProcessedData[[#This Row],[Lo. B. Ti.]],DataTable[[#This Row],[Lo. B. Successful Xings.]]+1))</f>
        <v>N/A</v>
      </c>
      <c r="Z7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2" spans="1:26" x14ac:dyDescent="0.2">
      <c r="A712" t="str">
        <f>IF(DataTable[[#This Row],[Tm.]]="","N/A",DataTable[[#This Row],[Tm.]])</f>
        <v>N/A</v>
      </c>
      <c r="B712" t="str">
        <f>IF(DataTable[[#This Row],[Match Nr.]]="","N/A",DataTable[[#This Row],[Match Nr.]])</f>
        <v>N/A</v>
      </c>
      <c r="C7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2" t="str">
        <f>IF(AND(DataTable[[#This Row],[Successful Lo. G. S]]="",DataTable[[#This Row],[Successful Hi. G. S.]]=""),"N/A",DataTable[[#This Row],[Successful Lo. G. S]]*2+DataTable[[#This Row],[Successful Hi. G. S.]]*10)</f>
        <v>N/A</v>
      </c>
      <c r="H7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2" s="11" t="str">
        <f>IF(DataTable[[#This Row],[Lo. B. Successful Xings.]]="","N/A",SUM(ProcessedData[[#This Row],[Lo. B. Ti.]],DataTable[[#This Row],[Lo. B. Successful Xings.]]+1))</f>
        <v>N/A</v>
      </c>
      <c r="Z7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3" spans="1:26" x14ac:dyDescent="0.2">
      <c r="A713" t="str">
        <f>IF(DataTable[[#This Row],[Tm.]]="","N/A",DataTable[[#This Row],[Tm.]])</f>
        <v>N/A</v>
      </c>
      <c r="B713" t="str">
        <f>IF(DataTable[[#This Row],[Match Nr.]]="","N/A",DataTable[[#This Row],[Match Nr.]])</f>
        <v>N/A</v>
      </c>
      <c r="C7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3" t="str">
        <f>IF(AND(DataTable[[#This Row],[Successful Lo. G. S]]="",DataTable[[#This Row],[Successful Hi. G. S.]]=""),"N/A",DataTable[[#This Row],[Successful Lo. G. S]]*2+DataTable[[#This Row],[Successful Hi. G. S.]]*10)</f>
        <v>N/A</v>
      </c>
      <c r="H7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3" s="11" t="str">
        <f>IF(DataTable[[#This Row],[Lo. B. Successful Xings.]]="","N/A",SUM(ProcessedData[[#This Row],[Lo. B. Ti.]],DataTable[[#This Row],[Lo. B. Successful Xings.]]+1))</f>
        <v>N/A</v>
      </c>
      <c r="Z7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4" spans="1:26" x14ac:dyDescent="0.2">
      <c r="A714" t="str">
        <f>IF(DataTable[[#This Row],[Tm.]]="","N/A",DataTable[[#This Row],[Tm.]])</f>
        <v>N/A</v>
      </c>
      <c r="B714" t="str">
        <f>IF(DataTable[[#This Row],[Match Nr.]]="","N/A",DataTable[[#This Row],[Match Nr.]])</f>
        <v>N/A</v>
      </c>
      <c r="C7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4" t="str">
        <f>IF(AND(DataTable[[#This Row],[Successful Lo. G. S]]="",DataTable[[#This Row],[Successful Hi. G. S.]]=""),"N/A",DataTable[[#This Row],[Successful Lo. G. S]]*2+DataTable[[#This Row],[Successful Hi. G. S.]]*10)</f>
        <v>N/A</v>
      </c>
      <c r="H7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4" s="11" t="str">
        <f>IF(DataTable[[#This Row],[Lo. B. Successful Xings.]]="","N/A",SUM(ProcessedData[[#This Row],[Lo. B. Ti.]],DataTable[[#This Row],[Lo. B. Successful Xings.]]+1))</f>
        <v>N/A</v>
      </c>
      <c r="Z7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5" spans="1:26" x14ac:dyDescent="0.2">
      <c r="A715" t="str">
        <f>IF(DataTable[[#This Row],[Tm.]]="","N/A",DataTable[[#This Row],[Tm.]])</f>
        <v>N/A</v>
      </c>
      <c r="B715" t="str">
        <f>IF(DataTable[[#This Row],[Match Nr.]]="","N/A",DataTable[[#This Row],[Match Nr.]])</f>
        <v>N/A</v>
      </c>
      <c r="C7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5" t="str">
        <f>IF(AND(DataTable[[#This Row],[Successful Lo. G. S]]="",DataTable[[#This Row],[Successful Hi. G. S.]]=""),"N/A",DataTable[[#This Row],[Successful Lo. G. S]]*2+DataTable[[#This Row],[Successful Hi. G. S.]]*10)</f>
        <v>N/A</v>
      </c>
      <c r="H7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5" s="11" t="str">
        <f>IF(DataTable[[#This Row],[Lo. B. Successful Xings.]]="","N/A",SUM(ProcessedData[[#This Row],[Lo. B. Ti.]],DataTable[[#This Row],[Lo. B. Successful Xings.]]+1))</f>
        <v>N/A</v>
      </c>
      <c r="Z7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6" spans="1:26" x14ac:dyDescent="0.2">
      <c r="A716" t="str">
        <f>IF(DataTable[[#This Row],[Tm.]]="","N/A",DataTable[[#This Row],[Tm.]])</f>
        <v>N/A</v>
      </c>
      <c r="B716" t="str">
        <f>IF(DataTable[[#This Row],[Match Nr.]]="","N/A",DataTable[[#This Row],[Match Nr.]])</f>
        <v>N/A</v>
      </c>
      <c r="C7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6" t="str">
        <f>IF(AND(DataTable[[#This Row],[Successful Lo. G. S]]="",DataTable[[#This Row],[Successful Hi. G. S.]]=""),"N/A",DataTable[[#This Row],[Successful Lo. G. S]]*2+DataTable[[#This Row],[Successful Hi. G. S.]]*10)</f>
        <v>N/A</v>
      </c>
      <c r="H7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6" s="11" t="str">
        <f>IF(DataTable[[#This Row],[Lo. B. Successful Xings.]]="","N/A",SUM(ProcessedData[[#This Row],[Lo. B. Ti.]],DataTable[[#This Row],[Lo. B. Successful Xings.]]+1))</f>
        <v>N/A</v>
      </c>
      <c r="Z7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7" spans="1:26" x14ac:dyDescent="0.2">
      <c r="A717" t="str">
        <f>IF(DataTable[[#This Row],[Tm.]]="","N/A",DataTable[[#This Row],[Tm.]])</f>
        <v>N/A</v>
      </c>
      <c r="B717" t="str">
        <f>IF(DataTable[[#This Row],[Match Nr.]]="","N/A",DataTable[[#This Row],[Match Nr.]])</f>
        <v>N/A</v>
      </c>
      <c r="C7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7" t="str">
        <f>IF(AND(DataTable[[#This Row],[Successful Lo. G. S]]="",DataTable[[#This Row],[Successful Hi. G. S.]]=""),"N/A",DataTable[[#This Row],[Successful Lo. G. S]]*2+DataTable[[#This Row],[Successful Hi. G. S.]]*10)</f>
        <v>N/A</v>
      </c>
      <c r="H7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7" s="11" t="str">
        <f>IF(DataTable[[#This Row],[Lo. B. Successful Xings.]]="","N/A",SUM(ProcessedData[[#This Row],[Lo. B. Ti.]],DataTable[[#This Row],[Lo. B. Successful Xings.]]+1))</f>
        <v>N/A</v>
      </c>
      <c r="Z7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8" spans="1:26" x14ac:dyDescent="0.2">
      <c r="A718" t="str">
        <f>IF(DataTable[[#This Row],[Tm.]]="","N/A",DataTable[[#This Row],[Tm.]])</f>
        <v>N/A</v>
      </c>
      <c r="B718" t="str">
        <f>IF(DataTable[[#This Row],[Match Nr.]]="","N/A",DataTable[[#This Row],[Match Nr.]])</f>
        <v>N/A</v>
      </c>
      <c r="C7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8" t="str">
        <f>IF(AND(DataTable[[#This Row],[Successful Lo. G. S]]="",DataTable[[#This Row],[Successful Hi. G. S.]]=""),"N/A",DataTable[[#This Row],[Successful Lo. G. S]]*2+DataTable[[#This Row],[Successful Hi. G. S.]]*10)</f>
        <v>N/A</v>
      </c>
      <c r="H7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8" s="11" t="str">
        <f>IF(DataTable[[#This Row],[Lo. B. Successful Xings.]]="","N/A",SUM(ProcessedData[[#This Row],[Lo. B. Ti.]],DataTable[[#This Row],[Lo. B. Successful Xings.]]+1))</f>
        <v>N/A</v>
      </c>
      <c r="Z7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19" spans="1:26" x14ac:dyDescent="0.2">
      <c r="A719" t="str">
        <f>IF(DataTable[[#This Row],[Tm.]]="","N/A",DataTable[[#This Row],[Tm.]])</f>
        <v>N/A</v>
      </c>
      <c r="B719" t="str">
        <f>IF(DataTable[[#This Row],[Match Nr.]]="","N/A",DataTable[[#This Row],[Match Nr.]])</f>
        <v>N/A</v>
      </c>
      <c r="C7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19" t="str">
        <f>IF(AND(DataTable[[#This Row],[Successful Lo. G. S]]="",DataTable[[#This Row],[Successful Hi. G. S.]]=""),"N/A",DataTable[[#This Row],[Successful Lo. G. S]]*2+DataTable[[#This Row],[Successful Hi. G. S.]]*10)</f>
        <v>N/A</v>
      </c>
      <c r="H7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19" s="11" t="str">
        <f>IF(DataTable[[#This Row],[Lo. B. Successful Xings.]]="","N/A",SUM(ProcessedData[[#This Row],[Lo. B. Ti.]],DataTable[[#This Row],[Lo. B. Successful Xings.]]+1))</f>
        <v>N/A</v>
      </c>
      <c r="Z7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0" spans="1:26" x14ac:dyDescent="0.2">
      <c r="A720" t="str">
        <f>IF(DataTable[[#This Row],[Tm.]]="","N/A",DataTable[[#This Row],[Tm.]])</f>
        <v>N/A</v>
      </c>
      <c r="B720" t="str">
        <f>IF(DataTable[[#This Row],[Match Nr.]]="","N/A",DataTable[[#This Row],[Match Nr.]])</f>
        <v>N/A</v>
      </c>
      <c r="C7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0" t="str">
        <f>IF(AND(DataTable[[#This Row],[Successful Lo. G. S]]="",DataTable[[#This Row],[Successful Hi. G. S.]]=""),"N/A",DataTable[[#This Row],[Successful Lo. G. S]]*2+DataTable[[#This Row],[Successful Hi. G. S.]]*10)</f>
        <v>N/A</v>
      </c>
      <c r="H7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0" s="11" t="str">
        <f>IF(DataTable[[#This Row],[Lo. B. Successful Xings.]]="","N/A",SUM(ProcessedData[[#This Row],[Lo. B. Ti.]],DataTable[[#This Row],[Lo. B. Successful Xings.]]+1))</f>
        <v>N/A</v>
      </c>
      <c r="Z7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1" spans="1:26" x14ac:dyDescent="0.2">
      <c r="A721" t="str">
        <f>IF(DataTable[[#This Row],[Tm.]]="","N/A",DataTable[[#This Row],[Tm.]])</f>
        <v>N/A</v>
      </c>
      <c r="B721" t="str">
        <f>IF(DataTable[[#This Row],[Match Nr.]]="","N/A",DataTable[[#This Row],[Match Nr.]])</f>
        <v>N/A</v>
      </c>
      <c r="C7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1" t="str">
        <f>IF(AND(DataTable[[#This Row],[Successful Lo. G. S]]="",DataTable[[#This Row],[Successful Hi. G. S.]]=""),"N/A",DataTable[[#This Row],[Successful Lo. G. S]]*2+DataTable[[#This Row],[Successful Hi. G. S.]]*10)</f>
        <v>N/A</v>
      </c>
      <c r="H7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1" s="11" t="str">
        <f>IF(DataTable[[#This Row],[Lo. B. Successful Xings.]]="","N/A",SUM(ProcessedData[[#This Row],[Lo. B. Ti.]],DataTable[[#This Row],[Lo. B. Successful Xings.]]+1))</f>
        <v>N/A</v>
      </c>
      <c r="Z7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2" spans="1:26" x14ac:dyDescent="0.2">
      <c r="A722" t="str">
        <f>IF(DataTable[[#This Row],[Tm.]]="","N/A",DataTable[[#This Row],[Tm.]])</f>
        <v>N/A</v>
      </c>
      <c r="B722" t="str">
        <f>IF(DataTable[[#This Row],[Match Nr.]]="","N/A",DataTable[[#This Row],[Match Nr.]])</f>
        <v>N/A</v>
      </c>
      <c r="C7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2" t="str">
        <f>IF(AND(DataTable[[#This Row],[Successful Lo. G. S]]="",DataTable[[#This Row],[Successful Hi. G. S.]]=""),"N/A",DataTable[[#This Row],[Successful Lo. G. S]]*2+DataTable[[#This Row],[Successful Hi. G. S.]]*10)</f>
        <v>N/A</v>
      </c>
      <c r="H7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2" s="11" t="str">
        <f>IF(DataTable[[#This Row],[Lo. B. Successful Xings.]]="","N/A",SUM(ProcessedData[[#This Row],[Lo. B. Ti.]],DataTable[[#This Row],[Lo. B. Successful Xings.]]+1))</f>
        <v>N/A</v>
      </c>
      <c r="Z7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3" spans="1:26" x14ac:dyDescent="0.2">
      <c r="A723" t="str">
        <f>IF(DataTable[[#This Row],[Tm.]]="","N/A",DataTable[[#This Row],[Tm.]])</f>
        <v>N/A</v>
      </c>
      <c r="B723" t="str">
        <f>IF(DataTable[[#This Row],[Match Nr.]]="","N/A",DataTable[[#This Row],[Match Nr.]])</f>
        <v>N/A</v>
      </c>
      <c r="C7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3" t="str">
        <f>IF(AND(DataTable[[#This Row],[Successful Lo. G. S]]="",DataTable[[#This Row],[Successful Hi. G. S.]]=""),"N/A",DataTable[[#This Row],[Successful Lo. G. S]]*2+DataTable[[#This Row],[Successful Hi. G. S.]]*10)</f>
        <v>N/A</v>
      </c>
      <c r="H7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3" s="11" t="str">
        <f>IF(DataTable[[#This Row],[Lo. B. Successful Xings.]]="","N/A",SUM(ProcessedData[[#This Row],[Lo. B. Ti.]],DataTable[[#This Row],[Lo. B. Successful Xings.]]+1))</f>
        <v>N/A</v>
      </c>
      <c r="Z7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4" spans="1:26" x14ac:dyDescent="0.2">
      <c r="A724" t="str">
        <f>IF(DataTable[[#This Row],[Tm.]]="","N/A",DataTable[[#This Row],[Tm.]])</f>
        <v>N/A</v>
      </c>
      <c r="B724" t="str">
        <f>IF(DataTable[[#This Row],[Match Nr.]]="","N/A",DataTable[[#This Row],[Match Nr.]])</f>
        <v>N/A</v>
      </c>
      <c r="C7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4" t="str">
        <f>IF(AND(DataTable[[#This Row],[Successful Lo. G. S]]="",DataTable[[#This Row],[Successful Hi. G. S.]]=""),"N/A",DataTable[[#This Row],[Successful Lo. G. S]]*2+DataTable[[#This Row],[Successful Hi. G. S.]]*10)</f>
        <v>N/A</v>
      </c>
      <c r="H7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4" s="11" t="str">
        <f>IF(DataTable[[#This Row],[Lo. B. Successful Xings.]]="","N/A",SUM(ProcessedData[[#This Row],[Lo. B. Ti.]],DataTable[[#This Row],[Lo. B. Successful Xings.]]+1))</f>
        <v>N/A</v>
      </c>
      <c r="Z7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5" spans="1:26" x14ac:dyDescent="0.2">
      <c r="A725" t="str">
        <f>IF(DataTable[[#This Row],[Tm.]]="","N/A",DataTable[[#This Row],[Tm.]])</f>
        <v>N/A</v>
      </c>
      <c r="B725" t="str">
        <f>IF(DataTable[[#This Row],[Match Nr.]]="","N/A",DataTable[[#This Row],[Match Nr.]])</f>
        <v>N/A</v>
      </c>
      <c r="C7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5" t="str">
        <f>IF(AND(DataTable[[#This Row],[Successful Lo. G. S]]="",DataTable[[#This Row],[Successful Hi. G. S.]]=""),"N/A",DataTable[[#This Row],[Successful Lo. G. S]]*2+DataTable[[#This Row],[Successful Hi. G. S.]]*10)</f>
        <v>N/A</v>
      </c>
      <c r="H7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5" s="11" t="str">
        <f>IF(DataTable[[#This Row],[Lo. B. Successful Xings.]]="","N/A",SUM(ProcessedData[[#This Row],[Lo. B. Ti.]],DataTable[[#This Row],[Lo. B. Successful Xings.]]+1))</f>
        <v>N/A</v>
      </c>
      <c r="Z7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6" spans="1:26" x14ac:dyDescent="0.2">
      <c r="A726" t="str">
        <f>IF(DataTable[[#This Row],[Tm.]]="","N/A",DataTable[[#This Row],[Tm.]])</f>
        <v>N/A</v>
      </c>
      <c r="B726" t="str">
        <f>IF(DataTable[[#This Row],[Match Nr.]]="","N/A",DataTable[[#This Row],[Match Nr.]])</f>
        <v>N/A</v>
      </c>
      <c r="C7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6" t="str">
        <f>IF(AND(DataTable[[#This Row],[Successful Lo. G. S]]="",DataTable[[#This Row],[Successful Hi. G. S.]]=""),"N/A",DataTable[[#This Row],[Successful Lo. G. S]]*2+DataTable[[#This Row],[Successful Hi. G. S.]]*10)</f>
        <v>N/A</v>
      </c>
      <c r="H7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6" s="11" t="str">
        <f>IF(DataTable[[#This Row],[Lo. B. Successful Xings.]]="","N/A",SUM(ProcessedData[[#This Row],[Lo. B. Ti.]],DataTable[[#This Row],[Lo. B. Successful Xings.]]+1))</f>
        <v>N/A</v>
      </c>
      <c r="Z7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7" spans="1:26" x14ac:dyDescent="0.2">
      <c r="A727" t="str">
        <f>IF(DataTable[[#This Row],[Tm.]]="","N/A",DataTable[[#This Row],[Tm.]])</f>
        <v>N/A</v>
      </c>
      <c r="B727" t="str">
        <f>IF(DataTable[[#This Row],[Match Nr.]]="","N/A",DataTable[[#This Row],[Match Nr.]])</f>
        <v>N/A</v>
      </c>
      <c r="C7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7" t="str">
        <f>IF(AND(DataTable[[#This Row],[Successful Lo. G. S]]="",DataTable[[#This Row],[Successful Hi. G. S.]]=""),"N/A",DataTable[[#This Row],[Successful Lo. G. S]]*2+DataTable[[#This Row],[Successful Hi. G. S.]]*10)</f>
        <v>N/A</v>
      </c>
      <c r="H7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7" s="11" t="str">
        <f>IF(DataTable[[#This Row],[Lo. B. Successful Xings.]]="","N/A",SUM(ProcessedData[[#This Row],[Lo. B. Ti.]],DataTable[[#This Row],[Lo. B. Successful Xings.]]+1))</f>
        <v>N/A</v>
      </c>
      <c r="Z7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8" spans="1:26" x14ac:dyDescent="0.2">
      <c r="A728" t="str">
        <f>IF(DataTable[[#This Row],[Tm.]]="","N/A",DataTable[[#This Row],[Tm.]])</f>
        <v>N/A</v>
      </c>
      <c r="B728" t="str">
        <f>IF(DataTable[[#This Row],[Match Nr.]]="","N/A",DataTable[[#This Row],[Match Nr.]])</f>
        <v>N/A</v>
      </c>
      <c r="C7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8" t="str">
        <f>IF(AND(DataTable[[#This Row],[Successful Lo. G. S]]="",DataTable[[#This Row],[Successful Hi. G. S.]]=""),"N/A",DataTable[[#This Row],[Successful Lo. G. S]]*2+DataTable[[#This Row],[Successful Hi. G. S.]]*10)</f>
        <v>N/A</v>
      </c>
      <c r="H7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8" s="11" t="str">
        <f>IF(DataTable[[#This Row],[Lo. B. Successful Xings.]]="","N/A",SUM(ProcessedData[[#This Row],[Lo. B. Ti.]],DataTable[[#This Row],[Lo. B. Successful Xings.]]+1))</f>
        <v>N/A</v>
      </c>
      <c r="Z7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29" spans="1:26" x14ac:dyDescent="0.2">
      <c r="A729" t="str">
        <f>IF(DataTable[[#This Row],[Tm.]]="","N/A",DataTable[[#This Row],[Tm.]])</f>
        <v>N/A</v>
      </c>
      <c r="B729" t="str">
        <f>IF(DataTable[[#This Row],[Match Nr.]]="","N/A",DataTable[[#This Row],[Match Nr.]])</f>
        <v>N/A</v>
      </c>
      <c r="C7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29" t="str">
        <f>IF(AND(DataTable[[#This Row],[Successful Lo. G. S]]="",DataTable[[#This Row],[Successful Hi. G. S.]]=""),"N/A",DataTable[[#This Row],[Successful Lo. G. S]]*2+DataTable[[#This Row],[Successful Hi. G. S.]]*10)</f>
        <v>N/A</v>
      </c>
      <c r="H7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29" s="11" t="str">
        <f>IF(DataTable[[#This Row],[Lo. B. Successful Xings.]]="","N/A",SUM(ProcessedData[[#This Row],[Lo. B. Ti.]],DataTable[[#This Row],[Lo. B. Successful Xings.]]+1))</f>
        <v>N/A</v>
      </c>
      <c r="Z7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0" spans="1:26" x14ac:dyDescent="0.2">
      <c r="A730" t="str">
        <f>IF(DataTable[[#This Row],[Tm.]]="","N/A",DataTable[[#This Row],[Tm.]])</f>
        <v>N/A</v>
      </c>
      <c r="B730" t="str">
        <f>IF(DataTable[[#This Row],[Match Nr.]]="","N/A",DataTable[[#This Row],[Match Nr.]])</f>
        <v>N/A</v>
      </c>
      <c r="C7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0" t="str">
        <f>IF(AND(DataTable[[#This Row],[Successful Lo. G. S]]="",DataTable[[#This Row],[Successful Hi. G. S.]]=""),"N/A",DataTable[[#This Row],[Successful Lo. G. S]]*2+DataTable[[#This Row],[Successful Hi. G. S.]]*10)</f>
        <v>N/A</v>
      </c>
      <c r="H7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0" s="11" t="str">
        <f>IF(DataTable[[#This Row],[Lo. B. Successful Xings.]]="","N/A",SUM(ProcessedData[[#This Row],[Lo. B. Ti.]],DataTable[[#This Row],[Lo. B. Successful Xings.]]+1))</f>
        <v>N/A</v>
      </c>
      <c r="Z7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1" spans="1:26" x14ac:dyDescent="0.2">
      <c r="A731" t="str">
        <f>IF(DataTable[[#This Row],[Tm.]]="","N/A",DataTable[[#This Row],[Tm.]])</f>
        <v>N/A</v>
      </c>
      <c r="B731" t="str">
        <f>IF(DataTable[[#This Row],[Match Nr.]]="","N/A",DataTable[[#This Row],[Match Nr.]])</f>
        <v>N/A</v>
      </c>
      <c r="C7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1" t="str">
        <f>IF(AND(DataTable[[#This Row],[Successful Lo. G. S]]="",DataTable[[#This Row],[Successful Hi. G. S.]]=""),"N/A",DataTable[[#This Row],[Successful Lo. G. S]]*2+DataTable[[#This Row],[Successful Hi. G. S.]]*10)</f>
        <v>N/A</v>
      </c>
      <c r="H7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1" s="11" t="str">
        <f>IF(DataTable[[#This Row],[Lo. B. Successful Xings.]]="","N/A",SUM(ProcessedData[[#This Row],[Lo. B. Ti.]],DataTable[[#This Row],[Lo. B. Successful Xings.]]+1))</f>
        <v>N/A</v>
      </c>
      <c r="Z7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2" spans="1:26" x14ac:dyDescent="0.2">
      <c r="A732" t="str">
        <f>IF(DataTable[[#This Row],[Tm.]]="","N/A",DataTable[[#This Row],[Tm.]])</f>
        <v>N/A</v>
      </c>
      <c r="B732" t="str">
        <f>IF(DataTable[[#This Row],[Match Nr.]]="","N/A",DataTable[[#This Row],[Match Nr.]])</f>
        <v>N/A</v>
      </c>
      <c r="C7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2" t="str">
        <f>IF(AND(DataTable[[#This Row],[Successful Lo. G. S]]="",DataTable[[#This Row],[Successful Hi. G. S.]]=""),"N/A",DataTable[[#This Row],[Successful Lo. G. S]]*2+DataTable[[#This Row],[Successful Hi. G. S.]]*10)</f>
        <v>N/A</v>
      </c>
      <c r="H7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2" s="11" t="str">
        <f>IF(DataTable[[#This Row],[Lo. B. Successful Xings.]]="","N/A",SUM(ProcessedData[[#This Row],[Lo. B. Ti.]],DataTable[[#This Row],[Lo. B. Successful Xings.]]+1))</f>
        <v>N/A</v>
      </c>
      <c r="Z7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3" spans="1:26" x14ac:dyDescent="0.2">
      <c r="A733" t="str">
        <f>IF(DataTable[[#This Row],[Tm.]]="","N/A",DataTable[[#This Row],[Tm.]])</f>
        <v>N/A</v>
      </c>
      <c r="B733" t="str">
        <f>IF(DataTable[[#This Row],[Match Nr.]]="","N/A",DataTable[[#This Row],[Match Nr.]])</f>
        <v>N/A</v>
      </c>
      <c r="C7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3" t="str">
        <f>IF(AND(DataTable[[#This Row],[Successful Lo. G. S]]="",DataTable[[#This Row],[Successful Hi. G. S.]]=""),"N/A",DataTable[[#This Row],[Successful Lo. G. S]]*2+DataTable[[#This Row],[Successful Hi. G. S.]]*10)</f>
        <v>N/A</v>
      </c>
      <c r="H7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3" s="11" t="str">
        <f>IF(DataTable[[#This Row],[Lo. B. Successful Xings.]]="","N/A",SUM(ProcessedData[[#This Row],[Lo. B. Ti.]],DataTable[[#This Row],[Lo. B. Successful Xings.]]+1))</f>
        <v>N/A</v>
      </c>
      <c r="Z7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4" spans="1:26" x14ac:dyDescent="0.2">
      <c r="A734" t="str">
        <f>IF(DataTable[[#This Row],[Tm.]]="","N/A",DataTable[[#This Row],[Tm.]])</f>
        <v>N/A</v>
      </c>
      <c r="B734" t="str">
        <f>IF(DataTable[[#This Row],[Match Nr.]]="","N/A",DataTable[[#This Row],[Match Nr.]])</f>
        <v>N/A</v>
      </c>
      <c r="C7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4" t="str">
        <f>IF(AND(DataTable[[#This Row],[Successful Lo. G. S]]="",DataTable[[#This Row],[Successful Hi. G. S.]]=""),"N/A",DataTable[[#This Row],[Successful Lo. G. S]]*2+DataTable[[#This Row],[Successful Hi. G. S.]]*10)</f>
        <v>N/A</v>
      </c>
      <c r="H7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4" s="11" t="str">
        <f>IF(DataTable[[#This Row],[Lo. B. Successful Xings.]]="","N/A",SUM(ProcessedData[[#This Row],[Lo. B. Ti.]],DataTable[[#This Row],[Lo. B. Successful Xings.]]+1))</f>
        <v>N/A</v>
      </c>
      <c r="Z7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5" spans="1:26" x14ac:dyDescent="0.2">
      <c r="A735" t="str">
        <f>IF(DataTable[[#This Row],[Tm.]]="","N/A",DataTable[[#This Row],[Tm.]])</f>
        <v>N/A</v>
      </c>
      <c r="B735" t="str">
        <f>IF(DataTable[[#This Row],[Match Nr.]]="","N/A",DataTable[[#This Row],[Match Nr.]])</f>
        <v>N/A</v>
      </c>
      <c r="C7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5" t="str">
        <f>IF(AND(DataTable[[#This Row],[Successful Lo. G. S]]="",DataTable[[#This Row],[Successful Hi. G. S.]]=""),"N/A",DataTable[[#This Row],[Successful Lo. G. S]]*2+DataTable[[#This Row],[Successful Hi. G. S.]]*10)</f>
        <v>N/A</v>
      </c>
      <c r="H7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5" s="11" t="str">
        <f>IF(DataTable[[#This Row],[Lo. B. Successful Xings.]]="","N/A",SUM(ProcessedData[[#This Row],[Lo. B. Ti.]],DataTable[[#This Row],[Lo. B. Successful Xings.]]+1))</f>
        <v>N/A</v>
      </c>
      <c r="Z7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6" spans="1:26" x14ac:dyDescent="0.2">
      <c r="A736" t="str">
        <f>IF(DataTable[[#This Row],[Tm.]]="","N/A",DataTable[[#This Row],[Tm.]])</f>
        <v>N/A</v>
      </c>
      <c r="B736" t="str">
        <f>IF(DataTable[[#This Row],[Match Nr.]]="","N/A",DataTable[[#This Row],[Match Nr.]])</f>
        <v>N/A</v>
      </c>
      <c r="C7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6" t="str">
        <f>IF(AND(DataTable[[#This Row],[Successful Lo. G. S]]="",DataTable[[#This Row],[Successful Hi. G. S.]]=""),"N/A",DataTable[[#This Row],[Successful Lo. G. S]]*2+DataTable[[#This Row],[Successful Hi. G. S.]]*10)</f>
        <v>N/A</v>
      </c>
      <c r="H7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6" s="11" t="str">
        <f>IF(DataTable[[#This Row],[Lo. B. Successful Xings.]]="","N/A",SUM(ProcessedData[[#This Row],[Lo. B. Ti.]],DataTable[[#This Row],[Lo. B. Successful Xings.]]+1))</f>
        <v>N/A</v>
      </c>
      <c r="Z7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7" spans="1:26" x14ac:dyDescent="0.2">
      <c r="A737" t="str">
        <f>IF(DataTable[[#This Row],[Tm.]]="","N/A",DataTable[[#This Row],[Tm.]])</f>
        <v>N/A</v>
      </c>
      <c r="B737" t="str">
        <f>IF(DataTable[[#This Row],[Match Nr.]]="","N/A",DataTable[[#This Row],[Match Nr.]])</f>
        <v>N/A</v>
      </c>
      <c r="C7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7" t="str">
        <f>IF(AND(DataTable[[#This Row],[Successful Lo. G. S]]="",DataTable[[#This Row],[Successful Hi. G. S.]]=""),"N/A",DataTable[[#This Row],[Successful Lo. G. S]]*2+DataTable[[#This Row],[Successful Hi. G. S.]]*10)</f>
        <v>N/A</v>
      </c>
      <c r="H7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7" s="11" t="str">
        <f>IF(DataTable[[#This Row],[Lo. B. Successful Xings.]]="","N/A",SUM(ProcessedData[[#This Row],[Lo. B. Ti.]],DataTable[[#This Row],[Lo. B. Successful Xings.]]+1))</f>
        <v>N/A</v>
      </c>
      <c r="Z7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8" spans="1:26" x14ac:dyDescent="0.2">
      <c r="A738" t="str">
        <f>IF(DataTable[[#This Row],[Tm.]]="","N/A",DataTable[[#This Row],[Tm.]])</f>
        <v>N/A</v>
      </c>
      <c r="B738" t="str">
        <f>IF(DataTable[[#This Row],[Match Nr.]]="","N/A",DataTable[[#This Row],[Match Nr.]])</f>
        <v>N/A</v>
      </c>
      <c r="C7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8" t="str">
        <f>IF(AND(DataTable[[#This Row],[Successful Lo. G. S]]="",DataTable[[#This Row],[Successful Hi. G. S.]]=""),"N/A",DataTable[[#This Row],[Successful Lo. G. S]]*2+DataTable[[#This Row],[Successful Hi. G. S.]]*10)</f>
        <v>N/A</v>
      </c>
      <c r="H7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8" s="11" t="str">
        <f>IF(DataTable[[#This Row],[Lo. B. Successful Xings.]]="","N/A",SUM(ProcessedData[[#This Row],[Lo. B. Ti.]],DataTable[[#This Row],[Lo. B. Successful Xings.]]+1))</f>
        <v>N/A</v>
      </c>
      <c r="Z7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39" spans="1:26" x14ac:dyDescent="0.2">
      <c r="A739" t="str">
        <f>IF(DataTable[[#This Row],[Tm.]]="","N/A",DataTable[[#This Row],[Tm.]])</f>
        <v>N/A</v>
      </c>
      <c r="B739" t="str">
        <f>IF(DataTable[[#This Row],[Match Nr.]]="","N/A",DataTable[[#This Row],[Match Nr.]])</f>
        <v>N/A</v>
      </c>
      <c r="C7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39" t="str">
        <f>IF(AND(DataTable[[#This Row],[Successful Lo. G. S]]="",DataTable[[#This Row],[Successful Hi. G. S.]]=""),"N/A",DataTable[[#This Row],[Successful Lo. G. S]]*2+DataTable[[#This Row],[Successful Hi. G. S.]]*10)</f>
        <v>N/A</v>
      </c>
      <c r="H7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39" s="11" t="str">
        <f>IF(DataTable[[#This Row],[Lo. B. Successful Xings.]]="","N/A",SUM(ProcessedData[[#This Row],[Lo. B. Ti.]],DataTable[[#This Row],[Lo. B. Successful Xings.]]+1))</f>
        <v>N/A</v>
      </c>
      <c r="Z7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0" spans="1:26" x14ac:dyDescent="0.2">
      <c r="A740" t="str">
        <f>IF(DataTable[[#This Row],[Tm.]]="","N/A",DataTable[[#This Row],[Tm.]])</f>
        <v>N/A</v>
      </c>
      <c r="B740" t="str">
        <f>IF(DataTable[[#This Row],[Match Nr.]]="","N/A",DataTable[[#This Row],[Match Nr.]])</f>
        <v>N/A</v>
      </c>
      <c r="C7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0" t="str">
        <f>IF(AND(DataTable[[#This Row],[Successful Lo. G. S]]="",DataTable[[#This Row],[Successful Hi. G. S.]]=""),"N/A",DataTable[[#This Row],[Successful Lo. G. S]]*2+DataTable[[#This Row],[Successful Hi. G. S.]]*10)</f>
        <v>N/A</v>
      </c>
      <c r="H7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0" s="11" t="str">
        <f>IF(DataTable[[#This Row],[Lo. B. Successful Xings.]]="","N/A",SUM(ProcessedData[[#This Row],[Lo. B. Ti.]],DataTable[[#This Row],[Lo. B. Successful Xings.]]+1))</f>
        <v>N/A</v>
      </c>
      <c r="Z7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1" spans="1:26" x14ac:dyDescent="0.2">
      <c r="A741" t="str">
        <f>IF(DataTable[[#This Row],[Tm.]]="","N/A",DataTable[[#This Row],[Tm.]])</f>
        <v>N/A</v>
      </c>
      <c r="B741" t="str">
        <f>IF(DataTable[[#This Row],[Match Nr.]]="","N/A",DataTable[[#This Row],[Match Nr.]])</f>
        <v>N/A</v>
      </c>
      <c r="C7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1" t="str">
        <f>IF(AND(DataTable[[#This Row],[Successful Lo. G. S]]="",DataTable[[#This Row],[Successful Hi. G. S.]]=""),"N/A",DataTable[[#This Row],[Successful Lo. G. S]]*2+DataTable[[#This Row],[Successful Hi. G. S.]]*10)</f>
        <v>N/A</v>
      </c>
      <c r="H7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1" s="11" t="str">
        <f>IF(DataTable[[#This Row],[Lo. B. Successful Xings.]]="","N/A",SUM(ProcessedData[[#This Row],[Lo. B. Ti.]],DataTable[[#This Row],[Lo. B. Successful Xings.]]+1))</f>
        <v>N/A</v>
      </c>
      <c r="Z7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2" spans="1:26" x14ac:dyDescent="0.2">
      <c r="A742" t="str">
        <f>IF(DataTable[[#This Row],[Tm.]]="","N/A",DataTable[[#This Row],[Tm.]])</f>
        <v>N/A</v>
      </c>
      <c r="B742" t="str">
        <f>IF(DataTable[[#This Row],[Match Nr.]]="","N/A",DataTable[[#This Row],[Match Nr.]])</f>
        <v>N/A</v>
      </c>
      <c r="C7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2" t="str">
        <f>IF(AND(DataTable[[#This Row],[Successful Lo. G. S]]="",DataTable[[#This Row],[Successful Hi. G. S.]]=""),"N/A",DataTable[[#This Row],[Successful Lo. G. S]]*2+DataTable[[#This Row],[Successful Hi. G. S.]]*10)</f>
        <v>N/A</v>
      </c>
      <c r="H7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2" s="11" t="str">
        <f>IF(DataTable[[#This Row],[Lo. B. Successful Xings.]]="","N/A",SUM(ProcessedData[[#This Row],[Lo. B. Ti.]],DataTable[[#This Row],[Lo. B. Successful Xings.]]+1))</f>
        <v>N/A</v>
      </c>
      <c r="Z7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3" spans="1:26" x14ac:dyDescent="0.2">
      <c r="A743" t="str">
        <f>IF(DataTable[[#This Row],[Tm.]]="","N/A",DataTable[[#This Row],[Tm.]])</f>
        <v>N/A</v>
      </c>
      <c r="B743" t="str">
        <f>IF(DataTable[[#This Row],[Match Nr.]]="","N/A",DataTable[[#This Row],[Match Nr.]])</f>
        <v>N/A</v>
      </c>
      <c r="C7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3" t="str">
        <f>IF(AND(DataTable[[#This Row],[Successful Lo. G. S]]="",DataTable[[#This Row],[Successful Hi. G. S.]]=""),"N/A",DataTable[[#This Row],[Successful Lo. G. S]]*2+DataTable[[#This Row],[Successful Hi. G. S.]]*10)</f>
        <v>N/A</v>
      </c>
      <c r="H7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3" s="11" t="str">
        <f>IF(DataTable[[#This Row],[Lo. B. Successful Xings.]]="","N/A",SUM(ProcessedData[[#This Row],[Lo. B. Ti.]],DataTable[[#This Row],[Lo. B. Successful Xings.]]+1))</f>
        <v>N/A</v>
      </c>
      <c r="Z7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4" spans="1:26" x14ac:dyDescent="0.2">
      <c r="A744" t="str">
        <f>IF(DataTable[[#This Row],[Tm.]]="","N/A",DataTable[[#This Row],[Tm.]])</f>
        <v>N/A</v>
      </c>
      <c r="B744" t="str">
        <f>IF(DataTable[[#This Row],[Match Nr.]]="","N/A",DataTable[[#This Row],[Match Nr.]])</f>
        <v>N/A</v>
      </c>
      <c r="C7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4" t="str">
        <f>IF(AND(DataTable[[#This Row],[Successful Lo. G. S]]="",DataTable[[#This Row],[Successful Hi. G. S.]]=""),"N/A",DataTable[[#This Row],[Successful Lo. G. S]]*2+DataTable[[#This Row],[Successful Hi. G. S.]]*10)</f>
        <v>N/A</v>
      </c>
      <c r="H7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4" s="11" t="str">
        <f>IF(DataTable[[#This Row],[Lo. B. Successful Xings.]]="","N/A",SUM(ProcessedData[[#This Row],[Lo. B. Ti.]],DataTable[[#This Row],[Lo. B. Successful Xings.]]+1))</f>
        <v>N/A</v>
      </c>
      <c r="Z7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5" spans="1:26" x14ac:dyDescent="0.2">
      <c r="A745" t="str">
        <f>IF(DataTable[[#This Row],[Tm.]]="","N/A",DataTable[[#This Row],[Tm.]])</f>
        <v>N/A</v>
      </c>
      <c r="B745" t="str">
        <f>IF(DataTable[[#This Row],[Match Nr.]]="","N/A",DataTable[[#This Row],[Match Nr.]])</f>
        <v>N/A</v>
      </c>
      <c r="C7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5" t="str">
        <f>IF(AND(DataTable[[#This Row],[Successful Lo. G. S]]="",DataTable[[#This Row],[Successful Hi. G. S.]]=""),"N/A",DataTable[[#This Row],[Successful Lo. G. S]]*2+DataTable[[#This Row],[Successful Hi. G. S.]]*10)</f>
        <v>N/A</v>
      </c>
      <c r="H7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5" s="11" t="str">
        <f>IF(DataTable[[#This Row],[Lo. B. Successful Xings.]]="","N/A",SUM(ProcessedData[[#This Row],[Lo. B. Ti.]],DataTable[[#This Row],[Lo. B. Successful Xings.]]+1))</f>
        <v>N/A</v>
      </c>
      <c r="Z7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6" spans="1:26" x14ac:dyDescent="0.2">
      <c r="A746" t="str">
        <f>IF(DataTable[[#This Row],[Tm.]]="","N/A",DataTable[[#This Row],[Tm.]])</f>
        <v>N/A</v>
      </c>
      <c r="B746" t="str">
        <f>IF(DataTable[[#This Row],[Match Nr.]]="","N/A",DataTable[[#This Row],[Match Nr.]])</f>
        <v>N/A</v>
      </c>
      <c r="C7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6" t="str">
        <f>IF(AND(DataTable[[#This Row],[Successful Lo. G. S]]="",DataTable[[#This Row],[Successful Hi. G. S.]]=""),"N/A",DataTable[[#This Row],[Successful Lo. G. S]]*2+DataTable[[#This Row],[Successful Hi. G. S.]]*10)</f>
        <v>N/A</v>
      </c>
      <c r="H7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6" s="11" t="str">
        <f>IF(DataTable[[#This Row],[Lo. B. Successful Xings.]]="","N/A",SUM(ProcessedData[[#This Row],[Lo. B. Ti.]],DataTable[[#This Row],[Lo. B. Successful Xings.]]+1))</f>
        <v>N/A</v>
      </c>
      <c r="Z7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7" spans="1:26" x14ac:dyDescent="0.2">
      <c r="A747" t="str">
        <f>IF(DataTable[[#This Row],[Tm.]]="","N/A",DataTable[[#This Row],[Tm.]])</f>
        <v>N/A</v>
      </c>
      <c r="B747" t="str">
        <f>IF(DataTable[[#This Row],[Match Nr.]]="","N/A",DataTable[[#This Row],[Match Nr.]])</f>
        <v>N/A</v>
      </c>
      <c r="C7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7" t="str">
        <f>IF(AND(DataTable[[#This Row],[Successful Lo. G. S]]="",DataTable[[#This Row],[Successful Hi. G. S.]]=""),"N/A",DataTable[[#This Row],[Successful Lo. G. S]]*2+DataTable[[#This Row],[Successful Hi. G. S.]]*10)</f>
        <v>N/A</v>
      </c>
      <c r="H7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7" s="11" t="str">
        <f>IF(DataTable[[#This Row],[Lo. B. Successful Xings.]]="","N/A",SUM(ProcessedData[[#This Row],[Lo. B. Ti.]],DataTable[[#This Row],[Lo. B. Successful Xings.]]+1))</f>
        <v>N/A</v>
      </c>
      <c r="Z7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8" spans="1:26" x14ac:dyDescent="0.2">
      <c r="A748" t="str">
        <f>IF(DataTable[[#This Row],[Tm.]]="","N/A",DataTable[[#This Row],[Tm.]])</f>
        <v>N/A</v>
      </c>
      <c r="B748" t="str">
        <f>IF(DataTable[[#This Row],[Match Nr.]]="","N/A",DataTable[[#This Row],[Match Nr.]])</f>
        <v>N/A</v>
      </c>
      <c r="C7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8" t="str">
        <f>IF(AND(DataTable[[#This Row],[Successful Lo. G. S]]="",DataTable[[#This Row],[Successful Hi. G. S.]]=""),"N/A",DataTable[[#This Row],[Successful Lo. G. S]]*2+DataTable[[#This Row],[Successful Hi. G. S.]]*10)</f>
        <v>N/A</v>
      </c>
      <c r="H7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8" s="11" t="str">
        <f>IF(DataTable[[#This Row],[Lo. B. Successful Xings.]]="","N/A",SUM(ProcessedData[[#This Row],[Lo. B. Ti.]],DataTable[[#This Row],[Lo. B. Successful Xings.]]+1))</f>
        <v>N/A</v>
      </c>
      <c r="Z7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49" spans="1:26" x14ac:dyDescent="0.2">
      <c r="A749" t="str">
        <f>IF(DataTable[[#This Row],[Tm.]]="","N/A",DataTable[[#This Row],[Tm.]])</f>
        <v>N/A</v>
      </c>
      <c r="B749" t="str">
        <f>IF(DataTable[[#This Row],[Match Nr.]]="","N/A",DataTable[[#This Row],[Match Nr.]])</f>
        <v>N/A</v>
      </c>
      <c r="C7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49" t="str">
        <f>IF(AND(DataTable[[#This Row],[Successful Lo. G. S]]="",DataTable[[#This Row],[Successful Hi. G. S.]]=""),"N/A",DataTable[[#This Row],[Successful Lo. G. S]]*2+DataTable[[#This Row],[Successful Hi. G. S.]]*10)</f>
        <v>N/A</v>
      </c>
      <c r="H7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49" s="11" t="str">
        <f>IF(DataTable[[#This Row],[Lo. B. Successful Xings.]]="","N/A",SUM(ProcessedData[[#This Row],[Lo. B. Ti.]],DataTable[[#This Row],[Lo. B. Successful Xings.]]+1))</f>
        <v>N/A</v>
      </c>
      <c r="Z7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0" spans="1:26" x14ac:dyDescent="0.2">
      <c r="A750" t="str">
        <f>IF(DataTable[[#This Row],[Tm.]]="","N/A",DataTable[[#This Row],[Tm.]])</f>
        <v>N/A</v>
      </c>
      <c r="B750" t="str">
        <f>IF(DataTable[[#This Row],[Match Nr.]]="","N/A",DataTable[[#This Row],[Match Nr.]])</f>
        <v>N/A</v>
      </c>
      <c r="C7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0" t="str">
        <f>IF(AND(DataTable[[#This Row],[Successful Lo. G. S]]="",DataTable[[#This Row],[Successful Hi. G. S.]]=""),"N/A",DataTable[[#This Row],[Successful Lo. G. S]]*2+DataTable[[#This Row],[Successful Hi. G. S.]]*10)</f>
        <v>N/A</v>
      </c>
      <c r="H7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0" s="11" t="str">
        <f>IF(DataTable[[#This Row],[Lo. B. Successful Xings.]]="","N/A",SUM(ProcessedData[[#This Row],[Lo. B. Ti.]],DataTable[[#This Row],[Lo. B. Successful Xings.]]+1))</f>
        <v>N/A</v>
      </c>
      <c r="Z7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1" spans="1:26" x14ac:dyDescent="0.2">
      <c r="A751" t="str">
        <f>IF(DataTable[[#This Row],[Tm.]]="","N/A",DataTable[[#This Row],[Tm.]])</f>
        <v>N/A</v>
      </c>
      <c r="B751" t="str">
        <f>IF(DataTable[[#This Row],[Match Nr.]]="","N/A",DataTable[[#This Row],[Match Nr.]])</f>
        <v>N/A</v>
      </c>
      <c r="C7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1" t="str">
        <f>IF(AND(DataTable[[#This Row],[Successful Lo. G. S]]="",DataTable[[#This Row],[Successful Hi. G. S.]]=""),"N/A",DataTable[[#This Row],[Successful Lo. G. S]]*2+DataTable[[#This Row],[Successful Hi. G. S.]]*10)</f>
        <v>N/A</v>
      </c>
      <c r="H7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1" s="11" t="str">
        <f>IF(DataTable[[#This Row],[Lo. B. Successful Xings.]]="","N/A",SUM(ProcessedData[[#This Row],[Lo. B. Ti.]],DataTable[[#This Row],[Lo. B. Successful Xings.]]+1))</f>
        <v>N/A</v>
      </c>
      <c r="Z7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2" spans="1:26" x14ac:dyDescent="0.2">
      <c r="A752" t="str">
        <f>IF(DataTable[[#This Row],[Tm.]]="","N/A",DataTable[[#This Row],[Tm.]])</f>
        <v>N/A</v>
      </c>
      <c r="B752" t="str">
        <f>IF(DataTable[[#This Row],[Match Nr.]]="","N/A",DataTable[[#This Row],[Match Nr.]])</f>
        <v>N/A</v>
      </c>
      <c r="C7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2" t="str">
        <f>IF(AND(DataTable[[#This Row],[Successful Lo. G. S]]="",DataTable[[#This Row],[Successful Hi. G. S.]]=""),"N/A",DataTable[[#This Row],[Successful Lo. G. S]]*2+DataTable[[#This Row],[Successful Hi. G. S.]]*10)</f>
        <v>N/A</v>
      </c>
      <c r="H7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2" s="11" t="str">
        <f>IF(DataTable[[#This Row],[Lo. B. Successful Xings.]]="","N/A",SUM(ProcessedData[[#This Row],[Lo. B. Ti.]],DataTable[[#This Row],[Lo. B. Successful Xings.]]+1))</f>
        <v>N/A</v>
      </c>
      <c r="Z7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3" spans="1:26" x14ac:dyDescent="0.2">
      <c r="A753" t="str">
        <f>IF(DataTable[[#This Row],[Tm.]]="","N/A",DataTable[[#This Row],[Tm.]])</f>
        <v>N/A</v>
      </c>
      <c r="B753" t="str">
        <f>IF(DataTable[[#This Row],[Match Nr.]]="","N/A",DataTable[[#This Row],[Match Nr.]])</f>
        <v>N/A</v>
      </c>
      <c r="C7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3" t="str">
        <f>IF(AND(DataTable[[#This Row],[Successful Lo. G. S]]="",DataTable[[#This Row],[Successful Hi. G. S.]]=""),"N/A",DataTable[[#This Row],[Successful Lo. G. S]]*2+DataTable[[#This Row],[Successful Hi. G. S.]]*10)</f>
        <v>N/A</v>
      </c>
      <c r="H7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3" s="11" t="str">
        <f>IF(DataTable[[#This Row],[Lo. B. Successful Xings.]]="","N/A",SUM(ProcessedData[[#This Row],[Lo. B. Ti.]],DataTable[[#This Row],[Lo. B. Successful Xings.]]+1))</f>
        <v>N/A</v>
      </c>
      <c r="Z7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4" spans="1:26" x14ac:dyDescent="0.2">
      <c r="A754" t="str">
        <f>IF(DataTable[[#This Row],[Tm.]]="","N/A",DataTable[[#This Row],[Tm.]])</f>
        <v>N/A</v>
      </c>
      <c r="B754" t="str">
        <f>IF(DataTable[[#This Row],[Match Nr.]]="","N/A",DataTable[[#This Row],[Match Nr.]])</f>
        <v>N/A</v>
      </c>
      <c r="C7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4" t="str">
        <f>IF(AND(DataTable[[#This Row],[Successful Lo. G. S]]="",DataTable[[#This Row],[Successful Hi. G. S.]]=""),"N/A",DataTable[[#This Row],[Successful Lo. G. S]]*2+DataTable[[#This Row],[Successful Hi. G. S.]]*10)</f>
        <v>N/A</v>
      </c>
      <c r="H7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4" s="11" t="str">
        <f>IF(DataTable[[#This Row],[Lo. B. Successful Xings.]]="","N/A",SUM(ProcessedData[[#This Row],[Lo. B. Ti.]],DataTable[[#This Row],[Lo. B. Successful Xings.]]+1))</f>
        <v>N/A</v>
      </c>
      <c r="Z7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5" spans="1:26" x14ac:dyDescent="0.2">
      <c r="A755" t="str">
        <f>IF(DataTable[[#This Row],[Tm.]]="","N/A",DataTable[[#This Row],[Tm.]])</f>
        <v>N/A</v>
      </c>
      <c r="B755" t="str">
        <f>IF(DataTable[[#This Row],[Match Nr.]]="","N/A",DataTable[[#This Row],[Match Nr.]])</f>
        <v>N/A</v>
      </c>
      <c r="C7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5" t="str">
        <f>IF(AND(DataTable[[#This Row],[Successful Lo. G. S]]="",DataTable[[#This Row],[Successful Hi. G. S.]]=""),"N/A",DataTable[[#This Row],[Successful Lo. G. S]]*2+DataTable[[#This Row],[Successful Hi. G. S.]]*10)</f>
        <v>N/A</v>
      </c>
      <c r="H7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5" s="11" t="str">
        <f>IF(DataTable[[#This Row],[Lo. B. Successful Xings.]]="","N/A",SUM(ProcessedData[[#This Row],[Lo. B. Ti.]],DataTable[[#This Row],[Lo. B. Successful Xings.]]+1))</f>
        <v>N/A</v>
      </c>
      <c r="Z7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6" spans="1:26" x14ac:dyDescent="0.2">
      <c r="A756" t="str">
        <f>IF(DataTable[[#This Row],[Tm.]]="","N/A",DataTable[[#This Row],[Tm.]])</f>
        <v>N/A</v>
      </c>
      <c r="B756" t="str">
        <f>IF(DataTable[[#This Row],[Match Nr.]]="","N/A",DataTable[[#This Row],[Match Nr.]])</f>
        <v>N/A</v>
      </c>
      <c r="C7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6" t="str">
        <f>IF(AND(DataTable[[#This Row],[Successful Lo. G. S]]="",DataTable[[#This Row],[Successful Hi. G. S.]]=""),"N/A",DataTable[[#This Row],[Successful Lo. G. S]]*2+DataTable[[#This Row],[Successful Hi. G. S.]]*10)</f>
        <v>N/A</v>
      </c>
      <c r="H7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6" s="11" t="str">
        <f>IF(DataTable[[#This Row],[Lo. B. Successful Xings.]]="","N/A",SUM(ProcessedData[[#This Row],[Lo. B. Ti.]],DataTable[[#This Row],[Lo. B. Successful Xings.]]+1))</f>
        <v>N/A</v>
      </c>
      <c r="Z7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7" spans="1:26" x14ac:dyDescent="0.2">
      <c r="A757" t="str">
        <f>IF(DataTable[[#This Row],[Tm.]]="","N/A",DataTable[[#This Row],[Tm.]])</f>
        <v>N/A</v>
      </c>
      <c r="B757" t="str">
        <f>IF(DataTable[[#This Row],[Match Nr.]]="","N/A",DataTable[[#This Row],[Match Nr.]])</f>
        <v>N/A</v>
      </c>
      <c r="C7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7" t="str">
        <f>IF(AND(DataTable[[#This Row],[Successful Lo. G. S]]="",DataTable[[#This Row],[Successful Hi. G. S.]]=""),"N/A",DataTable[[#This Row],[Successful Lo. G. S]]*2+DataTable[[#This Row],[Successful Hi. G. S.]]*10)</f>
        <v>N/A</v>
      </c>
      <c r="H7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7" s="11" t="str">
        <f>IF(DataTable[[#This Row],[Lo. B. Successful Xings.]]="","N/A",SUM(ProcessedData[[#This Row],[Lo. B. Ti.]],DataTable[[#This Row],[Lo. B. Successful Xings.]]+1))</f>
        <v>N/A</v>
      </c>
      <c r="Z7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8" spans="1:26" x14ac:dyDescent="0.2">
      <c r="A758" t="str">
        <f>IF(DataTable[[#This Row],[Tm.]]="","N/A",DataTable[[#This Row],[Tm.]])</f>
        <v>N/A</v>
      </c>
      <c r="B758" t="str">
        <f>IF(DataTable[[#This Row],[Match Nr.]]="","N/A",DataTable[[#This Row],[Match Nr.]])</f>
        <v>N/A</v>
      </c>
      <c r="C7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8" t="str">
        <f>IF(AND(DataTable[[#This Row],[Successful Lo. G. S]]="",DataTable[[#This Row],[Successful Hi. G. S.]]=""),"N/A",DataTable[[#This Row],[Successful Lo. G. S]]*2+DataTable[[#This Row],[Successful Hi. G. S.]]*10)</f>
        <v>N/A</v>
      </c>
      <c r="H7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8" s="11" t="str">
        <f>IF(DataTable[[#This Row],[Lo. B. Successful Xings.]]="","N/A",SUM(ProcessedData[[#This Row],[Lo. B. Ti.]],DataTable[[#This Row],[Lo. B. Successful Xings.]]+1))</f>
        <v>N/A</v>
      </c>
      <c r="Z7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59" spans="1:26" x14ac:dyDescent="0.2">
      <c r="A759" t="str">
        <f>IF(DataTable[[#This Row],[Tm.]]="","N/A",DataTable[[#This Row],[Tm.]])</f>
        <v>N/A</v>
      </c>
      <c r="B759" t="str">
        <f>IF(DataTable[[#This Row],[Match Nr.]]="","N/A",DataTable[[#This Row],[Match Nr.]])</f>
        <v>N/A</v>
      </c>
      <c r="C7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59" t="str">
        <f>IF(AND(DataTable[[#This Row],[Successful Lo. G. S]]="",DataTable[[#This Row],[Successful Hi. G. S.]]=""),"N/A",DataTable[[#This Row],[Successful Lo. G. S]]*2+DataTable[[#This Row],[Successful Hi. G. S.]]*10)</f>
        <v>N/A</v>
      </c>
      <c r="H7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59" s="11" t="str">
        <f>IF(DataTable[[#This Row],[Lo. B. Successful Xings.]]="","N/A",SUM(ProcessedData[[#This Row],[Lo. B. Ti.]],DataTable[[#This Row],[Lo. B. Successful Xings.]]+1))</f>
        <v>N/A</v>
      </c>
      <c r="Z7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0" spans="1:26" x14ac:dyDescent="0.2">
      <c r="A760" t="str">
        <f>IF(DataTable[[#This Row],[Tm.]]="","N/A",DataTable[[#This Row],[Tm.]])</f>
        <v>N/A</v>
      </c>
      <c r="B760" t="str">
        <f>IF(DataTable[[#This Row],[Match Nr.]]="","N/A",DataTable[[#This Row],[Match Nr.]])</f>
        <v>N/A</v>
      </c>
      <c r="C7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0" t="str">
        <f>IF(AND(DataTable[[#This Row],[Successful Lo. G. S]]="",DataTable[[#This Row],[Successful Hi. G. S.]]=""),"N/A",DataTable[[#This Row],[Successful Lo. G. S]]*2+DataTable[[#This Row],[Successful Hi. G. S.]]*10)</f>
        <v>N/A</v>
      </c>
      <c r="H7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0" s="11" t="str">
        <f>IF(DataTable[[#This Row],[Lo. B. Successful Xings.]]="","N/A",SUM(ProcessedData[[#This Row],[Lo. B. Ti.]],DataTable[[#This Row],[Lo. B. Successful Xings.]]+1))</f>
        <v>N/A</v>
      </c>
      <c r="Z7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1" spans="1:26" x14ac:dyDescent="0.2">
      <c r="A761" t="str">
        <f>IF(DataTable[[#This Row],[Tm.]]="","N/A",DataTable[[#This Row],[Tm.]])</f>
        <v>N/A</v>
      </c>
      <c r="B761" t="str">
        <f>IF(DataTable[[#This Row],[Match Nr.]]="","N/A",DataTable[[#This Row],[Match Nr.]])</f>
        <v>N/A</v>
      </c>
      <c r="C7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1" t="str">
        <f>IF(AND(DataTable[[#This Row],[Successful Lo. G. S]]="",DataTable[[#This Row],[Successful Hi. G. S.]]=""),"N/A",DataTable[[#This Row],[Successful Lo. G. S]]*2+DataTable[[#This Row],[Successful Hi. G. S.]]*10)</f>
        <v>N/A</v>
      </c>
      <c r="H7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1" s="11" t="str">
        <f>IF(DataTable[[#This Row],[Lo. B. Successful Xings.]]="","N/A",SUM(ProcessedData[[#This Row],[Lo. B. Ti.]],DataTable[[#This Row],[Lo. B. Successful Xings.]]+1))</f>
        <v>N/A</v>
      </c>
      <c r="Z7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2" spans="1:26" x14ac:dyDescent="0.2">
      <c r="A762" t="str">
        <f>IF(DataTable[[#This Row],[Tm.]]="","N/A",DataTable[[#This Row],[Tm.]])</f>
        <v>N/A</v>
      </c>
      <c r="B762" t="str">
        <f>IF(DataTable[[#This Row],[Match Nr.]]="","N/A",DataTable[[#This Row],[Match Nr.]])</f>
        <v>N/A</v>
      </c>
      <c r="C7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2" t="str">
        <f>IF(AND(DataTable[[#This Row],[Successful Lo. G. S]]="",DataTable[[#This Row],[Successful Hi. G. S.]]=""),"N/A",DataTable[[#This Row],[Successful Lo. G. S]]*2+DataTable[[#This Row],[Successful Hi. G. S.]]*10)</f>
        <v>N/A</v>
      </c>
      <c r="H7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2" s="11" t="str">
        <f>IF(DataTable[[#This Row],[Lo. B. Successful Xings.]]="","N/A",SUM(ProcessedData[[#This Row],[Lo. B. Ti.]],DataTable[[#This Row],[Lo. B. Successful Xings.]]+1))</f>
        <v>N/A</v>
      </c>
      <c r="Z7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3" spans="1:26" x14ac:dyDescent="0.2">
      <c r="A763" t="str">
        <f>IF(DataTable[[#This Row],[Tm.]]="","N/A",DataTable[[#This Row],[Tm.]])</f>
        <v>N/A</v>
      </c>
      <c r="B763" t="str">
        <f>IF(DataTable[[#This Row],[Match Nr.]]="","N/A",DataTable[[#This Row],[Match Nr.]])</f>
        <v>N/A</v>
      </c>
      <c r="C7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3" t="str">
        <f>IF(AND(DataTable[[#This Row],[Successful Lo. G. S]]="",DataTable[[#This Row],[Successful Hi. G. S.]]=""),"N/A",DataTable[[#This Row],[Successful Lo. G. S]]*2+DataTable[[#This Row],[Successful Hi. G. S.]]*10)</f>
        <v>N/A</v>
      </c>
      <c r="H7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3" s="11" t="str">
        <f>IF(DataTable[[#This Row],[Lo. B. Successful Xings.]]="","N/A",SUM(ProcessedData[[#This Row],[Lo. B. Ti.]],DataTable[[#This Row],[Lo. B. Successful Xings.]]+1))</f>
        <v>N/A</v>
      </c>
      <c r="Z7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4" spans="1:26" x14ac:dyDescent="0.2">
      <c r="A764" t="str">
        <f>IF(DataTable[[#This Row],[Tm.]]="","N/A",DataTable[[#This Row],[Tm.]])</f>
        <v>N/A</v>
      </c>
      <c r="B764" t="str">
        <f>IF(DataTable[[#This Row],[Match Nr.]]="","N/A",DataTable[[#This Row],[Match Nr.]])</f>
        <v>N/A</v>
      </c>
      <c r="C7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4" t="str">
        <f>IF(AND(DataTable[[#This Row],[Successful Lo. G. S]]="",DataTable[[#This Row],[Successful Hi. G. S.]]=""),"N/A",DataTable[[#This Row],[Successful Lo. G. S]]*2+DataTable[[#This Row],[Successful Hi. G. S.]]*10)</f>
        <v>N/A</v>
      </c>
      <c r="H7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4" s="11" t="str">
        <f>IF(DataTable[[#This Row],[Lo. B. Successful Xings.]]="","N/A",SUM(ProcessedData[[#This Row],[Lo. B. Ti.]],DataTable[[#This Row],[Lo. B. Successful Xings.]]+1))</f>
        <v>N/A</v>
      </c>
      <c r="Z7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5" spans="1:26" x14ac:dyDescent="0.2">
      <c r="A765" t="str">
        <f>IF(DataTable[[#This Row],[Tm.]]="","N/A",DataTable[[#This Row],[Tm.]])</f>
        <v>N/A</v>
      </c>
      <c r="B765" t="str">
        <f>IF(DataTable[[#This Row],[Match Nr.]]="","N/A",DataTable[[#This Row],[Match Nr.]])</f>
        <v>N/A</v>
      </c>
      <c r="C7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5" t="str">
        <f>IF(AND(DataTable[[#This Row],[Successful Lo. G. S]]="",DataTable[[#This Row],[Successful Hi. G. S.]]=""),"N/A",DataTable[[#This Row],[Successful Lo. G. S]]*2+DataTable[[#This Row],[Successful Hi. G. S.]]*10)</f>
        <v>N/A</v>
      </c>
      <c r="H7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5" s="11" t="str">
        <f>IF(DataTable[[#This Row],[Lo. B. Successful Xings.]]="","N/A",SUM(ProcessedData[[#This Row],[Lo. B. Ti.]],DataTable[[#This Row],[Lo. B. Successful Xings.]]+1))</f>
        <v>N/A</v>
      </c>
      <c r="Z7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6" spans="1:26" x14ac:dyDescent="0.2">
      <c r="A766" t="str">
        <f>IF(DataTable[[#This Row],[Tm.]]="","N/A",DataTable[[#This Row],[Tm.]])</f>
        <v>N/A</v>
      </c>
      <c r="B766" t="str">
        <f>IF(DataTable[[#This Row],[Match Nr.]]="","N/A",DataTable[[#This Row],[Match Nr.]])</f>
        <v>N/A</v>
      </c>
      <c r="C7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6" t="str">
        <f>IF(AND(DataTable[[#This Row],[Successful Lo. G. S]]="",DataTable[[#This Row],[Successful Hi. G. S.]]=""),"N/A",DataTable[[#This Row],[Successful Lo. G. S]]*2+DataTable[[#This Row],[Successful Hi. G. S.]]*10)</f>
        <v>N/A</v>
      </c>
      <c r="H7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6" s="11" t="str">
        <f>IF(DataTable[[#This Row],[Lo. B. Successful Xings.]]="","N/A",SUM(ProcessedData[[#This Row],[Lo. B. Ti.]],DataTable[[#This Row],[Lo. B. Successful Xings.]]+1))</f>
        <v>N/A</v>
      </c>
      <c r="Z7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7" spans="1:26" x14ac:dyDescent="0.2">
      <c r="A767" t="str">
        <f>IF(DataTable[[#This Row],[Tm.]]="","N/A",DataTable[[#This Row],[Tm.]])</f>
        <v>N/A</v>
      </c>
      <c r="B767" t="str">
        <f>IF(DataTable[[#This Row],[Match Nr.]]="","N/A",DataTable[[#This Row],[Match Nr.]])</f>
        <v>N/A</v>
      </c>
      <c r="C7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7" t="str">
        <f>IF(AND(DataTable[[#This Row],[Successful Lo. G. S]]="",DataTable[[#This Row],[Successful Hi. G. S.]]=""),"N/A",DataTable[[#This Row],[Successful Lo. G. S]]*2+DataTable[[#This Row],[Successful Hi. G. S.]]*10)</f>
        <v>N/A</v>
      </c>
      <c r="H7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7" s="11" t="str">
        <f>IF(DataTable[[#This Row],[Lo. B. Successful Xings.]]="","N/A",SUM(ProcessedData[[#This Row],[Lo. B. Ti.]],DataTable[[#This Row],[Lo. B. Successful Xings.]]+1))</f>
        <v>N/A</v>
      </c>
      <c r="Z7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8" spans="1:26" x14ac:dyDescent="0.2">
      <c r="A768" t="str">
        <f>IF(DataTable[[#This Row],[Tm.]]="","N/A",DataTable[[#This Row],[Tm.]])</f>
        <v>N/A</v>
      </c>
      <c r="B768" t="str">
        <f>IF(DataTable[[#This Row],[Match Nr.]]="","N/A",DataTable[[#This Row],[Match Nr.]])</f>
        <v>N/A</v>
      </c>
      <c r="C7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8" t="str">
        <f>IF(AND(DataTable[[#This Row],[Successful Lo. G. S]]="",DataTable[[#This Row],[Successful Hi. G. S.]]=""),"N/A",DataTable[[#This Row],[Successful Lo. G. S]]*2+DataTable[[#This Row],[Successful Hi. G. S.]]*10)</f>
        <v>N/A</v>
      </c>
      <c r="H7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8" s="11" t="str">
        <f>IF(DataTable[[#This Row],[Lo. B. Successful Xings.]]="","N/A",SUM(ProcessedData[[#This Row],[Lo. B. Ti.]],DataTable[[#This Row],[Lo. B. Successful Xings.]]+1))</f>
        <v>N/A</v>
      </c>
      <c r="Z7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69" spans="1:26" x14ac:dyDescent="0.2">
      <c r="A769" t="str">
        <f>IF(DataTable[[#This Row],[Tm.]]="","N/A",DataTable[[#This Row],[Tm.]])</f>
        <v>N/A</v>
      </c>
      <c r="B769" t="str">
        <f>IF(DataTable[[#This Row],[Match Nr.]]="","N/A",DataTable[[#This Row],[Match Nr.]])</f>
        <v>N/A</v>
      </c>
      <c r="C7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69" t="str">
        <f>IF(AND(DataTable[[#This Row],[Successful Lo. G. S]]="",DataTable[[#This Row],[Successful Hi. G. S.]]=""),"N/A",DataTable[[#This Row],[Successful Lo. G. S]]*2+DataTable[[#This Row],[Successful Hi. G. S.]]*10)</f>
        <v>N/A</v>
      </c>
      <c r="H7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69" s="11" t="str">
        <f>IF(DataTable[[#This Row],[Lo. B. Successful Xings.]]="","N/A",SUM(ProcessedData[[#This Row],[Lo. B. Ti.]],DataTable[[#This Row],[Lo. B. Successful Xings.]]+1))</f>
        <v>N/A</v>
      </c>
      <c r="Z7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0" spans="1:26" x14ac:dyDescent="0.2">
      <c r="A770" t="str">
        <f>IF(DataTable[[#This Row],[Tm.]]="","N/A",DataTable[[#This Row],[Tm.]])</f>
        <v>N/A</v>
      </c>
      <c r="B770" t="str">
        <f>IF(DataTable[[#This Row],[Match Nr.]]="","N/A",DataTable[[#This Row],[Match Nr.]])</f>
        <v>N/A</v>
      </c>
      <c r="C7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0" t="str">
        <f>IF(AND(DataTable[[#This Row],[Successful Lo. G. S]]="",DataTable[[#This Row],[Successful Hi. G. S.]]=""),"N/A",DataTable[[#This Row],[Successful Lo. G. S]]*2+DataTable[[#This Row],[Successful Hi. G. S.]]*10)</f>
        <v>N/A</v>
      </c>
      <c r="H7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0" s="11" t="str">
        <f>IF(DataTable[[#This Row],[Lo. B. Successful Xings.]]="","N/A",SUM(ProcessedData[[#This Row],[Lo. B. Ti.]],DataTable[[#This Row],[Lo. B. Successful Xings.]]+1))</f>
        <v>N/A</v>
      </c>
      <c r="Z7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1" spans="1:26" x14ac:dyDescent="0.2">
      <c r="A771" t="str">
        <f>IF(DataTable[[#This Row],[Tm.]]="","N/A",DataTable[[#This Row],[Tm.]])</f>
        <v>N/A</v>
      </c>
      <c r="B771" t="str">
        <f>IF(DataTable[[#This Row],[Match Nr.]]="","N/A",DataTable[[#This Row],[Match Nr.]])</f>
        <v>N/A</v>
      </c>
      <c r="C7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1" t="str">
        <f>IF(AND(DataTable[[#This Row],[Successful Lo. G. S]]="",DataTable[[#This Row],[Successful Hi. G. S.]]=""),"N/A",DataTable[[#This Row],[Successful Lo. G. S]]*2+DataTable[[#This Row],[Successful Hi. G. S.]]*10)</f>
        <v>N/A</v>
      </c>
      <c r="H7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1" s="11" t="str">
        <f>IF(DataTable[[#This Row],[Lo. B. Successful Xings.]]="","N/A",SUM(ProcessedData[[#This Row],[Lo. B. Ti.]],DataTable[[#This Row],[Lo. B. Successful Xings.]]+1))</f>
        <v>N/A</v>
      </c>
      <c r="Z7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2" spans="1:26" x14ac:dyDescent="0.2">
      <c r="A772" t="str">
        <f>IF(DataTable[[#This Row],[Tm.]]="","N/A",DataTable[[#This Row],[Tm.]])</f>
        <v>N/A</v>
      </c>
      <c r="B772" t="str">
        <f>IF(DataTable[[#This Row],[Match Nr.]]="","N/A",DataTable[[#This Row],[Match Nr.]])</f>
        <v>N/A</v>
      </c>
      <c r="C7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2" t="str">
        <f>IF(AND(DataTable[[#This Row],[Successful Lo. G. S]]="",DataTable[[#This Row],[Successful Hi. G. S.]]=""),"N/A",DataTable[[#This Row],[Successful Lo. G. S]]*2+DataTable[[#This Row],[Successful Hi. G. S.]]*10)</f>
        <v>N/A</v>
      </c>
      <c r="H7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2" s="11" t="str">
        <f>IF(DataTable[[#This Row],[Lo. B. Successful Xings.]]="","N/A",SUM(ProcessedData[[#This Row],[Lo. B. Ti.]],DataTable[[#This Row],[Lo. B. Successful Xings.]]+1))</f>
        <v>N/A</v>
      </c>
      <c r="Z7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3" spans="1:26" x14ac:dyDescent="0.2">
      <c r="A773" t="str">
        <f>IF(DataTable[[#This Row],[Tm.]]="","N/A",DataTable[[#This Row],[Tm.]])</f>
        <v>N/A</v>
      </c>
      <c r="B773" t="str">
        <f>IF(DataTable[[#This Row],[Match Nr.]]="","N/A",DataTable[[#This Row],[Match Nr.]])</f>
        <v>N/A</v>
      </c>
      <c r="C7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3" t="str">
        <f>IF(AND(DataTable[[#This Row],[Successful Lo. G. S]]="",DataTable[[#This Row],[Successful Hi. G. S.]]=""),"N/A",DataTable[[#This Row],[Successful Lo. G. S]]*2+DataTable[[#This Row],[Successful Hi. G. S.]]*10)</f>
        <v>N/A</v>
      </c>
      <c r="H7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3" s="11" t="str">
        <f>IF(DataTable[[#This Row],[Lo. B. Successful Xings.]]="","N/A",SUM(ProcessedData[[#This Row],[Lo. B. Ti.]],DataTable[[#This Row],[Lo. B. Successful Xings.]]+1))</f>
        <v>N/A</v>
      </c>
      <c r="Z7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4" spans="1:26" x14ac:dyDescent="0.2">
      <c r="A774" t="str">
        <f>IF(DataTable[[#This Row],[Tm.]]="","N/A",DataTable[[#This Row],[Tm.]])</f>
        <v>N/A</v>
      </c>
      <c r="B774" t="str">
        <f>IF(DataTable[[#This Row],[Match Nr.]]="","N/A",DataTable[[#This Row],[Match Nr.]])</f>
        <v>N/A</v>
      </c>
      <c r="C7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4" t="str">
        <f>IF(AND(DataTable[[#This Row],[Successful Lo. G. S]]="",DataTable[[#This Row],[Successful Hi. G. S.]]=""),"N/A",DataTable[[#This Row],[Successful Lo. G. S]]*2+DataTable[[#This Row],[Successful Hi. G. S.]]*10)</f>
        <v>N/A</v>
      </c>
      <c r="H7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4" s="11" t="str">
        <f>IF(DataTable[[#This Row],[Lo. B. Successful Xings.]]="","N/A",SUM(ProcessedData[[#This Row],[Lo. B. Ti.]],DataTable[[#This Row],[Lo. B. Successful Xings.]]+1))</f>
        <v>N/A</v>
      </c>
      <c r="Z7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5" spans="1:26" x14ac:dyDescent="0.2">
      <c r="A775" t="str">
        <f>IF(DataTable[[#This Row],[Tm.]]="","N/A",DataTable[[#This Row],[Tm.]])</f>
        <v>N/A</v>
      </c>
      <c r="B775" t="str">
        <f>IF(DataTable[[#This Row],[Match Nr.]]="","N/A",DataTable[[#This Row],[Match Nr.]])</f>
        <v>N/A</v>
      </c>
      <c r="C7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5" t="str">
        <f>IF(AND(DataTable[[#This Row],[Successful Lo. G. S]]="",DataTable[[#This Row],[Successful Hi. G. S.]]=""),"N/A",DataTable[[#This Row],[Successful Lo. G. S]]*2+DataTable[[#This Row],[Successful Hi. G. S.]]*10)</f>
        <v>N/A</v>
      </c>
      <c r="H7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5" s="11" t="str">
        <f>IF(DataTable[[#This Row],[Lo. B. Successful Xings.]]="","N/A",SUM(ProcessedData[[#This Row],[Lo. B. Ti.]],DataTable[[#This Row],[Lo. B. Successful Xings.]]+1))</f>
        <v>N/A</v>
      </c>
      <c r="Z7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6" spans="1:26" x14ac:dyDescent="0.2">
      <c r="A776" t="str">
        <f>IF(DataTable[[#This Row],[Tm.]]="","N/A",DataTable[[#This Row],[Tm.]])</f>
        <v>N/A</v>
      </c>
      <c r="B776" t="str">
        <f>IF(DataTable[[#This Row],[Match Nr.]]="","N/A",DataTable[[#This Row],[Match Nr.]])</f>
        <v>N/A</v>
      </c>
      <c r="C7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6" t="str">
        <f>IF(AND(DataTable[[#This Row],[Successful Lo. G. S]]="",DataTable[[#This Row],[Successful Hi. G. S.]]=""),"N/A",DataTable[[#This Row],[Successful Lo. G. S]]*2+DataTable[[#This Row],[Successful Hi. G. S.]]*10)</f>
        <v>N/A</v>
      </c>
      <c r="H7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6" s="11" t="str">
        <f>IF(DataTable[[#This Row],[Lo. B. Successful Xings.]]="","N/A",SUM(ProcessedData[[#This Row],[Lo. B. Ti.]],DataTable[[#This Row],[Lo. B. Successful Xings.]]+1))</f>
        <v>N/A</v>
      </c>
      <c r="Z7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7" spans="1:26" x14ac:dyDescent="0.2">
      <c r="A777" t="str">
        <f>IF(DataTable[[#This Row],[Tm.]]="","N/A",DataTable[[#This Row],[Tm.]])</f>
        <v>N/A</v>
      </c>
      <c r="B777" t="str">
        <f>IF(DataTable[[#This Row],[Match Nr.]]="","N/A",DataTable[[#This Row],[Match Nr.]])</f>
        <v>N/A</v>
      </c>
      <c r="C7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7" t="str">
        <f>IF(AND(DataTable[[#This Row],[Successful Lo. G. S]]="",DataTable[[#This Row],[Successful Hi. G. S.]]=""),"N/A",DataTable[[#This Row],[Successful Lo. G. S]]*2+DataTable[[#This Row],[Successful Hi. G. S.]]*10)</f>
        <v>N/A</v>
      </c>
      <c r="H7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7" s="11" t="str">
        <f>IF(DataTable[[#This Row],[Lo. B. Successful Xings.]]="","N/A",SUM(ProcessedData[[#This Row],[Lo. B. Ti.]],DataTable[[#This Row],[Lo. B. Successful Xings.]]+1))</f>
        <v>N/A</v>
      </c>
      <c r="Z7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8" spans="1:26" x14ac:dyDescent="0.2">
      <c r="A778" t="str">
        <f>IF(DataTable[[#This Row],[Tm.]]="","N/A",DataTable[[#This Row],[Tm.]])</f>
        <v>N/A</v>
      </c>
      <c r="B778" t="str">
        <f>IF(DataTable[[#This Row],[Match Nr.]]="","N/A",DataTable[[#This Row],[Match Nr.]])</f>
        <v>N/A</v>
      </c>
      <c r="C7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8" t="str">
        <f>IF(AND(DataTable[[#This Row],[Successful Lo. G. S]]="",DataTable[[#This Row],[Successful Hi. G. S.]]=""),"N/A",DataTable[[#This Row],[Successful Lo. G. S]]*2+DataTable[[#This Row],[Successful Hi. G. S.]]*10)</f>
        <v>N/A</v>
      </c>
      <c r="H7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8" s="11" t="str">
        <f>IF(DataTable[[#This Row],[Lo. B. Successful Xings.]]="","N/A",SUM(ProcessedData[[#This Row],[Lo. B. Ti.]],DataTable[[#This Row],[Lo. B. Successful Xings.]]+1))</f>
        <v>N/A</v>
      </c>
      <c r="Z7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79" spans="1:26" x14ac:dyDescent="0.2">
      <c r="A779" t="str">
        <f>IF(DataTable[[#This Row],[Tm.]]="","N/A",DataTable[[#This Row],[Tm.]])</f>
        <v>N/A</v>
      </c>
      <c r="B779" t="str">
        <f>IF(DataTable[[#This Row],[Match Nr.]]="","N/A",DataTable[[#This Row],[Match Nr.]])</f>
        <v>N/A</v>
      </c>
      <c r="C7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79" t="str">
        <f>IF(AND(DataTable[[#This Row],[Successful Lo. G. S]]="",DataTable[[#This Row],[Successful Hi. G. S.]]=""),"N/A",DataTable[[#This Row],[Successful Lo. G. S]]*2+DataTable[[#This Row],[Successful Hi. G. S.]]*10)</f>
        <v>N/A</v>
      </c>
      <c r="H7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79" s="11" t="str">
        <f>IF(DataTable[[#This Row],[Lo. B. Successful Xings.]]="","N/A",SUM(ProcessedData[[#This Row],[Lo. B. Ti.]],DataTable[[#This Row],[Lo. B. Successful Xings.]]+1))</f>
        <v>N/A</v>
      </c>
      <c r="Z7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0" spans="1:26" x14ac:dyDescent="0.2">
      <c r="A780" t="str">
        <f>IF(DataTable[[#This Row],[Tm.]]="","N/A",DataTable[[#This Row],[Tm.]])</f>
        <v>N/A</v>
      </c>
      <c r="B780" t="str">
        <f>IF(DataTable[[#This Row],[Match Nr.]]="","N/A",DataTable[[#This Row],[Match Nr.]])</f>
        <v>N/A</v>
      </c>
      <c r="C7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0" t="str">
        <f>IF(AND(DataTable[[#This Row],[Successful Lo. G. S]]="",DataTable[[#This Row],[Successful Hi. G. S.]]=""),"N/A",DataTable[[#This Row],[Successful Lo. G. S]]*2+DataTable[[#This Row],[Successful Hi. G. S.]]*10)</f>
        <v>N/A</v>
      </c>
      <c r="H7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0" s="11" t="str">
        <f>IF(DataTable[[#This Row],[Lo. B. Successful Xings.]]="","N/A",SUM(ProcessedData[[#This Row],[Lo. B. Ti.]],DataTable[[#This Row],[Lo. B. Successful Xings.]]+1))</f>
        <v>N/A</v>
      </c>
      <c r="Z7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1" spans="1:26" x14ac:dyDescent="0.2">
      <c r="A781" t="str">
        <f>IF(DataTable[[#This Row],[Tm.]]="","N/A",DataTable[[#This Row],[Tm.]])</f>
        <v>N/A</v>
      </c>
      <c r="B781" t="str">
        <f>IF(DataTable[[#This Row],[Match Nr.]]="","N/A",DataTable[[#This Row],[Match Nr.]])</f>
        <v>N/A</v>
      </c>
      <c r="C7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1" t="str">
        <f>IF(AND(DataTable[[#This Row],[Successful Lo. G. S]]="",DataTable[[#This Row],[Successful Hi. G. S.]]=""),"N/A",DataTable[[#This Row],[Successful Lo. G. S]]*2+DataTable[[#This Row],[Successful Hi. G. S.]]*10)</f>
        <v>N/A</v>
      </c>
      <c r="H7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1" s="11" t="str">
        <f>IF(DataTable[[#This Row],[Lo. B. Successful Xings.]]="","N/A",SUM(ProcessedData[[#This Row],[Lo. B. Ti.]],DataTable[[#This Row],[Lo. B. Successful Xings.]]+1))</f>
        <v>N/A</v>
      </c>
      <c r="Z7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2" spans="1:26" x14ac:dyDescent="0.2">
      <c r="A782" t="str">
        <f>IF(DataTable[[#This Row],[Tm.]]="","N/A",DataTable[[#This Row],[Tm.]])</f>
        <v>N/A</v>
      </c>
      <c r="B782" t="str">
        <f>IF(DataTable[[#This Row],[Match Nr.]]="","N/A",DataTable[[#This Row],[Match Nr.]])</f>
        <v>N/A</v>
      </c>
      <c r="C7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2" t="str">
        <f>IF(AND(DataTable[[#This Row],[Successful Lo. G. S]]="",DataTable[[#This Row],[Successful Hi. G. S.]]=""),"N/A",DataTable[[#This Row],[Successful Lo. G. S]]*2+DataTable[[#This Row],[Successful Hi. G. S.]]*10)</f>
        <v>N/A</v>
      </c>
      <c r="H7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2" s="11" t="str">
        <f>IF(DataTable[[#This Row],[Lo. B. Successful Xings.]]="","N/A",SUM(ProcessedData[[#This Row],[Lo. B. Ti.]],DataTable[[#This Row],[Lo. B. Successful Xings.]]+1))</f>
        <v>N/A</v>
      </c>
      <c r="Z7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3" spans="1:26" x14ac:dyDescent="0.2">
      <c r="A783" t="str">
        <f>IF(DataTable[[#This Row],[Tm.]]="","N/A",DataTable[[#This Row],[Tm.]])</f>
        <v>N/A</v>
      </c>
      <c r="B783" t="str">
        <f>IF(DataTable[[#This Row],[Match Nr.]]="","N/A",DataTable[[#This Row],[Match Nr.]])</f>
        <v>N/A</v>
      </c>
      <c r="C7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3" t="str">
        <f>IF(AND(DataTable[[#This Row],[Successful Lo. G. S]]="",DataTable[[#This Row],[Successful Hi. G. S.]]=""),"N/A",DataTable[[#This Row],[Successful Lo. G. S]]*2+DataTable[[#This Row],[Successful Hi. G. S.]]*10)</f>
        <v>N/A</v>
      </c>
      <c r="H7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3" s="11" t="str">
        <f>IF(DataTable[[#This Row],[Lo. B. Successful Xings.]]="","N/A",SUM(ProcessedData[[#This Row],[Lo. B. Ti.]],DataTable[[#This Row],[Lo. B. Successful Xings.]]+1))</f>
        <v>N/A</v>
      </c>
      <c r="Z7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4" spans="1:26" x14ac:dyDescent="0.2">
      <c r="A784" t="str">
        <f>IF(DataTable[[#This Row],[Tm.]]="","N/A",DataTable[[#This Row],[Tm.]])</f>
        <v>N/A</v>
      </c>
      <c r="B784" t="str">
        <f>IF(DataTable[[#This Row],[Match Nr.]]="","N/A",DataTable[[#This Row],[Match Nr.]])</f>
        <v>N/A</v>
      </c>
      <c r="C7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4" t="str">
        <f>IF(AND(DataTable[[#This Row],[Successful Lo. G. S]]="",DataTable[[#This Row],[Successful Hi. G. S.]]=""),"N/A",DataTable[[#This Row],[Successful Lo. G. S]]*2+DataTable[[#This Row],[Successful Hi. G. S.]]*10)</f>
        <v>N/A</v>
      </c>
      <c r="H7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4" s="11" t="str">
        <f>IF(DataTable[[#This Row],[Lo. B. Successful Xings.]]="","N/A",SUM(ProcessedData[[#This Row],[Lo. B. Ti.]],DataTable[[#This Row],[Lo. B. Successful Xings.]]+1))</f>
        <v>N/A</v>
      </c>
      <c r="Z7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5" spans="1:26" x14ac:dyDescent="0.2">
      <c r="A785" t="str">
        <f>IF(DataTable[[#This Row],[Tm.]]="","N/A",DataTable[[#This Row],[Tm.]])</f>
        <v>N/A</v>
      </c>
      <c r="B785" t="str">
        <f>IF(DataTable[[#This Row],[Match Nr.]]="","N/A",DataTable[[#This Row],[Match Nr.]])</f>
        <v>N/A</v>
      </c>
      <c r="C7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5" t="str">
        <f>IF(AND(DataTable[[#This Row],[Successful Lo. G. S]]="",DataTable[[#This Row],[Successful Hi. G. S.]]=""),"N/A",DataTable[[#This Row],[Successful Lo. G. S]]*2+DataTable[[#This Row],[Successful Hi. G. S.]]*10)</f>
        <v>N/A</v>
      </c>
      <c r="H7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5" s="11" t="str">
        <f>IF(DataTable[[#This Row],[Lo. B. Successful Xings.]]="","N/A",SUM(ProcessedData[[#This Row],[Lo. B. Ti.]],DataTable[[#This Row],[Lo. B. Successful Xings.]]+1))</f>
        <v>N/A</v>
      </c>
      <c r="Z7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6" spans="1:26" x14ac:dyDescent="0.2">
      <c r="A786" t="str">
        <f>IF(DataTable[[#This Row],[Tm.]]="","N/A",DataTable[[#This Row],[Tm.]])</f>
        <v>N/A</v>
      </c>
      <c r="B786" t="str">
        <f>IF(DataTable[[#This Row],[Match Nr.]]="","N/A",DataTable[[#This Row],[Match Nr.]])</f>
        <v>N/A</v>
      </c>
      <c r="C7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6" t="str">
        <f>IF(AND(DataTable[[#This Row],[Successful Lo. G. S]]="",DataTable[[#This Row],[Successful Hi. G. S.]]=""),"N/A",DataTable[[#This Row],[Successful Lo. G. S]]*2+DataTable[[#This Row],[Successful Hi. G. S.]]*10)</f>
        <v>N/A</v>
      </c>
      <c r="H7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6" s="11" t="str">
        <f>IF(DataTable[[#This Row],[Lo. B. Successful Xings.]]="","N/A",SUM(ProcessedData[[#This Row],[Lo. B. Ti.]],DataTable[[#This Row],[Lo. B. Successful Xings.]]+1))</f>
        <v>N/A</v>
      </c>
      <c r="Z7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7" spans="1:26" x14ac:dyDescent="0.2">
      <c r="A787" t="str">
        <f>IF(DataTable[[#This Row],[Tm.]]="","N/A",DataTable[[#This Row],[Tm.]])</f>
        <v>N/A</v>
      </c>
      <c r="B787" t="str">
        <f>IF(DataTable[[#This Row],[Match Nr.]]="","N/A",DataTable[[#This Row],[Match Nr.]])</f>
        <v>N/A</v>
      </c>
      <c r="C7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7" t="str">
        <f>IF(AND(DataTable[[#This Row],[Successful Lo. G. S]]="",DataTable[[#This Row],[Successful Hi. G. S.]]=""),"N/A",DataTable[[#This Row],[Successful Lo. G. S]]*2+DataTable[[#This Row],[Successful Hi. G. S.]]*10)</f>
        <v>N/A</v>
      </c>
      <c r="H7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7" s="11" t="str">
        <f>IF(DataTable[[#This Row],[Lo. B. Successful Xings.]]="","N/A",SUM(ProcessedData[[#This Row],[Lo. B. Ti.]],DataTable[[#This Row],[Lo. B. Successful Xings.]]+1))</f>
        <v>N/A</v>
      </c>
      <c r="Z7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8" spans="1:26" x14ac:dyDescent="0.2">
      <c r="A788" t="str">
        <f>IF(DataTable[[#This Row],[Tm.]]="","N/A",DataTable[[#This Row],[Tm.]])</f>
        <v>N/A</v>
      </c>
      <c r="B788" t="str">
        <f>IF(DataTable[[#This Row],[Match Nr.]]="","N/A",DataTable[[#This Row],[Match Nr.]])</f>
        <v>N/A</v>
      </c>
      <c r="C7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8" t="str">
        <f>IF(AND(DataTable[[#This Row],[Successful Lo. G. S]]="",DataTable[[#This Row],[Successful Hi. G. S.]]=""),"N/A",DataTable[[#This Row],[Successful Lo. G. S]]*2+DataTable[[#This Row],[Successful Hi. G. S.]]*10)</f>
        <v>N/A</v>
      </c>
      <c r="H7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8" s="11" t="str">
        <f>IF(DataTable[[#This Row],[Lo. B. Successful Xings.]]="","N/A",SUM(ProcessedData[[#This Row],[Lo. B. Ti.]],DataTable[[#This Row],[Lo. B. Successful Xings.]]+1))</f>
        <v>N/A</v>
      </c>
      <c r="Z7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89" spans="1:26" x14ac:dyDescent="0.2">
      <c r="A789" t="str">
        <f>IF(DataTable[[#This Row],[Tm.]]="","N/A",DataTable[[#This Row],[Tm.]])</f>
        <v>N/A</v>
      </c>
      <c r="B789" t="str">
        <f>IF(DataTable[[#This Row],[Match Nr.]]="","N/A",DataTable[[#This Row],[Match Nr.]])</f>
        <v>N/A</v>
      </c>
      <c r="C7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89" t="str">
        <f>IF(AND(DataTable[[#This Row],[Successful Lo. G. S]]="",DataTable[[#This Row],[Successful Hi. G. S.]]=""),"N/A",DataTable[[#This Row],[Successful Lo. G. S]]*2+DataTable[[#This Row],[Successful Hi. G. S.]]*10)</f>
        <v>N/A</v>
      </c>
      <c r="H7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89" s="11" t="str">
        <f>IF(DataTable[[#This Row],[Lo. B. Successful Xings.]]="","N/A",SUM(ProcessedData[[#This Row],[Lo. B. Ti.]],DataTable[[#This Row],[Lo. B. Successful Xings.]]+1))</f>
        <v>N/A</v>
      </c>
      <c r="Z7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0" spans="1:26" x14ac:dyDescent="0.2">
      <c r="A790" t="str">
        <f>IF(DataTable[[#This Row],[Tm.]]="","N/A",DataTable[[#This Row],[Tm.]])</f>
        <v>N/A</v>
      </c>
      <c r="B790" t="str">
        <f>IF(DataTable[[#This Row],[Match Nr.]]="","N/A",DataTable[[#This Row],[Match Nr.]])</f>
        <v>N/A</v>
      </c>
      <c r="C7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0" t="str">
        <f>IF(AND(DataTable[[#This Row],[Successful Lo. G. S]]="",DataTable[[#This Row],[Successful Hi. G. S.]]=""),"N/A",DataTable[[#This Row],[Successful Lo. G. S]]*2+DataTable[[#This Row],[Successful Hi. G. S.]]*10)</f>
        <v>N/A</v>
      </c>
      <c r="H7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0" s="11" t="str">
        <f>IF(DataTable[[#This Row],[Lo. B. Successful Xings.]]="","N/A",SUM(ProcessedData[[#This Row],[Lo. B. Ti.]],DataTable[[#This Row],[Lo. B. Successful Xings.]]+1))</f>
        <v>N/A</v>
      </c>
      <c r="Z7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1" spans="1:26" x14ac:dyDescent="0.2">
      <c r="A791" t="str">
        <f>IF(DataTable[[#This Row],[Tm.]]="","N/A",DataTable[[#This Row],[Tm.]])</f>
        <v>N/A</v>
      </c>
      <c r="B791" t="str">
        <f>IF(DataTable[[#This Row],[Match Nr.]]="","N/A",DataTable[[#This Row],[Match Nr.]])</f>
        <v>N/A</v>
      </c>
      <c r="C7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1" t="str">
        <f>IF(AND(DataTable[[#This Row],[Successful Lo. G. S]]="",DataTable[[#This Row],[Successful Hi. G. S.]]=""),"N/A",DataTable[[#This Row],[Successful Lo. G. S]]*2+DataTable[[#This Row],[Successful Hi. G. S.]]*10)</f>
        <v>N/A</v>
      </c>
      <c r="H7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1" s="11" t="str">
        <f>IF(DataTable[[#This Row],[Lo. B. Successful Xings.]]="","N/A",SUM(ProcessedData[[#This Row],[Lo. B. Ti.]],DataTable[[#This Row],[Lo. B. Successful Xings.]]+1))</f>
        <v>N/A</v>
      </c>
      <c r="Z7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2" spans="1:26" x14ac:dyDescent="0.2">
      <c r="A792" t="str">
        <f>IF(DataTable[[#This Row],[Tm.]]="","N/A",DataTable[[#This Row],[Tm.]])</f>
        <v>N/A</v>
      </c>
      <c r="B792" t="str">
        <f>IF(DataTable[[#This Row],[Match Nr.]]="","N/A",DataTable[[#This Row],[Match Nr.]])</f>
        <v>N/A</v>
      </c>
      <c r="C7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2" t="str">
        <f>IF(AND(DataTable[[#This Row],[Successful Lo. G. S]]="",DataTable[[#This Row],[Successful Hi. G. S.]]=""),"N/A",DataTable[[#This Row],[Successful Lo. G. S]]*2+DataTable[[#This Row],[Successful Hi. G. S.]]*10)</f>
        <v>N/A</v>
      </c>
      <c r="H7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2" s="11" t="str">
        <f>IF(DataTable[[#This Row],[Lo. B. Successful Xings.]]="","N/A",SUM(ProcessedData[[#This Row],[Lo. B. Ti.]],DataTable[[#This Row],[Lo. B. Successful Xings.]]+1))</f>
        <v>N/A</v>
      </c>
      <c r="Z7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3" spans="1:26" x14ac:dyDescent="0.2">
      <c r="A793" t="str">
        <f>IF(DataTable[[#This Row],[Tm.]]="","N/A",DataTable[[#This Row],[Tm.]])</f>
        <v>N/A</v>
      </c>
      <c r="B793" t="str">
        <f>IF(DataTable[[#This Row],[Match Nr.]]="","N/A",DataTable[[#This Row],[Match Nr.]])</f>
        <v>N/A</v>
      </c>
      <c r="C7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3" t="str">
        <f>IF(AND(DataTable[[#This Row],[Successful Lo. G. S]]="",DataTable[[#This Row],[Successful Hi. G. S.]]=""),"N/A",DataTable[[#This Row],[Successful Lo. G. S]]*2+DataTable[[#This Row],[Successful Hi. G. S.]]*10)</f>
        <v>N/A</v>
      </c>
      <c r="H7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3" s="11" t="str">
        <f>IF(DataTable[[#This Row],[Lo. B. Successful Xings.]]="","N/A",SUM(ProcessedData[[#This Row],[Lo. B. Ti.]],DataTable[[#This Row],[Lo. B. Successful Xings.]]+1))</f>
        <v>N/A</v>
      </c>
      <c r="Z7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4" spans="1:26" x14ac:dyDescent="0.2">
      <c r="A794" t="str">
        <f>IF(DataTable[[#This Row],[Tm.]]="","N/A",DataTable[[#This Row],[Tm.]])</f>
        <v>N/A</v>
      </c>
      <c r="B794" t="str">
        <f>IF(DataTable[[#This Row],[Match Nr.]]="","N/A",DataTable[[#This Row],[Match Nr.]])</f>
        <v>N/A</v>
      </c>
      <c r="C7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4" t="str">
        <f>IF(AND(DataTable[[#This Row],[Successful Lo. G. S]]="",DataTable[[#This Row],[Successful Hi. G. S.]]=""),"N/A",DataTable[[#This Row],[Successful Lo. G. S]]*2+DataTable[[#This Row],[Successful Hi. G. S.]]*10)</f>
        <v>N/A</v>
      </c>
      <c r="H7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4" s="11" t="str">
        <f>IF(DataTable[[#This Row],[Lo. B. Successful Xings.]]="","N/A",SUM(ProcessedData[[#This Row],[Lo. B. Ti.]],DataTable[[#This Row],[Lo. B. Successful Xings.]]+1))</f>
        <v>N/A</v>
      </c>
      <c r="Z7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5" spans="1:26" x14ac:dyDescent="0.2">
      <c r="A795" t="str">
        <f>IF(DataTable[[#This Row],[Tm.]]="","N/A",DataTable[[#This Row],[Tm.]])</f>
        <v>N/A</v>
      </c>
      <c r="B795" t="str">
        <f>IF(DataTable[[#This Row],[Match Nr.]]="","N/A",DataTable[[#This Row],[Match Nr.]])</f>
        <v>N/A</v>
      </c>
      <c r="C7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5" t="str">
        <f>IF(AND(DataTable[[#This Row],[Successful Lo. G. S]]="",DataTable[[#This Row],[Successful Hi. G. S.]]=""),"N/A",DataTable[[#This Row],[Successful Lo. G. S]]*2+DataTable[[#This Row],[Successful Hi. G. S.]]*10)</f>
        <v>N/A</v>
      </c>
      <c r="H7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5" s="11" t="str">
        <f>IF(DataTable[[#This Row],[Lo. B. Successful Xings.]]="","N/A",SUM(ProcessedData[[#This Row],[Lo. B. Ti.]],DataTable[[#This Row],[Lo. B. Successful Xings.]]+1))</f>
        <v>N/A</v>
      </c>
      <c r="Z7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6" spans="1:26" x14ac:dyDescent="0.2">
      <c r="A796" t="str">
        <f>IF(DataTable[[#This Row],[Tm.]]="","N/A",DataTable[[#This Row],[Tm.]])</f>
        <v>N/A</v>
      </c>
      <c r="B796" t="str">
        <f>IF(DataTable[[#This Row],[Match Nr.]]="","N/A",DataTable[[#This Row],[Match Nr.]])</f>
        <v>N/A</v>
      </c>
      <c r="C7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6" t="str">
        <f>IF(AND(DataTable[[#This Row],[Successful Lo. G. S]]="",DataTable[[#This Row],[Successful Hi. G. S.]]=""),"N/A",DataTable[[#This Row],[Successful Lo. G. S]]*2+DataTable[[#This Row],[Successful Hi. G. S.]]*10)</f>
        <v>N/A</v>
      </c>
      <c r="H7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6" s="11" t="str">
        <f>IF(DataTable[[#This Row],[Lo. B. Successful Xings.]]="","N/A",SUM(ProcessedData[[#This Row],[Lo. B. Ti.]],DataTable[[#This Row],[Lo. B. Successful Xings.]]+1))</f>
        <v>N/A</v>
      </c>
      <c r="Z7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7" spans="1:26" x14ac:dyDescent="0.2">
      <c r="A797" t="str">
        <f>IF(DataTable[[#This Row],[Tm.]]="","N/A",DataTable[[#This Row],[Tm.]])</f>
        <v>N/A</v>
      </c>
      <c r="B797" t="str">
        <f>IF(DataTable[[#This Row],[Match Nr.]]="","N/A",DataTable[[#This Row],[Match Nr.]])</f>
        <v>N/A</v>
      </c>
      <c r="C7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7" t="str">
        <f>IF(AND(DataTable[[#This Row],[Successful Lo. G. S]]="",DataTable[[#This Row],[Successful Hi. G. S.]]=""),"N/A",DataTable[[#This Row],[Successful Lo. G. S]]*2+DataTable[[#This Row],[Successful Hi. G. S.]]*10)</f>
        <v>N/A</v>
      </c>
      <c r="H7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7" s="11" t="str">
        <f>IF(DataTable[[#This Row],[Lo. B. Successful Xings.]]="","N/A",SUM(ProcessedData[[#This Row],[Lo. B. Ti.]],DataTable[[#This Row],[Lo. B. Successful Xings.]]+1))</f>
        <v>N/A</v>
      </c>
      <c r="Z7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8" spans="1:26" x14ac:dyDescent="0.2">
      <c r="A798" t="str">
        <f>IF(DataTable[[#This Row],[Tm.]]="","N/A",DataTable[[#This Row],[Tm.]])</f>
        <v>N/A</v>
      </c>
      <c r="B798" t="str">
        <f>IF(DataTable[[#This Row],[Match Nr.]]="","N/A",DataTable[[#This Row],[Match Nr.]])</f>
        <v>N/A</v>
      </c>
      <c r="C7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8" t="str">
        <f>IF(AND(DataTable[[#This Row],[Successful Lo. G. S]]="",DataTable[[#This Row],[Successful Hi. G. S.]]=""),"N/A",DataTable[[#This Row],[Successful Lo. G. S]]*2+DataTable[[#This Row],[Successful Hi. G. S.]]*10)</f>
        <v>N/A</v>
      </c>
      <c r="H7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8" s="11" t="str">
        <f>IF(DataTable[[#This Row],[Lo. B. Successful Xings.]]="","N/A",SUM(ProcessedData[[#This Row],[Lo. B. Ti.]],DataTable[[#This Row],[Lo. B. Successful Xings.]]+1))</f>
        <v>N/A</v>
      </c>
      <c r="Z7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799" spans="1:26" x14ac:dyDescent="0.2">
      <c r="A799" t="str">
        <f>IF(DataTable[[#This Row],[Tm.]]="","N/A",DataTable[[#This Row],[Tm.]])</f>
        <v>N/A</v>
      </c>
      <c r="B799" t="str">
        <f>IF(DataTable[[#This Row],[Match Nr.]]="","N/A",DataTable[[#This Row],[Match Nr.]])</f>
        <v>N/A</v>
      </c>
      <c r="C7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7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7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7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799" t="str">
        <f>IF(AND(DataTable[[#This Row],[Successful Lo. G. S]]="",DataTable[[#This Row],[Successful Hi. G. S.]]=""),"N/A",DataTable[[#This Row],[Successful Lo. G. S]]*2+DataTable[[#This Row],[Successful Hi. G. S.]]*10)</f>
        <v>N/A</v>
      </c>
      <c r="H7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7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7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7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7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7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7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7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7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7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7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7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7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7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7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7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799" s="11" t="str">
        <f>IF(DataTable[[#This Row],[Lo. B. Successful Xings.]]="","N/A",SUM(ProcessedData[[#This Row],[Lo. B. Ti.]],DataTable[[#This Row],[Lo. B. Successful Xings.]]+1))</f>
        <v>N/A</v>
      </c>
      <c r="Z7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0" spans="1:26" x14ac:dyDescent="0.2">
      <c r="A800" t="str">
        <f>IF(DataTable[[#This Row],[Tm.]]="","N/A",DataTable[[#This Row],[Tm.]])</f>
        <v>N/A</v>
      </c>
      <c r="B800" t="str">
        <f>IF(DataTable[[#This Row],[Match Nr.]]="","N/A",DataTable[[#This Row],[Match Nr.]])</f>
        <v>N/A</v>
      </c>
      <c r="C8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0" t="str">
        <f>IF(AND(DataTable[[#This Row],[Successful Lo. G. S]]="",DataTable[[#This Row],[Successful Hi. G. S.]]=""),"N/A",DataTable[[#This Row],[Successful Lo. G. S]]*2+DataTable[[#This Row],[Successful Hi. G. S.]]*10)</f>
        <v>N/A</v>
      </c>
      <c r="H8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0" s="11" t="str">
        <f>IF(DataTable[[#This Row],[Lo. B. Successful Xings.]]="","N/A",SUM(ProcessedData[[#This Row],[Lo. B. Ti.]],DataTable[[#This Row],[Lo. B. Successful Xings.]]+1))</f>
        <v>N/A</v>
      </c>
      <c r="Z8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1" spans="1:26" x14ac:dyDescent="0.2">
      <c r="A801" t="str">
        <f>IF(DataTable[[#This Row],[Tm.]]="","N/A",DataTable[[#This Row],[Tm.]])</f>
        <v>N/A</v>
      </c>
      <c r="B801" t="str">
        <f>IF(DataTable[[#This Row],[Match Nr.]]="","N/A",DataTable[[#This Row],[Match Nr.]])</f>
        <v>N/A</v>
      </c>
      <c r="C8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1" t="str">
        <f>IF(AND(DataTable[[#This Row],[Successful Lo. G. S]]="",DataTable[[#This Row],[Successful Hi. G. S.]]=""),"N/A",DataTable[[#This Row],[Successful Lo. G. S]]*2+DataTable[[#This Row],[Successful Hi. G. S.]]*10)</f>
        <v>N/A</v>
      </c>
      <c r="H8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1" s="11" t="str">
        <f>IF(DataTable[[#This Row],[Lo. B. Successful Xings.]]="","N/A",SUM(ProcessedData[[#This Row],[Lo. B. Ti.]],DataTable[[#This Row],[Lo. B. Successful Xings.]]+1))</f>
        <v>N/A</v>
      </c>
      <c r="Z8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2" spans="1:26" x14ac:dyDescent="0.2">
      <c r="A802" t="str">
        <f>IF(DataTable[[#This Row],[Tm.]]="","N/A",DataTable[[#This Row],[Tm.]])</f>
        <v>N/A</v>
      </c>
      <c r="B802" t="str">
        <f>IF(DataTable[[#This Row],[Match Nr.]]="","N/A",DataTable[[#This Row],[Match Nr.]])</f>
        <v>N/A</v>
      </c>
      <c r="C8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2" t="str">
        <f>IF(AND(DataTable[[#This Row],[Successful Lo. G. S]]="",DataTable[[#This Row],[Successful Hi. G. S.]]=""),"N/A",DataTable[[#This Row],[Successful Lo. G. S]]*2+DataTable[[#This Row],[Successful Hi. G. S.]]*10)</f>
        <v>N/A</v>
      </c>
      <c r="H8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2" s="11" t="str">
        <f>IF(DataTable[[#This Row],[Lo. B. Successful Xings.]]="","N/A",SUM(ProcessedData[[#This Row],[Lo. B. Ti.]],DataTable[[#This Row],[Lo. B. Successful Xings.]]+1))</f>
        <v>N/A</v>
      </c>
      <c r="Z8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3" spans="1:26" x14ac:dyDescent="0.2">
      <c r="A803" t="str">
        <f>IF(DataTable[[#This Row],[Tm.]]="","N/A",DataTable[[#This Row],[Tm.]])</f>
        <v>N/A</v>
      </c>
      <c r="B803" t="str">
        <f>IF(DataTable[[#This Row],[Match Nr.]]="","N/A",DataTable[[#This Row],[Match Nr.]])</f>
        <v>N/A</v>
      </c>
      <c r="C8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3" t="str">
        <f>IF(AND(DataTable[[#This Row],[Successful Lo. G. S]]="",DataTable[[#This Row],[Successful Hi. G. S.]]=""),"N/A",DataTable[[#This Row],[Successful Lo. G. S]]*2+DataTable[[#This Row],[Successful Hi. G. S.]]*10)</f>
        <v>N/A</v>
      </c>
      <c r="H8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3" s="11" t="str">
        <f>IF(DataTable[[#This Row],[Lo. B. Successful Xings.]]="","N/A",SUM(ProcessedData[[#This Row],[Lo. B. Ti.]],DataTable[[#This Row],[Lo. B. Successful Xings.]]+1))</f>
        <v>N/A</v>
      </c>
      <c r="Z8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4" spans="1:26" x14ac:dyDescent="0.2">
      <c r="A804" t="str">
        <f>IF(DataTable[[#This Row],[Tm.]]="","N/A",DataTable[[#This Row],[Tm.]])</f>
        <v>N/A</v>
      </c>
      <c r="B804" t="str">
        <f>IF(DataTable[[#This Row],[Match Nr.]]="","N/A",DataTable[[#This Row],[Match Nr.]])</f>
        <v>N/A</v>
      </c>
      <c r="C8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4" t="str">
        <f>IF(AND(DataTable[[#This Row],[Successful Lo. G. S]]="",DataTable[[#This Row],[Successful Hi. G. S.]]=""),"N/A",DataTable[[#This Row],[Successful Lo. G. S]]*2+DataTable[[#This Row],[Successful Hi. G. S.]]*10)</f>
        <v>N/A</v>
      </c>
      <c r="H8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4" s="11" t="str">
        <f>IF(DataTable[[#This Row],[Lo. B. Successful Xings.]]="","N/A",SUM(ProcessedData[[#This Row],[Lo. B. Ti.]],DataTable[[#This Row],[Lo. B. Successful Xings.]]+1))</f>
        <v>N/A</v>
      </c>
      <c r="Z8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5" spans="1:26" x14ac:dyDescent="0.2">
      <c r="A805" t="str">
        <f>IF(DataTable[[#This Row],[Tm.]]="","N/A",DataTable[[#This Row],[Tm.]])</f>
        <v>N/A</v>
      </c>
      <c r="B805" t="str">
        <f>IF(DataTable[[#This Row],[Match Nr.]]="","N/A",DataTable[[#This Row],[Match Nr.]])</f>
        <v>N/A</v>
      </c>
      <c r="C8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5" t="str">
        <f>IF(AND(DataTable[[#This Row],[Successful Lo. G. S]]="",DataTable[[#This Row],[Successful Hi. G. S.]]=""),"N/A",DataTable[[#This Row],[Successful Lo. G. S]]*2+DataTable[[#This Row],[Successful Hi. G. S.]]*10)</f>
        <v>N/A</v>
      </c>
      <c r="H8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5" s="11" t="str">
        <f>IF(DataTable[[#This Row],[Lo. B. Successful Xings.]]="","N/A",SUM(ProcessedData[[#This Row],[Lo. B. Ti.]],DataTable[[#This Row],[Lo. B. Successful Xings.]]+1))</f>
        <v>N/A</v>
      </c>
      <c r="Z8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6" spans="1:26" x14ac:dyDescent="0.2">
      <c r="A806" t="str">
        <f>IF(DataTable[[#This Row],[Tm.]]="","N/A",DataTable[[#This Row],[Tm.]])</f>
        <v>N/A</v>
      </c>
      <c r="B806" t="str">
        <f>IF(DataTable[[#This Row],[Match Nr.]]="","N/A",DataTable[[#This Row],[Match Nr.]])</f>
        <v>N/A</v>
      </c>
      <c r="C8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6" t="str">
        <f>IF(AND(DataTable[[#This Row],[Successful Lo. G. S]]="",DataTable[[#This Row],[Successful Hi. G. S.]]=""),"N/A",DataTable[[#This Row],[Successful Lo. G. S]]*2+DataTable[[#This Row],[Successful Hi. G. S.]]*10)</f>
        <v>N/A</v>
      </c>
      <c r="H8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6" s="11" t="str">
        <f>IF(DataTable[[#This Row],[Lo. B. Successful Xings.]]="","N/A",SUM(ProcessedData[[#This Row],[Lo. B. Ti.]],DataTable[[#This Row],[Lo. B. Successful Xings.]]+1))</f>
        <v>N/A</v>
      </c>
      <c r="Z8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7" spans="1:26" x14ac:dyDescent="0.2">
      <c r="A807" t="str">
        <f>IF(DataTable[[#This Row],[Tm.]]="","N/A",DataTable[[#This Row],[Tm.]])</f>
        <v>N/A</v>
      </c>
      <c r="B807" t="str">
        <f>IF(DataTable[[#This Row],[Match Nr.]]="","N/A",DataTable[[#This Row],[Match Nr.]])</f>
        <v>N/A</v>
      </c>
      <c r="C8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7" t="str">
        <f>IF(AND(DataTable[[#This Row],[Successful Lo. G. S]]="",DataTable[[#This Row],[Successful Hi. G. S.]]=""),"N/A",DataTable[[#This Row],[Successful Lo. G. S]]*2+DataTable[[#This Row],[Successful Hi. G. S.]]*10)</f>
        <v>N/A</v>
      </c>
      <c r="H8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7" s="11" t="str">
        <f>IF(DataTable[[#This Row],[Lo. B. Successful Xings.]]="","N/A",SUM(ProcessedData[[#This Row],[Lo. B. Ti.]],DataTable[[#This Row],[Lo. B. Successful Xings.]]+1))</f>
        <v>N/A</v>
      </c>
      <c r="Z8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8" spans="1:26" x14ac:dyDescent="0.2">
      <c r="A808" t="str">
        <f>IF(DataTable[[#This Row],[Tm.]]="","N/A",DataTable[[#This Row],[Tm.]])</f>
        <v>N/A</v>
      </c>
      <c r="B808" t="str">
        <f>IF(DataTable[[#This Row],[Match Nr.]]="","N/A",DataTable[[#This Row],[Match Nr.]])</f>
        <v>N/A</v>
      </c>
      <c r="C8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8" t="str">
        <f>IF(AND(DataTable[[#This Row],[Successful Lo. G. S]]="",DataTable[[#This Row],[Successful Hi. G. S.]]=""),"N/A",DataTable[[#This Row],[Successful Lo. G. S]]*2+DataTable[[#This Row],[Successful Hi. G. S.]]*10)</f>
        <v>N/A</v>
      </c>
      <c r="H8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8" s="11" t="str">
        <f>IF(DataTable[[#This Row],[Lo. B. Successful Xings.]]="","N/A",SUM(ProcessedData[[#This Row],[Lo. B. Ti.]],DataTable[[#This Row],[Lo. B. Successful Xings.]]+1))</f>
        <v>N/A</v>
      </c>
      <c r="Z8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09" spans="1:26" x14ac:dyDescent="0.2">
      <c r="A809" t="str">
        <f>IF(DataTable[[#This Row],[Tm.]]="","N/A",DataTable[[#This Row],[Tm.]])</f>
        <v>N/A</v>
      </c>
      <c r="B809" t="str">
        <f>IF(DataTable[[#This Row],[Match Nr.]]="","N/A",DataTable[[#This Row],[Match Nr.]])</f>
        <v>N/A</v>
      </c>
      <c r="C8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09" t="str">
        <f>IF(AND(DataTable[[#This Row],[Successful Lo. G. S]]="",DataTable[[#This Row],[Successful Hi. G. S.]]=""),"N/A",DataTable[[#This Row],[Successful Lo. G. S]]*2+DataTable[[#This Row],[Successful Hi. G. S.]]*10)</f>
        <v>N/A</v>
      </c>
      <c r="H8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09" s="11" t="str">
        <f>IF(DataTable[[#This Row],[Lo. B. Successful Xings.]]="","N/A",SUM(ProcessedData[[#This Row],[Lo. B. Ti.]],DataTable[[#This Row],[Lo. B. Successful Xings.]]+1))</f>
        <v>N/A</v>
      </c>
      <c r="Z8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0" spans="1:26" x14ac:dyDescent="0.2">
      <c r="A810" t="str">
        <f>IF(DataTable[[#This Row],[Tm.]]="","N/A",DataTable[[#This Row],[Tm.]])</f>
        <v>N/A</v>
      </c>
      <c r="B810" t="str">
        <f>IF(DataTable[[#This Row],[Match Nr.]]="","N/A",DataTable[[#This Row],[Match Nr.]])</f>
        <v>N/A</v>
      </c>
      <c r="C8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0" t="str">
        <f>IF(AND(DataTable[[#This Row],[Successful Lo. G. S]]="",DataTable[[#This Row],[Successful Hi. G. S.]]=""),"N/A",DataTable[[#This Row],[Successful Lo. G. S]]*2+DataTable[[#This Row],[Successful Hi. G. S.]]*10)</f>
        <v>N/A</v>
      </c>
      <c r="H8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0" s="11" t="str">
        <f>IF(DataTable[[#This Row],[Lo. B. Successful Xings.]]="","N/A",SUM(ProcessedData[[#This Row],[Lo. B. Ti.]],DataTable[[#This Row],[Lo. B. Successful Xings.]]+1))</f>
        <v>N/A</v>
      </c>
      <c r="Z8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1" spans="1:26" x14ac:dyDescent="0.2">
      <c r="A811" t="str">
        <f>IF(DataTable[[#This Row],[Tm.]]="","N/A",DataTable[[#This Row],[Tm.]])</f>
        <v>N/A</v>
      </c>
      <c r="B811" t="str">
        <f>IF(DataTable[[#This Row],[Match Nr.]]="","N/A",DataTable[[#This Row],[Match Nr.]])</f>
        <v>N/A</v>
      </c>
      <c r="C8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1" t="str">
        <f>IF(AND(DataTable[[#This Row],[Successful Lo. G. S]]="",DataTable[[#This Row],[Successful Hi. G. S.]]=""),"N/A",DataTable[[#This Row],[Successful Lo. G. S]]*2+DataTable[[#This Row],[Successful Hi. G. S.]]*10)</f>
        <v>N/A</v>
      </c>
      <c r="H8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1" s="11" t="str">
        <f>IF(DataTable[[#This Row],[Lo. B. Successful Xings.]]="","N/A",SUM(ProcessedData[[#This Row],[Lo. B. Ti.]],DataTable[[#This Row],[Lo. B. Successful Xings.]]+1))</f>
        <v>N/A</v>
      </c>
      <c r="Z8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2" spans="1:26" x14ac:dyDescent="0.2">
      <c r="A812" t="str">
        <f>IF(DataTable[[#This Row],[Tm.]]="","N/A",DataTable[[#This Row],[Tm.]])</f>
        <v>N/A</v>
      </c>
      <c r="B812" t="str">
        <f>IF(DataTable[[#This Row],[Match Nr.]]="","N/A",DataTable[[#This Row],[Match Nr.]])</f>
        <v>N/A</v>
      </c>
      <c r="C8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2" t="str">
        <f>IF(AND(DataTable[[#This Row],[Successful Lo. G. S]]="",DataTable[[#This Row],[Successful Hi. G. S.]]=""),"N/A",DataTable[[#This Row],[Successful Lo. G. S]]*2+DataTable[[#This Row],[Successful Hi. G. S.]]*10)</f>
        <v>N/A</v>
      </c>
      <c r="H8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2" s="11" t="str">
        <f>IF(DataTable[[#This Row],[Lo. B. Successful Xings.]]="","N/A",SUM(ProcessedData[[#This Row],[Lo. B. Ti.]],DataTable[[#This Row],[Lo. B. Successful Xings.]]+1))</f>
        <v>N/A</v>
      </c>
      <c r="Z8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3" spans="1:26" x14ac:dyDescent="0.2">
      <c r="A813" t="str">
        <f>IF(DataTable[[#This Row],[Tm.]]="","N/A",DataTable[[#This Row],[Tm.]])</f>
        <v>N/A</v>
      </c>
      <c r="B813" t="str">
        <f>IF(DataTable[[#This Row],[Match Nr.]]="","N/A",DataTable[[#This Row],[Match Nr.]])</f>
        <v>N/A</v>
      </c>
      <c r="C8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3" t="str">
        <f>IF(AND(DataTable[[#This Row],[Successful Lo. G. S]]="",DataTable[[#This Row],[Successful Hi. G. S.]]=""),"N/A",DataTable[[#This Row],[Successful Lo. G. S]]*2+DataTable[[#This Row],[Successful Hi. G. S.]]*10)</f>
        <v>N/A</v>
      </c>
      <c r="H8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3" s="11" t="str">
        <f>IF(DataTable[[#This Row],[Lo. B. Successful Xings.]]="","N/A",SUM(ProcessedData[[#This Row],[Lo. B. Ti.]],DataTable[[#This Row],[Lo. B. Successful Xings.]]+1))</f>
        <v>N/A</v>
      </c>
      <c r="Z8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4" spans="1:26" x14ac:dyDescent="0.2">
      <c r="A814" t="str">
        <f>IF(DataTable[[#This Row],[Tm.]]="","N/A",DataTable[[#This Row],[Tm.]])</f>
        <v>N/A</v>
      </c>
      <c r="B814" t="str">
        <f>IF(DataTable[[#This Row],[Match Nr.]]="","N/A",DataTable[[#This Row],[Match Nr.]])</f>
        <v>N/A</v>
      </c>
      <c r="C8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4" t="str">
        <f>IF(AND(DataTable[[#This Row],[Successful Lo. G. S]]="",DataTable[[#This Row],[Successful Hi. G. S.]]=""),"N/A",DataTable[[#This Row],[Successful Lo. G. S]]*2+DataTable[[#This Row],[Successful Hi. G. S.]]*10)</f>
        <v>N/A</v>
      </c>
      <c r="H8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4" s="11" t="str">
        <f>IF(DataTable[[#This Row],[Lo. B. Successful Xings.]]="","N/A",SUM(ProcessedData[[#This Row],[Lo. B. Ti.]],DataTable[[#This Row],[Lo. B. Successful Xings.]]+1))</f>
        <v>N/A</v>
      </c>
      <c r="Z8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5" spans="1:26" x14ac:dyDescent="0.2">
      <c r="A815" t="str">
        <f>IF(DataTable[[#This Row],[Tm.]]="","N/A",DataTable[[#This Row],[Tm.]])</f>
        <v>N/A</v>
      </c>
      <c r="B815" t="str">
        <f>IF(DataTable[[#This Row],[Match Nr.]]="","N/A",DataTable[[#This Row],[Match Nr.]])</f>
        <v>N/A</v>
      </c>
      <c r="C8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5" t="str">
        <f>IF(AND(DataTable[[#This Row],[Successful Lo. G. S]]="",DataTable[[#This Row],[Successful Hi. G. S.]]=""),"N/A",DataTable[[#This Row],[Successful Lo. G. S]]*2+DataTable[[#This Row],[Successful Hi. G. S.]]*10)</f>
        <v>N/A</v>
      </c>
      <c r="H8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5" s="11" t="str">
        <f>IF(DataTable[[#This Row],[Lo. B. Successful Xings.]]="","N/A",SUM(ProcessedData[[#This Row],[Lo. B. Ti.]],DataTable[[#This Row],[Lo. B. Successful Xings.]]+1))</f>
        <v>N/A</v>
      </c>
      <c r="Z8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6" spans="1:26" x14ac:dyDescent="0.2">
      <c r="A816" t="str">
        <f>IF(DataTable[[#This Row],[Tm.]]="","N/A",DataTable[[#This Row],[Tm.]])</f>
        <v>N/A</v>
      </c>
      <c r="B816" t="str">
        <f>IF(DataTable[[#This Row],[Match Nr.]]="","N/A",DataTable[[#This Row],[Match Nr.]])</f>
        <v>N/A</v>
      </c>
      <c r="C8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6" t="str">
        <f>IF(AND(DataTable[[#This Row],[Successful Lo. G. S]]="",DataTable[[#This Row],[Successful Hi. G. S.]]=""),"N/A",DataTable[[#This Row],[Successful Lo. G. S]]*2+DataTable[[#This Row],[Successful Hi. G. S.]]*10)</f>
        <v>N/A</v>
      </c>
      <c r="H8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6" s="11" t="str">
        <f>IF(DataTable[[#This Row],[Lo. B. Successful Xings.]]="","N/A",SUM(ProcessedData[[#This Row],[Lo. B. Ti.]],DataTable[[#This Row],[Lo. B. Successful Xings.]]+1))</f>
        <v>N/A</v>
      </c>
      <c r="Z8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7" spans="1:26" x14ac:dyDescent="0.2">
      <c r="A817" t="str">
        <f>IF(DataTable[[#This Row],[Tm.]]="","N/A",DataTable[[#This Row],[Tm.]])</f>
        <v>N/A</v>
      </c>
      <c r="B817" t="str">
        <f>IF(DataTable[[#This Row],[Match Nr.]]="","N/A",DataTable[[#This Row],[Match Nr.]])</f>
        <v>N/A</v>
      </c>
      <c r="C8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7" t="str">
        <f>IF(AND(DataTable[[#This Row],[Successful Lo. G. S]]="",DataTable[[#This Row],[Successful Hi. G. S.]]=""),"N/A",DataTable[[#This Row],[Successful Lo. G. S]]*2+DataTable[[#This Row],[Successful Hi. G. S.]]*10)</f>
        <v>N/A</v>
      </c>
      <c r="H8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7" s="11" t="str">
        <f>IF(DataTable[[#This Row],[Lo. B. Successful Xings.]]="","N/A",SUM(ProcessedData[[#This Row],[Lo. B. Ti.]],DataTable[[#This Row],[Lo. B. Successful Xings.]]+1))</f>
        <v>N/A</v>
      </c>
      <c r="Z8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8" spans="1:26" x14ac:dyDescent="0.2">
      <c r="A818" t="str">
        <f>IF(DataTable[[#This Row],[Tm.]]="","N/A",DataTable[[#This Row],[Tm.]])</f>
        <v>N/A</v>
      </c>
      <c r="B818" t="str">
        <f>IF(DataTable[[#This Row],[Match Nr.]]="","N/A",DataTable[[#This Row],[Match Nr.]])</f>
        <v>N/A</v>
      </c>
      <c r="C8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8" t="str">
        <f>IF(AND(DataTable[[#This Row],[Successful Lo. G. S]]="",DataTable[[#This Row],[Successful Hi. G. S.]]=""),"N/A",DataTable[[#This Row],[Successful Lo. G. S]]*2+DataTable[[#This Row],[Successful Hi. G. S.]]*10)</f>
        <v>N/A</v>
      </c>
      <c r="H8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8" s="11" t="str">
        <f>IF(DataTable[[#This Row],[Lo. B. Successful Xings.]]="","N/A",SUM(ProcessedData[[#This Row],[Lo. B. Ti.]],DataTable[[#This Row],[Lo. B. Successful Xings.]]+1))</f>
        <v>N/A</v>
      </c>
      <c r="Z8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19" spans="1:26" x14ac:dyDescent="0.2">
      <c r="A819" t="str">
        <f>IF(DataTable[[#This Row],[Tm.]]="","N/A",DataTable[[#This Row],[Tm.]])</f>
        <v>N/A</v>
      </c>
      <c r="B819" t="str">
        <f>IF(DataTable[[#This Row],[Match Nr.]]="","N/A",DataTable[[#This Row],[Match Nr.]])</f>
        <v>N/A</v>
      </c>
      <c r="C8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19" t="str">
        <f>IF(AND(DataTable[[#This Row],[Successful Lo. G. S]]="",DataTable[[#This Row],[Successful Hi. G. S.]]=""),"N/A",DataTable[[#This Row],[Successful Lo. G. S]]*2+DataTable[[#This Row],[Successful Hi. G. S.]]*10)</f>
        <v>N/A</v>
      </c>
      <c r="H8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19" s="11" t="str">
        <f>IF(DataTable[[#This Row],[Lo. B. Successful Xings.]]="","N/A",SUM(ProcessedData[[#This Row],[Lo. B. Ti.]],DataTable[[#This Row],[Lo. B. Successful Xings.]]+1))</f>
        <v>N/A</v>
      </c>
      <c r="Z8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0" spans="1:26" x14ac:dyDescent="0.2">
      <c r="A820" t="str">
        <f>IF(DataTable[[#This Row],[Tm.]]="","N/A",DataTable[[#This Row],[Tm.]])</f>
        <v>N/A</v>
      </c>
      <c r="B820" t="str">
        <f>IF(DataTable[[#This Row],[Match Nr.]]="","N/A",DataTable[[#This Row],[Match Nr.]])</f>
        <v>N/A</v>
      </c>
      <c r="C8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0" t="str">
        <f>IF(AND(DataTable[[#This Row],[Successful Lo. G. S]]="",DataTable[[#This Row],[Successful Hi. G. S.]]=""),"N/A",DataTable[[#This Row],[Successful Lo. G. S]]*2+DataTable[[#This Row],[Successful Hi. G. S.]]*10)</f>
        <v>N/A</v>
      </c>
      <c r="H8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0" s="11" t="str">
        <f>IF(DataTable[[#This Row],[Lo. B. Successful Xings.]]="","N/A",SUM(ProcessedData[[#This Row],[Lo. B. Ti.]],DataTable[[#This Row],[Lo. B. Successful Xings.]]+1))</f>
        <v>N/A</v>
      </c>
      <c r="Z8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1" spans="1:26" x14ac:dyDescent="0.2">
      <c r="A821" t="str">
        <f>IF(DataTable[[#This Row],[Tm.]]="","N/A",DataTable[[#This Row],[Tm.]])</f>
        <v>N/A</v>
      </c>
      <c r="B821" t="str">
        <f>IF(DataTable[[#This Row],[Match Nr.]]="","N/A",DataTable[[#This Row],[Match Nr.]])</f>
        <v>N/A</v>
      </c>
      <c r="C8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1" t="str">
        <f>IF(AND(DataTable[[#This Row],[Successful Lo. G. S]]="",DataTable[[#This Row],[Successful Hi. G. S.]]=""),"N/A",DataTable[[#This Row],[Successful Lo. G. S]]*2+DataTable[[#This Row],[Successful Hi. G. S.]]*10)</f>
        <v>N/A</v>
      </c>
      <c r="H8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1" s="11" t="str">
        <f>IF(DataTable[[#This Row],[Lo. B. Successful Xings.]]="","N/A",SUM(ProcessedData[[#This Row],[Lo. B. Ti.]],DataTable[[#This Row],[Lo. B. Successful Xings.]]+1))</f>
        <v>N/A</v>
      </c>
      <c r="Z8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2" spans="1:26" x14ac:dyDescent="0.2">
      <c r="A822" t="str">
        <f>IF(DataTable[[#This Row],[Tm.]]="","N/A",DataTable[[#This Row],[Tm.]])</f>
        <v>N/A</v>
      </c>
      <c r="B822" t="str">
        <f>IF(DataTable[[#This Row],[Match Nr.]]="","N/A",DataTable[[#This Row],[Match Nr.]])</f>
        <v>N/A</v>
      </c>
      <c r="C8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2" t="str">
        <f>IF(AND(DataTable[[#This Row],[Successful Lo. G. S]]="",DataTable[[#This Row],[Successful Hi. G. S.]]=""),"N/A",DataTable[[#This Row],[Successful Lo. G. S]]*2+DataTable[[#This Row],[Successful Hi. G. S.]]*10)</f>
        <v>N/A</v>
      </c>
      <c r="H8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2" s="11" t="str">
        <f>IF(DataTable[[#This Row],[Lo. B. Successful Xings.]]="","N/A",SUM(ProcessedData[[#This Row],[Lo. B. Ti.]],DataTable[[#This Row],[Lo. B. Successful Xings.]]+1))</f>
        <v>N/A</v>
      </c>
      <c r="Z8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3" spans="1:26" x14ac:dyDescent="0.2">
      <c r="A823" t="str">
        <f>IF(DataTable[[#This Row],[Tm.]]="","N/A",DataTable[[#This Row],[Tm.]])</f>
        <v>N/A</v>
      </c>
      <c r="B823" t="str">
        <f>IF(DataTable[[#This Row],[Match Nr.]]="","N/A",DataTable[[#This Row],[Match Nr.]])</f>
        <v>N/A</v>
      </c>
      <c r="C8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3" t="str">
        <f>IF(AND(DataTable[[#This Row],[Successful Lo. G. S]]="",DataTable[[#This Row],[Successful Hi. G. S.]]=""),"N/A",DataTable[[#This Row],[Successful Lo. G. S]]*2+DataTable[[#This Row],[Successful Hi. G. S.]]*10)</f>
        <v>N/A</v>
      </c>
      <c r="H8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3" s="11" t="str">
        <f>IF(DataTable[[#This Row],[Lo. B. Successful Xings.]]="","N/A",SUM(ProcessedData[[#This Row],[Lo. B. Ti.]],DataTable[[#This Row],[Lo. B. Successful Xings.]]+1))</f>
        <v>N/A</v>
      </c>
      <c r="Z8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4" spans="1:26" x14ac:dyDescent="0.2">
      <c r="A824" t="str">
        <f>IF(DataTable[[#This Row],[Tm.]]="","N/A",DataTable[[#This Row],[Tm.]])</f>
        <v>N/A</v>
      </c>
      <c r="B824" t="str">
        <f>IF(DataTable[[#This Row],[Match Nr.]]="","N/A",DataTable[[#This Row],[Match Nr.]])</f>
        <v>N/A</v>
      </c>
      <c r="C8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4" t="str">
        <f>IF(AND(DataTable[[#This Row],[Successful Lo. G. S]]="",DataTable[[#This Row],[Successful Hi. G. S.]]=""),"N/A",DataTable[[#This Row],[Successful Lo. G. S]]*2+DataTable[[#This Row],[Successful Hi. G. S.]]*10)</f>
        <v>N/A</v>
      </c>
      <c r="H8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4" s="11" t="str">
        <f>IF(DataTable[[#This Row],[Lo. B. Successful Xings.]]="","N/A",SUM(ProcessedData[[#This Row],[Lo. B. Ti.]],DataTable[[#This Row],[Lo. B. Successful Xings.]]+1))</f>
        <v>N/A</v>
      </c>
      <c r="Z8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5" spans="1:26" x14ac:dyDescent="0.2">
      <c r="A825" t="str">
        <f>IF(DataTable[[#This Row],[Tm.]]="","N/A",DataTable[[#This Row],[Tm.]])</f>
        <v>N/A</v>
      </c>
      <c r="B825" t="str">
        <f>IF(DataTable[[#This Row],[Match Nr.]]="","N/A",DataTable[[#This Row],[Match Nr.]])</f>
        <v>N/A</v>
      </c>
      <c r="C8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5" t="str">
        <f>IF(AND(DataTable[[#This Row],[Successful Lo. G. S]]="",DataTable[[#This Row],[Successful Hi. G. S.]]=""),"N/A",DataTable[[#This Row],[Successful Lo. G. S]]*2+DataTable[[#This Row],[Successful Hi. G. S.]]*10)</f>
        <v>N/A</v>
      </c>
      <c r="H8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5" s="11" t="str">
        <f>IF(DataTable[[#This Row],[Lo. B. Successful Xings.]]="","N/A",SUM(ProcessedData[[#This Row],[Lo. B. Ti.]],DataTable[[#This Row],[Lo. B. Successful Xings.]]+1))</f>
        <v>N/A</v>
      </c>
      <c r="Z8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6" spans="1:26" x14ac:dyDescent="0.2">
      <c r="A826" t="str">
        <f>IF(DataTable[[#This Row],[Tm.]]="","N/A",DataTable[[#This Row],[Tm.]])</f>
        <v>N/A</v>
      </c>
      <c r="B826" t="str">
        <f>IF(DataTable[[#This Row],[Match Nr.]]="","N/A",DataTable[[#This Row],[Match Nr.]])</f>
        <v>N/A</v>
      </c>
      <c r="C8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6" t="str">
        <f>IF(AND(DataTable[[#This Row],[Successful Lo. G. S]]="",DataTable[[#This Row],[Successful Hi. G. S.]]=""),"N/A",DataTable[[#This Row],[Successful Lo. G. S]]*2+DataTable[[#This Row],[Successful Hi. G. S.]]*10)</f>
        <v>N/A</v>
      </c>
      <c r="H8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6" s="11" t="str">
        <f>IF(DataTable[[#This Row],[Lo. B. Successful Xings.]]="","N/A",SUM(ProcessedData[[#This Row],[Lo. B. Ti.]],DataTable[[#This Row],[Lo. B. Successful Xings.]]+1))</f>
        <v>N/A</v>
      </c>
      <c r="Z8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7" spans="1:26" x14ac:dyDescent="0.2">
      <c r="A827" t="str">
        <f>IF(DataTable[[#This Row],[Tm.]]="","N/A",DataTable[[#This Row],[Tm.]])</f>
        <v>N/A</v>
      </c>
      <c r="B827" t="str">
        <f>IF(DataTable[[#This Row],[Match Nr.]]="","N/A",DataTable[[#This Row],[Match Nr.]])</f>
        <v>N/A</v>
      </c>
      <c r="C8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7" t="str">
        <f>IF(AND(DataTable[[#This Row],[Successful Lo. G. S]]="",DataTable[[#This Row],[Successful Hi. G. S.]]=""),"N/A",DataTable[[#This Row],[Successful Lo. G. S]]*2+DataTable[[#This Row],[Successful Hi. G. S.]]*10)</f>
        <v>N/A</v>
      </c>
      <c r="H8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7" s="11" t="str">
        <f>IF(DataTable[[#This Row],[Lo. B. Successful Xings.]]="","N/A",SUM(ProcessedData[[#This Row],[Lo. B. Ti.]],DataTable[[#This Row],[Lo. B. Successful Xings.]]+1))</f>
        <v>N/A</v>
      </c>
      <c r="Z8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8" spans="1:26" x14ac:dyDescent="0.2">
      <c r="A828" t="str">
        <f>IF(DataTable[[#This Row],[Tm.]]="","N/A",DataTable[[#This Row],[Tm.]])</f>
        <v>N/A</v>
      </c>
      <c r="B828" t="str">
        <f>IF(DataTable[[#This Row],[Match Nr.]]="","N/A",DataTable[[#This Row],[Match Nr.]])</f>
        <v>N/A</v>
      </c>
      <c r="C8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8" t="str">
        <f>IF(AND(DataTable[[#This Row],[Successful Lo. G. S]]="",DataTable[[#This Row],[Successful Hi. G. S.]]=""),"N/A",DataTable[[#This Row],[Successful Lo. G. S]]*2+DataTable[[#This Row],[Successful Hi. G. S.]]*10)</f>
        <v>N/A</v>
      </c>
      <c r="H8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8" s="11" t="str">
        <f>IF(DataTable[[#This Row],[Lo. B. Successful Xings.]]="","N/A",SUM(ProcessedData[[#This Row],[Lo. B. Ti.]],DataTable[[#This Row],[Lo. B. Successful Xings.]]+1))</f>
        <v>N/A</v>
      </c>
      <c r="Z8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29" spans="1:26" x14ac:dyDescent="0.2">
      <c r="A829" t="str">
        <f>IF(DataTable[[#This Row],[Tm.]]="","N/A",DataTable[[#This Row],[Tm.]])</f>
        <v>N/A</v>
      </c>
      <c r="B829" t="str">
        <f>IF(DataTable[[#This Row],[Match Nr.]]="","N/A",DataTable[[#This Row],[Match Nr.]])</f>
        <v>N/A</v>
      </c>
      <c r="C8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29" t="str">
        <f>IF(AND(DataTable[[#This Row],[Successful Lo. G. S]]="",DataTable[[#This Row],[Successful Hi. G. S.]]=""),"N/A",DataTable[[#This Row],[Successful Lo. G. S]]*2+DataTable[[#This Row],[Successful Hi. G. S.]]*10)</f>
        <v>N/A</v>
      </c>
      <c r="H8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29" s="11" t="str">
        <f>IF(DataTable[[#This Row],[Lo. B. Successful Xings.]]="","N/A",SUM(ProcessedData[[#This Row],[Lo. B. Ti.]],DataTable[[#This Row],[Lo. B. Successful Xings.]]+1))</f>
        <v>N/A</v>
      </c>
      <c r="Z8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0" spans="1:26" x14ac:dyDescent="0.2">
      <c r="A830" t="str">
        <f>IF(DataTable[[#This Row],[Tm.]]="","N/A",DataTable[[#This Row],[Tm.]])</f>
        <v>N/A</v>
      </c>
      <c r="B830" t="str">
        <f>IF(DataTable[[#This Row],[Match Nr.]]="","N/A",DataTable[[#This Row],[Match Nr.]])</f>
        <v>N/A</v>
      </c>
      <c r="C8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0" t="str">
        <f>IF(AND(DataTable[[#This Row],[Successful Lo. G. S]]="",DataTable[[#This Row],[Successful Hi. G. S.]]=""),"N/A",DataTable[[#This Row],[Successful Lo. G. S]]*2+DataTable[[#This Row],[Successful Hi. G. S.]]*10)</f>
        <v>N/A</v>
      </c>
      <c r="H8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0" s="11" t="str">
        <f>IF(DataTable[[#This Row],[Lo. B. Successful Xings.]]="","N/A",SUM(ProcessedData[[#This Row],[Lo. B. Ti.]],DataTable[[#This Row],[Lo. B. Successful Xings.]]+1))</f>
        <v>N/A</v>
      </c>
      <c r="Z8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1" spans="1:26" x14ac:dyDescent="0.2">
      <c r="A831" t="str">
        <f>IF(DataTable[[#This Row],[Tm.]]="","N/A",DataTable[[#This Row],[Tm.]])</f>
        <v>N/A</v>
      </c>
      <c r="B831" t="str">
        <f>IF(DataTable[[#This Row],[Match Nr.]]="","N/A",DataTable[[#This Row],[Match Nr.]])</f>
        <v>N/A</v>
      </c>
      <c r="C8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1" t="str">
        <f>IF(AND(DataTable[[#This Row],[Successful Lo. G. S]]="",DataTable[[#This Row],[Successful Hi. G. S.]]=""),"N/A",DataTable[[#This Row],[Successful Lo. G. S]]*2+DataTable[[#This Row],[Successful Hi. G. S.]]*10)</f>
        <v>N/A</v>
      </c>
      <c r="H8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1" s="11" t="str">
        <f>IF(DataTable[[#This Row],[Lo. B. Successful Xings.]]="","N/A",SUM(ProcessedData[[#This Row],[Lo. B. Ti.]],DataTable[[#This Row],[Lo. B. Successful Xings.]]+1))</f>
        <v>N/A</v>
      </c>
      <c r="Z8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2" spans="1:26" x14ac:dyDescent="0.2">
      <c r="A832" t="str">
        <f>IF(DataTable[[#This Row],[Tm.]]="","N/A",DataTable[[#This Row],[Tm.]])</f>
        <v>N/A</v>
      </c>
      <c r="B832" t="str">
        <f>IF(DataTable[[#This Row],[Match Nr.]]="","N/A",DataTable[[#This Row],[Match Nr.]])</f>
        <v>N/A</v>
      </c>
      <c r="C8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2" t="str">
        <f>IF(AND(DataTable[[#This Row],[Successful Lo. G. S]]="",DataTable[[#This Row],[Successful Hi. G. S.]]=""),"N/A",DataTable[[#This Row],[Successful Lo. G. S]]*2+DataTable[[#This Row],[Successful Hi. G. S.]]*10)</f>
        <v>N/A</v>
      </c>
      <c r="H8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2" s="11" t="str">
        <f>IF(DataTable[[#This Row],[Lo. B. Successful Xings.]]="","N/A",SUM(ProcessedData[[#This Row],[Lo. B. Ti.]],DataTable[[#This Row],[Lo. B. Successful Xings.]]+1))</f>
        <v>N/A</v>
      </c>
      <c r="Z8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3" spans="1:26" x14ac:dyDescent="0.2">
      <c r="A833" t="str">
        <f>IF(DataTable[[#This Row],[Tm.]]="","N/A",DataTable[[#This Row],[Tm.]])</f>
        <v>N/A</v>
      </c>
      <c r="B833" t="str">
        <f>IF(DataTable[[#This Row],[Match Nr.]]="","N/A",DataTable[[#This Row],[Match Nr.]])</f>
        <v>N/A</v>
      </c>
      <c r="C8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3" t="str">
        <f>IF(AND(DataTable[[#This Row],[Successful Lo. G. S]]="",DataTable[[#This Row],[Successful Hi. G. S.]]=""),"N/A",DataTable[[#This Row],[Successful Lo. G. S]]*2+DataTable[[#This Row],[Successful Hi. G. S.]]*10)</f>
        <v>N/A</v>
      </c>
      <c r="H8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3" s="11" t="str">
        <f>IF(DataTable[[#This Row],[Lo. B. Successful Xings.]]="","N/A",SUM(ProcessedData[[#This Row],[Lo. B. Ti.]],DataTable[[#This Row],[Lo. B. Successful Xings.]]+1))</f>
        <v>N/A</v>
      </c>
      <c r="Z8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4" spans="1:26" x14ac:dyDescent="0.2">
      <c r="A834" t="str">
        <f>IF(DataTable[[#This Row],[Tm.]]="","N/A",DataTable[[#This Row],[Tm.]])</f>
        <v>N/A</v>
      </c>
      <c r="B834" t="str">
        <f>IF(DataTable[[#This Row],[Match Nr.]]="","N/A",DataTable[[#This Row],[Match Nr.]])</f>
        <v>N/A</v>
      </c>
      <c r="C8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4" t="str">
        <f>IF(AND(DataTable[[#This Row],[Successful Lo. G. S]]="",DataTable[[#This Row],[Successful Hi. G. S.]]=""),"N/A",DataTable[[#This Row],[Successful Lo. G. S]]*2+DataTable[[#This Row],[Successful Hi. G. S.]]*10)</f>
        <v>N/A</v>
      </c>
      <c r="H8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4" s="11" t="str">
        <f>IF(DataTable[[#This Row],[Lo. B. Successful Xings.]]="","N/A",SUM(ProcessedData[[#This Row],[Lo. B. Ti.]],DataTable[[#This Row],[Lo. B. Successful Xings.]]+1))</f>
        <v>N/A</v>
      </c>
      <c r="Z8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5" spans="1:26" x14ac:dyDescent="0.2">
      <c r="A835" t="str">
        <f>IF(DataTable[[#This Row],[Tm.]]="","N/A",DataTable[[#This Row],[Tm.]])</f>
        <v>N/A</v>
      </c>
      <c r="B835" t="str">
        <f>IF(DataTable[[#This Row],[Match Nr.]]="","N/A",DataTable[[#This Row],[Match Nr.]])</f>
        <v>N/A</v>
      </c>
      <c r="C8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5" t="str">
        <f>IF(AND(DataTable[[#This Row],[Successful Lo. G. S]]="",DataTable[[#This Row],[Successful Hi. G. S.]]=""),"N/A",DataTable[[#This Row],[Successful Lo. G. S]]*2+DataTable[[#This Row],[Successful Hi. G. S.]]*10)</f>
        <v>N/A</v>
      </c>
      <c r="H8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5" s="11" t="str">
        <f>IF(DataTable[[#This Row],[Lo. B. Successful Xings.]]="","N/A",SUM(ProcessedData[[#This Row],[Lo. B. Ti.]],DataTable[[#This Row],[Lo. B. Successful Xings.]]+1))</f>
        <v>N/A</v>
      </c>
      <c r="Z8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6" spans="1:26" x14ac:dyDescent="0.2">
      <c r="A836" t="str">
        <f>IF(DataTable[[#This Row],[Tm.]]="","N/A",DataTable[[#This Row],[Tm.]])</f>
        <v>N/A</v>
      </c>
      <c r="B836" t="str">
        <f>IF(DataTable[[#This Row],[Match Nr.]]="","N/A",DataTable[[#This Row],[Match Nr.]])</f>
        <v>N/A</v>
      </c>
      <c r="C8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6" t="str">
        <f>IF(AND(DataTable[[#This Row],[Successful Lo. G. S]]="",DataTable[[#This Row],[Successful Hi. G. S.]]=""),"N/A",DataTable[[#This Row],[Successful Lo. G. S]]*2+DataTable[[#This Row],[Successful Hi. G. S.]]*10)</f>
        <v>N/A</v>
      </c>
      <c r="H8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6" s="11" t="str">
        <f>IF(DataTable[[#This Row],[Lo. B. Successful Xings.]]="","N/A",SUM(ProcessedData[[#This Row],[Lo. B. Ti.]],DataTable[[#This Row],[Lo. B. Successful Xings.]]+1))</f>
        <v>N/A</v>
      </c>
      <c r="Z8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7" spans="1:26" x14ac:dyDescent="0.2">
      <c r="A837" t="str">
        <f>IF(DataTable[[#This Row],[Tm.]]="","N/A",DataTable[[#This Row],[Tm.]])</f>
        <v>N/A</v>
      </c>
      <c r="B837" t="str">
        <f>IF(DataTable[[#This Row],[Match Nr.]]="","N/A",DataTable[[#This Row],[Match Nr.]])</f>
        <v>N/A</v>
      </c>
      <c r="C8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7" t="str">
        <f>IF(AND(DataTable[[#This Row],[Successful Lo. G. S]]="",DataTable[[#This Row],[Successful Hi. G. S.]]=""),"N/A",DataTable[[#This Row],[Successful Lo. G. S]]*2+DataTable[[#This Row],[Successful Hi. G. S.]]*10)</f>
        <v>N/A</v>
      </c>
      <c r="H8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7" s="11" t="str">
        <f>IF(DataTable[[#This Row],[Lo. B. Successful Xings.]]="","N/A",SUM(ProcessedData[[#This Row],[Lo. B. Ti.]],DataTable[[#This Row],[Lo. B. Successful Xings.]]+1))</f>
        <v>N/A</v>
      </c>
      <c r="Z8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8" spans="1:26" x14ac:dyDescent="0.2">
      <c r="A838" t="str">
        <f>IF(DataTable[[#This Row],[Tm.]]="","N/A",DataTable[[#This Row],[Tm.]])</f>
        <v>N/A</v>
      </c>
      <c r="B838" t="str">
        <f>IF(DataTable[[#This Row],[Match Nr.]]="","N/A",DataTable[[#This Row],[Match Nr.]])</f>
        <v>N/A</v>
      </c>
      <c r="C8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8" t="str">
        <f>IF(AND(DataTable[[#This Row],[Successful Lo. G. S]]="",DataTable[[#This Row],[Successful Hi. G. S.]]=""),"N/A",DataTable[[#This Row],[Successful Lo. G. S]]*2+DataTable[[#This Row],[Successful Hi. G. S.]]*10)</f>
        <v>N/A</v>
      </c>
      <c r="H8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8" s="11" t="str">
        <f>IF(DataTable[[#This Row],[Lo. B. Successful Xings.]]="","N/A",SUM(ProcessedData[[#This Row],[Lo. B. Ti.]],DataTable[[#This Row],[Lo. B. Successful Xings.]]+1))</f>
        <v>N/A</v>
      </c>
      <c r="Z8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39" spans="1:26" x14ac:dyDescent="0.2">
      <c r="A839" t="str">
        <f>IF(DataTable[[#This Row],[Tm.]]="","N/A",DataTable[[#This Row],[Tm.]])</f>
        <v>N/A</v>
      </c>
      <c r="B839" t="str">
        <f>IF(DataTable[[#This Row],[Match Nr.]]="","N/A",DataTable[[#This Row],[Match Nr.]])</f>
        <v>N/A</v>
      </c>
      <c r="C8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39" t="str">
        <f>IF(AND(DataTable[[#This Row],[Successful Lo. G. S]]="",DataTable[[#This Row],[Successful Hi. G. S.]]=""),"N/A",DataTable[[#This Row],[Successful Lo. G. S]]*2+DataTable[[#This Row],[Successful Hi. G. S.]]*10)</f>
        <v>N/A</v>
      </c>
      <c r="H8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39" s="11" t="str">
        <f>IF(DataTable[[#This Row],[Lo. B. Successful Xings.]]="","N/A",SUM(ProcessedData[[#This Row],[Lo. B. Ti.]],DataTable[[#This Row],[Lo. B. Successful Xings.]]+1))</f>
        <v>N/A</v>
      </c>
      <c r="Z8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0" spans="1:26" x14ac:dyDescent="0.2">
      <c r="A840" t="str">
        <f>IF(DataTable[[#This Row],[Tm.]]="","N/A",DataTable[[#This Row],[Tm.]])</f>
        <v>N/A</v>
      </c>
      <c r="B840" t="str">
        <f>IF(DataTable[[#This Row],[Match Nr.]]="","N/A",DataTable[[#This Row],[Match Nr.]])</f>
        <v>N/A</v>
      </c>
      <c r="C8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0" t="str">
        <f>IF(AND(DataTable[[#This Row],[Successful Lo. G. S]]="",DataTable[[#This Row],[Successful Hi. G. S.]]=""),"N/A",DataTable[[#This Row],[Successful Lo. G. S]]*2+DataTable[[#This Row],[Successful Hi. G. S.]]*10)</f>
        <v>N/A</v>
      </c>
      <c r="H8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0" s="11" t="str">
        <f>IF(DataTable[[#This Row],[Lo. B. Successful Xings.]]="","N/A",SUM(ProcessedData[[#This Row],[Lo. B. Ti.]],DataTable[[#This Row],[Lo. B. Successful Xings.]]+1))</f>
        <v>N/A</v>
      </c>
      <c r="Z8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1" spans="1:26" x14ac:dyDescent="0.2">
      <c r="A841" t="str">
        <f>IF(DataTable[[#This Row],[Tm.]]="","N/A",DataTable[[#This Row],[Tm.]])</f>
        <v>N/A</v>
      </c>
      <c r="B841" t="str">
        <f>IF(DataTable[[#This Row],[Match Nr.]]="","N/A",DataTable[[#This Row],[Match Nr.]])</f>
        <v>N/A</v>
      </c>
      <c r="C8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1" t="str">
        <f>IF(AND(DataTable[[#This Row],[Successful Lo. G. S]]="",DataTable[[#This Row],[Successful Hi. G. S.]]=""),"N/A",DataTable[[#This Row],[Successful Lo. G. S]]*2+DataTable[[#This Row],[Successful Hi. G. S.]]*10)</f>
        <v>N/A</v>
      </c>
      <c r="H8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1" s="11" t="str">
        <f>IF(DataTable[[#This Row],[Lo. B. Successful Xings.]]="","N/A",SUM(ProcessedData[[#This Row],[Lo. B. Ti.]],DataTable[[#This Row],[Lo. B. Successful Xings.]]+1))</f>
        <v>N/A</v>
      </c>
      <c r="Z8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2" spans="1:26" x14ac:dyDescent="0.2">
      <c r="A842" t="str">
        <f>IF(DataTable[[#This Row],[Tm.]]="","N/A",DataTable[[#This Row],[Tm.]])</f>
        <v>N/A</v>
      </c>
      <c r="B842" t="str">
        <f>IF(DataTable[[#This Row],[Match Nr.]]="","N/A",DataTable[[#This Row],[Match Nr.]])</f>
        <v>N/A</v>
      </c>
      <c r="C8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2" t="str">
        <f>IF(AND(DataTable[[#This Row],[Successful Lo. G. S]]="",DataTable[[#This Row],[Successful Hi. G. S.]]=""),"N/A",DataTable[[#This Row],[Successful Lo. G. S]]*2+DataTable[[#This Row],[Successful Hi. G. S.]]*10)</f>
        <v>N/A</v>
      </c>
      <c r="H8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2" s="11" t="str">
        <f>IF(DataTable[[#This Row],[Lo. B. Successful Xings.]]="","N/A",SUM(ProcessedData[[#This Row],[Lo. B. Ti.]],DataTable[[#This Row],[Lo. B. Successful Xings.]]+1))</f>
        <v>N/A</v>
      </c>
      <c r="Z8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3" spans="1:26" x14ac:dyDescent="0.2">
      <c r="A843" t="str">
        <f>IF(DataTable[[#This Row],[Tm.]]="","N/A",DataTable[[#This Row],[Tm.]])</f>
        <v>N/A</v>
      </c>
      <c r="B843" t="str">
        <f>IF(DataTable[[#This Row],[Match Nr.]]="","N/A",DataTable[[#This Row],[Match Nr.]])</f>
        <v>N/A</v>
      </c>
      <c r="C8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3" t="str">
        <f>IF(AND(DataTable[[#This Row],[Successful Lo. G. S]]="",DataTable[[#This Row],[Successful Hi. G. S.]]=""),"N/A",DataTable[[#This Row],[Successful Lo. G. S]]*2+DataTable[[#This Row],[Successful Hi. G. S.]]*10)</f>
        <v>N/A</v>
      </c>
      <c r="H8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3" s="11" t="str">
        <f>IF(DataTable[[#This Row],[Lo. B. Successful Xings.]]="","N/A",SUM(ProcessedData[[#This Row],[Lo. B. Ti.]],DataTable[[#This Row],[Lo. B. Successful Xings.]]+1))</f>
        <v>N/A</v>
      </c>
      <c r="Z8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4" spans="1:26" x14ac:dyDescent="0.2">
      <c r="A844" t="str">
        <f>IF(DataTable[[#This Row],[Tm.]]="","N/A",DataTable[[#This Row],[Tm.]])</f>
        <v>N/A</v>
      </c>
      <c r="B844" t="str">
        <f>IF(DataTable[[#This Row],[Match Nr.]]="","N/A",DataTable[[#This Row],[Match Nr.]])</f>
        <v>N/A</v>
      </c>
      <c r="C8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4" t="str">
        <f>IF(AND(DataTable[[#This Row],[Successful Lo. G. S]]="",DataTable[[#This Row],[Successful Hi. G. S.]]=""),"N/A",DataTable[[#This Row],[Successful Lo. G. S]]*2+DataTable[[#This Row],[Successful Hi. G. S.]]*10)</f>
        <v>N/A</v>
      </c>
      <c r="H8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4" s="11" t="str">
        <f>IF(DataTable[[#This Row],[Lo. B. Successful Xings.]]="","N/A",SUM(ProcessedData[[#This Row],[Lo. B. Ti.]],DataTable[[#This Row],[Lo. B. Successful Xings.]]+1))</f>
        <v>N/A</v>
      </c>
      <c r="Z8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5" spans="1:26" x14ac:dyDescent="0.2">
      <c r="A845" t="str">
        <f>IF(DataTable[[#This Row],[Tm.]]="","N/A",DataTable[[#This Row],[Tm.]])</f>
        <v>N/A</v>
      </c>
      <c r="B845" t="str">
        <f>IF(DataTable[[#This Row],[Match Nr.]]="","N/A",DataTable[[#This Row],[Match Nr.]])</f>
        <v>N/A</v>
      </c>
      <c r="C8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5" t="str">
        <f>IF(AND(DataTable[[#This Row],[Successful Lo. G. S]]="",DataTable[[#This Row],[Successful Hi. G. S.]]=""),"N/A",DataTable[[#This Row],[Successful Lo. G. S]]*2+DataTable[[#This Row],[Successful Hi. G. S.]]*10)</f>
        <v>N/A</v>
      </c>
      <c r="H8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5" s="11" t="str">
        <f>IF(DataTable[[#This Row],[Lo. B. Successful Xings.]]="","N/A",SUM(ProcessedData[[#This Row],[Lo. B. Ti.]],DataTable[[#This Row],[Lo. B. Successful Xings.]]+1))</f>
        <v>N/A</v>
      </c>
      <c r="Z8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6" spans="1:26" x14ac:dyDescent="0.2">
      <c r="A846" t="str">
        <f>IF(DataTable[[#This Row],[Tm.]]="","N/A",DataTable[[#This Row],[Tm.]])</f>
        <v>N/A</v>
      </c>
      <c r="B846" t="str">
        <f>IF(DataTable[[#This Row],[Match Nr.]]="","N/A",DataTable[[#This Row],[Match Nr.]])</f>
        <v>N/A</v>
      </c>
      <c r="C8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6" t="str">
        <f>IF(AND(DataTable[[#This Row],[Successful Lo. G. S]]="",DataTable[[#This Row],[Successful Hi. G. S.]]=""),"N/A",DataTable[[#This Row],[Successful Lo. G. S]]*2+DataTable[[#This Row],[Successful Hi. G. S.]]*10)</f>
        <v>N/A</v>
      </c>
      <c r="H8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6" s="11" t="str">
        <f>IF(DataTable[[#This Row],[Lo. B. Successful Xings.]]="","N/A",SUM(ProcessedData[[#This Row],[Lo. B. Ti.]],DataTable[[#This Row],[Lo. B. Successful Xings.]]+1))</f>
        <v>N/A</v>
      </c>
      <c r="Z8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7" spans="1:26" x14ac:dyDescent="0.2">
      <c r="A847" t="str">
        <f>IF(DataTable[[#This Row],[Tm.]]="","N/A",DataTable[[#This Row],[Tm.]])</f>
        <v>N/A</v>
      </c>
      <c r="B847" t="str">
        <f>IF(DataTable[[#This Row],[Match Nr.]]="","N/A",DataTable[[#This Row],[Match Nr.]])</f>
        <v>N/A</v>
      </c>
      <c r="C8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7" t="str">
        <f>IF(AND(DataTable[[#This Row],[Successful Lo. G. S]]="",DataTable[[#This Row],[Successful Hi. G. S.]]=""),"N/A",DataTable[[#This Row],[Successful Lo. G. S]]*2+DataTable[[#This Row],[Successful Hi. G. S.]]*10)</f>
        <v>N/A</v>
      </c>
      <c r="H8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7" s="11" t="str">
        <f>IF(DataTable[[#This Row],[Lo. B. Successful Xings.]]="","N/A",SUM(ProcessedData[[#This Row],[Lo. B. Ti.]],DataTable[[#This Row],[Lo. B. Successful Xings.]]+1))</f>
        <v>N/A</v>
      </c>
      <c r="Z8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8" spans="1:26" x14ac:dyDescent="0.2">
      <c r="A848" t="str">
        <f>IF(DataTable[[#This Row],[Tm.]]="","N/A",DataTable[[#This Row],[Tm.]])</f>
        <v>N/A</v>
      </c>
      <c r="B848" t="str">
        <f>IF(DataTable[[#This Row],[Match Nr.]]="","N/A",DataTable[[#This Row],[Match Nr.]])</f>
        <v>N/A</v>
      </c>
      <c r="C8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8" t="str">
        <f>IF(AND(DataTable[[#This Row],[Successful Lo. G. S]]="",DataTable[[#This Row],[Successful Hi. G. S.]]=""),"N/A",DataTable[[#This Row],[Successful Lo. G. S]]*2+DataTable[[#This Row],[Successful Hi. G. S.]]*10)</f>
        <v>N/A</v>
      </c>
      <c r="H8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8" s="11" t="str">
        <f>IF(DataTable[[#This Row],[Lo. B. Successful Xings.]]="","N/A",SUM(ProcessedData[[#This Row],[Lo. B. Ti.]],DataTable[[#This Row],[Lo. B. Successful Xings.]]+1))</f>
        <v>N/A</v>
      </c>
      <c r="Z8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49" spans="1:26" x14ac:dyDescent="0.2">
      <c r="A849" t="str">
        <f>IF(DataTable[[#This Row],[Tm.]]="","N/A",DataTable[[#This Row],[Tm.]])</f>
        <v>N/A</v>
      </c>
      <c r="B849" t="str">
        <f>IF(DataTable[[#This Row],[Match Nr.]]="","N/A",DataTable[[#This Row],[Match Nr.]])</f>
        <v>N/A</v>
      </c>
      <c r="C8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49" t="str">
        <f>IF(AND(DataTable[[#This Row],[Successful Lo. G. S]]="",DataTable[[#This Row],[Successful Hi. G. S.]]=""),"N/A",DataTable[[#This Row],[Successful Lo. G. S]]*2+DataTable[[#This Row],[Successful Hi. G. S.]]*10)</f>
        <v>N/A</v>
      </c>
      <c r="H8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49" s="11" t="str">
        <f>IF(DataTable[[#This Row],[Lo. B. Successful Xings.]]="","N/A",SUM(ProcessedData[[#This Row],[Lo. B. Ti.]],DataTable[[#This Row],[Lo. B. Successful Xings.]]+1))</f>
        <v>N/A</v>
      </c>
      <c r="Z8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0" spans="1:26" x14ac:dyDescent="0.2">
      <c r="A850" t="str">
        <f>IF(DataTable[[#This Row],[Tm.]]="","N/A",DataTable[[#This Row],[Tm.]])</f>
        <v>N/A</v>
      </c>
      <c r="B850" t="str">
        <f>IF(DataTable[[#This Row],[Match Nr.]]="","N/A",DataTable[[#This Row],[Match Nr.]])</f>
        <v>N/A</v>
      </c>
      <c r="C8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0" t="str">
        <f>IF(AND(DataTable[[#This Row],[Successful Lo. G. S]]="",DataTable[[#This Row],[Successful Hi. G. S.]]=""),"N/A",DataTable[[#This Row],[Successful Lo. G. S]]*2+DataTable[[#This Row],[Successful Hi. G. S.]]*10)</f>
        <v>N/A</v>
      </c>
      <c r="H8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0" s="11" t="str">
        <f>IF(DataTable[[#This Row],[Lo. B. Successful Xings.]]="","N/A",SUM(ProcessedData[[#This Row],[Lo. B. Ti.]],DataTable[[#This Row],[Lo. B. Successful Xings.]]+1))</f>
        <v>N/A</v>
      </c>
      <c r="Z8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1" spans="1:26" x14ac:dyDescent="0.2">
      <c r="A851" t="str">
        <f>IF(DataTable[[#This Row],[Tm.]]="","N/A",DataTable[[#This Row],[Tm.]])</f>
        <v>N/A</v>
      </c>
      <c r="B851" t="str">
        <f>IF(DataTable[[#This Row],[Match Nr.]]="","N/A",DataTable[[#This Row],[Match Nr.]])</f>
        <v>N/A</v>
      </c>
      <c r="C8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1" t="str">
        <f>IF(AND(DataTable[[#This Row],[Successful Lo. G. S]]="",DataTable[[#This Row],[Successful Hi. G. S.]]=""),"N/A",DataTable[[#This Row],[Successful Lo. G. S]]*2+DataTable[[#This Row],[Successful Hi. G. S.]]*10)</f>
        <v>N/A</v>
      </c>
      <c r="H8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1" s="11" t="str">
        <f>IF(DataTable[[#This Row],[Lo. B. Successful Xings.]]="","N/A",SUM(ProcessedData[[#This Row],[Lo. B. Ti.]],DataTable[[#This Row],[Lo. B. Successful Xings.]]+1))</f>
        <v>N/A</v>
      </c>
      <c r="Z8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2" spans="1:26" x14ac:dyDescent="0.2">
      <c r="A852" t="str">
        <f>IF(DataTable[[#This Row],[Tm.]]="","N/A",DataTable[[#This Row],[Tm.]])</f>
        <v>N/A</v>
      </c>
      <c r="B852" t="str">
        <f>IF(DataTable[[#This Row],[Match Nr.]]="","N/A",DataTable[[#This Row],[Match Nr.]])</f>
        <v>N/A</v>
      </c>
      <c r="C8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2" t="str">
        <f>IF(AND(DataTable[[#This Row],[Successful Lo. G. S]]="",DataTable[[#This Row],[Successful Hi. G. S.]]=""),"N/A",DataTable[[#This Row],[Successful Lo. G. S]]*2+DataTable[[#This Row],[Successful Hi. G. S.]]*10)</f>
        <v>N/A</v>
      </c>
      <c r="H8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2" s="11" t="str">
        <f>IF(DataTable[[#This Row],[Lo. B. Successful Xings.]]="","N/A",SUM(ProcessedData[[#This Row],[Lo. B. Ti.]],DataTable[[#This Row],[Lo. B. Successful Xings.]]+1))</f>
        <v>N/A</v>
      </c>
      <c r="Z8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3" spans="1:26" x14ac:dyDescent="0.2">
      <c r="A853" t="str">
        <f>IF(DataTable[[#This Row],[Tm.]]="","N/A",DataTable[[#This Row],[Tm.]])</f>
        <v>N/A</v>
      </c>
      <c r="B853" t="str">
        <f>IF(DataTable[[#This Row],[Match Nr.]]="","N/A",DataTable[[#This Row],[Match Nr.]])</f>
        <v>N/A</v>
      </c>
      <c r="C8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3" t="str">
        <f>IF(AND(DataTable[[#This Row],[Successful Lo. G. S]]="",DataTable[[#This Row],[Successful Hi. G. S.]]=""),"N/A",DataTable[[#This Row],[Successful Lo. G. S]]*2+DataTable[[#This Row],[Successful Hi. G. S.]]*10)</f>
        <v>N/A</v>
      </c>
      <c r="H8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3" s="11" t="str">
        <f>IF(DataTable[[#This Row],[Lo. B. Successful Xings.]]="","N/A",SUM(ProcessedData[[#This Row],[Lo. B. Ti.]],DataTable[[#This Row],[Lo. B. Successful Xings.]]+1))</f>
        <v>N/A</v>
      </c>
      <c r="Z8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4" spans="1:26" x14ac:dyDescent="0.2">
      <c r="A854" t="str">
        <f>IF(DataTable[[#This Row],[Tm.]]="","N/A",DataTable[[#This Row],[Tm.]])</f>
        <v>N/A</v>
      </c>
      <c r="B854" t="str">
        <f>IF(DataTable[[#This Row],[Match Nr.]]="","N/A",DataTable[[#This Row],[Match Nr.]])</f>
        <v>N/A</v>
      </c>
      <c r="C8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4" t="str">
        <f>IF(AND(DataTable[[#This Row],[Successful Lo. G. S]]="",DataTable[[#This Row],[Successful Hi. G. S.]]=""),"N/A",DataTable[[#This Row],[Successful Lo. G. S]]*2+DataTable[[#This Row],[Successful Hi. G. S.]]*10)</f>
        <v>N/A</v>
      </c>
      <c r="H8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4" s="11" t="str">
        <f>IF(DataTable[[#This Row],[Lo. B. Successful Xings.]]="","N/A",SUM(ProcessedData[[#This Row],[Lo. B. Ti.]],DataTable[[#This Row],[Lo. B. Successful Xings.]]+1))</f>
        <v>N/A</v>
      </c>
      <c r="Z8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5" spans="1:26" x14ac:dyDescent="0.2">
      <c r="A855" t="str">
        <f>IF(DataTable[[#This Row],[Tm.]]="","N/A",DataTable[[#This Row],[Tm.]])</f>
        <v>N/A</v>
      </c>
      <c r="B855" t="str">
        <f>IF(DataTable[[#This Row],[Match Nr.]]="","N/A",DataTable[[#This Row],[Match Nr.]])</f>
        <v>N/A</v>
      </c>
      <c r="C8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5" t="str">
        <f>IF(AND(DataTable[[#This Row],[Successful Lo. G. S]]="",DataTable[[#This Row],[Successful Hi. G. S.]]=""),"N/A",DataTable[[#This Row],[Successful Lo. G. S]]*2+DataTable[[#This Row],[Successful Hi. G. S.]]*10)</f>
        <v>N/A</v>
      </c>
      <c r="H8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5" s="11" t="str">
        <f>IF(DataTable[[#This Row],[Lo. B. Successful Xings.]]="","N/A",SUM(ProcessedData[[#This Row],[Lo. B. Ti.]],DataTable[[#This Row],[Lo. B. Successful Xings.]]+1))</f>
        <v>N/A</v>
      </c>
      <c r="Z8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6" spans="1:26" x14ac:dyDescent="0.2">
      <c r="A856" t="str">
        <f>IF(DataTable[[#This Row],[Tm.]]="","N/A",DataTable[[#This Row],[Tm.]])</f>
        <v>N/A</v>
      </c>
      <c r="B856" t="str">
        <f>IF(DataTable[[#This Row],[Match Nr.]]="","N/A",DataTable[[#This Row],[Match Nr.]])</f>
        <v>N/A</v>
      </c>
      <c r="C8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6" t="str">
        <f>IF(AND(DataTable[[#This Row],[Successful Lo. G. S]]="",DataTable[[#This Row],[Successful Hi. G. S.]]=""),"N/A",DataTable[[#This Row],[Successful Lo. G. S]]*2+DataTable[[#This Row],[Successful Hi. G. S.]]*10)</f>
        <v>N/A</v>
      </c>
      <c r="H8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6" s="11" t="str">
        <f>IF(DataTable[[#This Row],[Lo. B. Successful Xings.]]="","N/A",SUM(ProcessedData[[#This Row],[Lo. B. Ti.]],DataTable[[#This Row],[Lo. B. Successful Xings.]]+1))</f>
        <v>N/A</v>
      </c>
      <c r="Z8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7" spans="1:26" x14ac:dyDescent="0.2">
      <c r="A857" t="str">
        <f>IF(DataTable[[#This Row],[Tm.]]="","N/A",DataTable[[#This Row],[Tm.]])</f>
        <v>N/A</v>
      </c>
      <c r="B857" t="str">
        <f>IF(DataTable[[#This Row],[Match Nr.]]="","N/A",DataTable[[#This Row],[Match Nr.]])</f>
        <v>N/A</v>
      </c>
      <c r="C8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7" t="str">
        <f>IF(AND(DataTable[[#This Row],[Successful Lo. G. S]]="",DataTable[[#This Row],[Successful Hi. G. S.]]=""),"N/A",DataTable[[#This Row],[Successful Lo. G. S]]*2+DataTable[[#This Row],[Successful Hi. G. S.]]*10)</f>
        <v>N/A</v>
      </c>
      <c r="H8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7" s="11" t="str">
        <f>IF(DataTable[[#This Row],[Lo. B. Successful Xings.]]="","N/A",SUM(ProcessedData[[#This Row],[Lo. B. Ti.]],DataTable[[#This Row],[Lo. B. Successful Xings.]]+1))</f>
        <v>N/A</v>
      </c>
      <c r="Z8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8" spans="1:26" x14ac:dyDescent="0.2">
      <c r="A858" t="str">
        <f>IF(DataTable[[#This Row],[Tm.]]="","N/A",DataTable[[#This Row],[Tm.]])</f>
        <v>N/A</v>
      </c>
      <c r="B858" t="str">
        <f>IF(DataTable[[#This Row],[Match Nr.]]="","N/A",DataTable[[#This Row],[Match Nr.]])</f>
        <v>N/A</v>
      </c>
      <c r="C8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8" t="str">
        <f>IF(AND(DataTable[[#This Row],[Successful Lo. G. S]]="",DataTable[[#This Row],[Successful Hi. G. S.]]=""),"N/A",DataTable[[#This Row],[Successful Lo. G. S]]*2+DataTable[[#This Row],[Successful Hi. G. S.]]*10)</f>
        <v>N/A</v>
      </c>
      <c r="H8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8" s="11" t="str">
        <f>IF(DataTable[[#This Row],[Lo. B. Successful Xings.]]="","N/A",SUM(ProcessedData[[#This Row],[Lo. B. Ti.]],DataTable[[#This Row],[Lo. B. Successful Xings.]]+1))</f>
        <v>N/A</v>
      </c>
      <c r="Z8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59" spans="1:26" x14ac:dyDescent="0.2">
      <c r="A859" t="str">
        <f>IF(DataTable[[#This Row],[Tm.]]="","N/A",DataTable[[#This Row],[Tm.]])</f>
        <v>N/A</v>
      </c>
      <c r="B859" t="str">
        <f>IF(DataTable[[#This Row],[Match Nr.]]="","N/A",DataTable[[#This Row],[Match Nr.]])</f>
        <v>N/A</v>
      </c>
      <c r="C8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59" t="str">
        <f>IF(AND(DataTable[[#This Row],[Successful Lo. G. S]]="",DataTable[[#This Row],[Successful Hi. G. S.]]=""),"N/A",DataTable[[#This Row],[Successful Lo. G. S]]*2+DataTable[[#This Row],[Successful Hi. G. S.]]*10)</f>
        <v>N/A</v>
      </c>
      <c r="H8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59" s="11" t="str">
        <f>IF(DataTable[[#This Row],[Lo. B. Successful Xings.]]="","N/A",SUM(ProcessedData[[#This Row],[Lo. B. Ti.]],DataTable[[#This Row],[Lo. B. Successful Xings.]]+1))</f>
        <v>N/A</v>
      </c>
      <c r="Z8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0" spans="1:26" x14ac:dyDescent="0.2">
      <c r="A860" t="str">
        <f>IF(DataTable[[#This Row],[Tm.]]="","N/A",DataTable[[#This Row],[Tm.]])</f>
        <v>N/A</v>
      </c>
      <c r="B860" t="str">
        <f>IF(DataTable[[#This Row],[Match Nr.]]="","N/A",DataTable[[#This Row],[Match Nr.]])</f>
        <v>N/A</v>
      </c>
      <c r="C8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0" t="str">
        <f>IF(AND(DataTable[[#This Row],[Successful Lo. G. S]]="",DataTable[[#This Row],[Successful Hi. G. S.]]=""),"N/A",DataTable[[#This Row],[Successful Lo. G. S]]*2+DataTable[[#This Row],[Successful Hi. G. S.]]*10)</f>
        <v>N/A</v>
      </c>
      <c r="H8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0" s="11" t="str">
        <f>IF(DataTable[[#This Row],[Lo. B. Successful Xings.]]="","N/A",SUM(ProcessedData[[#This Row],[Lo. B. Ti.]],DataTable[[#This Row],[Lo. B. Successful Xings.]]+1))</f>
        <v>N/A</v>
      </c>
      <c r="Z8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1" spans="1:26" x14ac:dyDescent="0.2">
      <c r="A861" t="str">
        <f>IF(DataTable[[#This Row],[Tm.]]="","N/A",DataTable[[#This Row],[Tm.]])</f>
        <v>N/A</v>
      </c>
      <c r="B861" t="str">
        <f>IF(DataTable[[#This Row],[Match Nr.]]="","N/A",DataTable[[#This Row],[Match Nr.]])</f>
        <v>N/A</v>
      </c>
      <c r="C8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1" t="str">
        <f>IF(AND(DataTable[[#This Row],[Successful Lo. G. S]]="",DataTable[[#This Row],[Successful Hi. G. S.]]=""),"N/A",DataTable[[#This Row],[Successful Lo. G. S]]*2+DataTable[[#This Row],[Successful Hi. G. S.]]*10)</f>
        <v>N/A</v>
      </c>
      <c r="H8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1" s="11" t="str">
        <f>IF(DataTable[[#This Row],[Lo. B. Successful Xings.]]="","N/A",SUM(ProcessedData[[#This Row],[Lo. B. Ti.]],DataTable[[#This Row],[Lo. B. Successful Xings.]]+1))</f>
        <v>N/A</v>
      </c>
      <c r="Z8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2" spans="1:26" x14ac:dyDescent="0.2">
      <c r="A862" t="str">
        <f>IF(DataTable[[#This Row],[Tm.]]="","N/A",DataTable[[#This Row],[Tm.]])</f>
        <v>N/A</v>
      </c>
      <c r="B862" t="str">
        <f>IF(DataTable[[#This Row],[Match Nr.]]="","N/A",DataTable[[#This Row],[Match Nr.]])</f>
        <v>N/A</v>
      </c>
      <c r="C8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2" t="str">
        <f>IF(AND(DataTable[[#This Row],[Successful Lo. G. S]]="",DataTable[[#This Row],[Successful Hi. G. S.]]=""),"N/A",DataTable[[#This Row],[Successful Lo. G. S]]*2+DataTable[[#This Row],[Successful Hi. G. S.]]*10)</f>
        <v>N/A</v>
      </c>
      <c r="H8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2" s="11" t="str">
        <f>IF(DataTable[[#This Row],[Lo. B. Successful Xings.]]="","N/A",SUM(ProcessedData[[#This Row],[Lo. B. Ti.]],DataTable[[#This Row],[Lo. B. Successful Xings.]]+1))</f>
        <v>N/A</v>
      </c>
      <c r="Z8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3" spans="1:26" x14ac:dyDescent="0.2">
      <c r="A863" t="str">
        <f>IF(DataTable[[#This Row],[Tm.]]="","N/A",DataTable[[#This Row],[Tm.]])</f>
        <v>N/A</v>
      </c>
      <c r="B863" t="str">
        <f>IF(DataTable[[#This Row],[Match Nr.]]="","N/A",DataTable[[#This Row],[Match Nr.]])</f>
        <v>N/A</v>
      </c>
      <c r="C8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3" t="str">
        <f>IF(AND(DataTable[[#This Row],[Successful Lo. G. S]]="",DataTable[[#This Row],[Successful Hi. G. S.]]=""),"N/A",DataTable[[#This Row],[Successful Lo. G. S]]*2+DataTable[[#This Row],[Successful Hi. G. S.]]*10)</f>
        <v>N/A</v>
      </c>
      <c r="H8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3" s="11" t="str">
        <f>IF(DataTable[[#This Row],[Lo. B. Successful Xings.]]="","N/A",SUM(ProcessedData[[#This Row],[Lo. B. Ti.]],DataTable[[#This Row],[Lo. B. Successful Xings.]]+1))</f>
        <v>N/A</v>
      </c>
      <c r="Z8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4" spans="1:26" x14ac:dyDescent="0.2">
      <c r="A864" t="str">
        <f>IF(DataTable[[#This Row],[Tm.]]="","N/A",DataTable[[#This Row],[Tm.]])</f>
        <v>N/A</v>
      </c>
      <c r="B864" t="str">
        <f>IF(DataTable[[#This Row],[Match Nr.]]="","N/A",DataTable[[#This Row],[Match Nr.]])</f>
        <v>N/A</v>
      </c>
      <c r="C8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4" t="str">
        <f>IF(AND(DataTable[[#This Row],[Successful Lo. G. S]]="",DataTable[[#This Row],[Successful Hi. G. S.]]=""),"N/A",DataTable[[#This Row],[Successful Lo. G. S]]*2+DataTable[[#This Row],[Successful Hi. G. S.]]*10)</f>
        <v>N/A</v>
      </c>
      <c r="H8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4" s="11" t="str">
        <f>IF(DataTable[[#This Row],[Lo. B. Successful Xings.]]="","N/A",SUM(ProcessedData[[#This Row],[Lo. B. Ti.]],DataTable[[#This Row],[Lo. B. Successful Xings.]]+1))</f>
        <v>N/A</v>
      </c>
      <c r="Z8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5" spans="1:26" x14ac:dyDescent="0.2">
      <c r="A865" t="str">
        <f>IF(DataTable[[#This Row],[Tm.]]="","N/A",DataTable[[#This Row],[Tm.]])</f>
        <v>N/A</v>
      </c>
      <c r="B865" t="str">
        <f>IF(DataTable[[#This Row],[Match Nr.]]="","N/A",DataTable[[#This Row],[Match Nr.]])</f>
        <v>N/A</v>
      </c>
      <c r="C8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5" t="str">
        <f>IF(AND(DataTable[[#This Row],[Successful Lo. G. S]]="",DataTable[[#This Row],[Successful Hi. G. S.]]=""),"N/A",DataTable[[#This Row],[Successful Lo. G. S]]*2+DataTable[[#This Row],[Successful Hi. G. S.]]*10)</f>
        <v>N/A</v>
      </c>
      <c r="H8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5" s="11" t="str">
        <f>IF(DataTable[[#This Row],[Lo. B. Successful Xings.]]="","N/A",SUM(ProcessedData[[#This Row],[Lo. B. Ti.]],DataTable[[#This Row],[Lo. B. Successful Xings.]]+1))</f>
        <v>N/A</v>
      </c>
      <c r="Z8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6" spans="1:26" x14ac:dyDescent="0.2">
      <c r="A866" t="str">
        <f>IF(DataTable[[#This Row],[Tm.]]="","N/A",DataTable[[#This Row],[Tm.]])</f>
        <v>N/A</v>
      </c>
      <c r="B866" t="str">
        <f>IF(DataTable[[#This Row],[Match Nr.]]="","N/A",DataTable[[#This Row],[Match Nr.]])</f>
        <v>N/A</v>
      </c>
      <c r="C8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6" t="str">
        <f>IF(AND(DataTable[[#This Row],[Successful Lo. G. S]]="",DataTable[[#This Row],[Successful Hi. G. S.]]=""),"N/A",DataTable[[#This Row],[Successful Lo. G. S]]*2+DataTable[[#This Row],[Successful Hi. G. S.]]*10)</f>
        <v>N/A</v>
      </c>
      <c r="H8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6" s="11" t="str">
        <f>IF(DataTable[[#This Row],[Lo. B. Successful Xings.]]="","N/A",SUM(ProcessedData[[#This Row],[Lo. B. Ti.]],DataTable[[#This Row],[Lo. B. Successful Xings.]]+1))</f>
        <v>N/A</v>
      </c>
      <c r="Z8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7" spans="1:26" x14ac:dyDescent="0.2">
      <c r="A867" t="str">
        <f>IF(DataTable[[#This Row],[Tm.]]="","N/A",DataTable[[#This Row],[Tm.]])</f>
        <v>N/A</v>
      </c>
      <c r="B867" t="str">
        <f>IF(DataTable[[#This Row],[Match Nr.]]="","N/A",DataTable[[#This Row],[Match Nr.]])</f>
        <v>N/A</v>
      </c>
      <c r="C8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7" t="str">
        <f>IF(AND(DataTable[[#This Row],[Successful Lo. G. S]]="",DataTable[[#This Row],[Successful Hi. G. S.]]=""),"N/A",DataTable[[#This Row],[Successful Lo. G. S]]*2+DataTable[[#This Row],[Successful Hi. G. S.]]*10)</f>
        <v>N/A</v>
      </c>
      <c r="H8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7" s="11" t="str">
        <f>IF(DataTable[[#This Row],[Lo. B. Successful Xings.]]="","N/A",SUM(ProcessedData[[#This Row],[Lo. B. Ti.]],DataTable[[#This Row],[Lo. B. Successful Xings.]]+1))</f>
        <v>N/A</v>
      </c>
      <c r="Z8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8" spans="1:26" x14ac:dyDescent="0.2">
      <c r="A868" t="str">
        <f>IF(DataTable[[#This Row],[Tm.]]="","N/A",DataTable[[#This Row],[Tm.]])</f>
        <v>N/A</v>
      </c>
      <c r="B868" t="str">
        <f>IF(DataTable[[#This Row],[Match Nr.]]="","N/A",DataTable[[#This Row],[Match Nr.]])</f>
        <v>N/A</v>
      </c>
      <c r="C8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8" t="str">
        <f>IF(AND(DataTable[[#This Row],[Successful Lo. G. S]]="",DataTable[[#This Row],[Successful Hi. G. S.]]=""),"N/A",DataTable[[#This Row],[Successful Lo. G. S]]*2+DataTable[[#This Row],[Successful Hi. G. S.]]*10)</f>
        <v>N/A</v>
      </c>
      <c r="H8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8" s="11" t="str">
        <f>IF(DataTable[[#This Row],[Lo. B. Successful Xings.]]="","N/A",SUM(ProcessedData[[#This Row],[Lo. B. Ti.]],DataTable[[#This Row],[Lo. B. Successful Xings.]]+1))</f>
        <v>N/A</v>
      </c>
      <c r="Z8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69" spans="1:26" x14ac:dyDescent="0.2">
      <c r="A869" t="str">
        <f>IF(DataTable[[#This Row],[Tm.]]="","N/A",DataTable[[#This Row],[Tm.]])</f>
        <v>N/A</v>
      </c>
      <c r="B869" t="str">
        <f>IF(DataTable[[#This Row],[Match Nr.]]="","N/A",DataTable[[#This Row],[Match Nr.]])</f>
        <v>N/A</v>
      </c>
      <c r="C8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69" t="str">
        <f>IF(AND(DataTable[[#This Row],[Successful Lo. G. S]]="",DataTable[[#This Row],[Successful Hi. G. S.]]=""),"N/A",DataTable[[#This Row],[Successful Lo. G. S]]*2+DataTable[[#This Row],[Successful Hi. G. S.]]*10)</f>
        <v>N/A</v>
      </c>
      <c r="H8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69" s="11" t="str">
        <f>IF(DataTable[[#This Row],[Lo. B. Successful Xings.]]="","N/A",SUM(ProcessedData[[#This Row],[Lo. B. Ti.]],DataTable[[#This Row],[Lo. B. Successful Xings.]]+1))</f>
        <v>N/A</v>
      </c>
      <c r="Z8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0" spans="1:26" x14ac:dyDescent="0.2">
      <c r="A870" t="str">
        <f>IF(DataTable[[#This Row],[Tm.]]="","N/A",DataTable[[#This Row],[Tm.]])</f>
        <v>N/A</v>
      </c>
      <c r="B870" t="str">
        <f>IF(DataTable[[#This Row],[Match Nr.]]="","N/A",DataTable[[#This Row],[Match Nr.]])</f>
        <v>N/A</v>
      </c>
      <c r="C8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0" t="str">
        <f>IF(AND(DataTable[[#This Row],[Successful Lo. G. S]]="",DataTable[[#This Row],[Successful Hi. G. S.]]=""),"N/A",DataTable[[#This Row],[Successful Lo. G. S]]*2+DataTable[[#This Row],[Successful Hi. G. S.]]*10)</f>
        <v>N/A</v>
      </c>
      <c r="H8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0" s="11" t="str">
        <f>IF(DataTable[[#This Row],[Lo. B. Successful Xings.]]="","N/A",SUM(ProcessedData[[#This Row],[Lo. B. Ti.]],DataTable[[#This Row],[Lo. B. Successful Xings.]]+1))</f>
        <v>N/A</v>
      </c>
      <c r="Z8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1" spans="1:26" x14ac:dyDescent="0.2">
      <c r="A871" t="str">
        <f>IF(DataTable[[#This Row],[Tm.]]="","N/A",DataTable[[#This Row],[Tm.]])</f>
        <v>N/A</v>
      </c>
      <c r="B871" t="str">
        <f>IF(DataTable[[#This Row],[Match Nr.]]="","N/A",DataTable[[#This Row],[Match Nr.]])</f>
        <v>N/A</v>
      </c>
      <c r="C8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1" t="str">
        <f>IF(AND(DataTable[[#This Row],[Successful Lo. G. S]]="",DataTable[[#This Row],[Successful Hi. G. S.]]=""),"N/A",DataTable[[#This Row],[Successful Lo. G. S]]*2+DataTable[[#This Row],[Successful Hi. G. S.]]*10)</f>
        <v>N/A</v>
      </c>
      <c r="H8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1" s="11" t="str">
        <f>IF(DataTable[[#This Row],[Lo. B. Successful Xings.]]="","N/A",SUM(ProcessedData[[#This Row],[Lo. B. Ti.]],DataTable[[#This Row],[Lo. B. Successful Xings.]]+1))</f>
        <v>N/A</v>
      </c>
      <c r="Z8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2" spans="1:26" x14ac:dyDescent="0.2">
      <c r="A872" t="str">
        <f>IF(DataTable[[#This Row],[Tm.]]="","N/A",DataTable[[#This Row],[Tm.]])</f>
        <v>N/A</v>
      </c>
      <c r="B872" t="str">
        <f>IF(DataTable[[#This Row],[Match Nr.]]="","N/A",DataTable[[#This Row],[Match Nr.]])</f>
        <v>N/A</v>
      </c>
      <c r="C8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2" t="str">
        <f>IF(AND(DataTable[[#This Row],[Successful Lo. G. S]]="",DataTable[[#This Row],[Successful Hi. G. S.]]=""),"N/A",DataTable[[#This Row],[Successful Lo. G. S]]*2+DataTable[[#This Row],[Successful Hi. G. S.]]*10)</f>
        <v>N/A</v>
      </c>
      <c r="H8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2" s="11" t="str">
        <f>IF(DataTable[[#This Row],[Lo. B. Successful Xings.]]="","N/A",SUM(ProcessedData[[#This Row],[Lo. B. Ti.]],DataTable[[#This Row],[Lo. B. Successful Xings.]]+1))</f>
        <v>N/A</v>
      </c>
      <c r="Z8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3" spans="1:26" x14ac:dyDescent="0.2">
      <c r="A873" t="str">
        <f>IF(DataTable[[#This Row],[Tm.]]="","N/A",DataTable[[#This Row],[Tm.]])</f>
        <v>N/A</v>
      </c>
      <c r="B873" t="str">
        <f>IF(DataTable[[#This Row],[Match Nr.]]="","N/A",DataTable[[#This Row],[Match Nr.]])</f>
        <v>N/A</v>
      </c>
      <c r="C8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3" t="str">
        <f>IF(AND(DataTable[[#This Row],[Successful Lo. G. S]]="",DataTable[[#This Row],[Successful Hi. G. S.]]=""),"N/A",DataTable[[#This Row],[Successful Lo. G. S]]*2+DataTable[[#This Row],[Successful Hi. G. S.]]*10)</f>
        <v>N/A</v>
      </c>
      <c r="H8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3" s="11" t="str">
        <f>IF(DataTable[[#This Row],[Lo. B. Successful Xings.]]="","N/A",SUM(ProcessedData[[#This Row],[Lo. B. Ti.]],DataTable[[#This Row],[Lo. B. Successful Xings.]]+1))</f>
        <v>N/A</v>
      </c>
      <c r="Z8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4" spans="1:26" x14ac:dyDescent="0.2">
      <c r="A874" t="str">
        <f>IF(DataTable[[#This Row],[Tm.]]="","N/A",DataTable[[#This Row],[Tm.]])</f>
        <v>N/A</v>
      </c>
      <c r="B874" t="str">
        <f>IF(DataTable[[#This Row],[Match Nr.]]="","N/A",DataTable[[#This Row],[Match Nr.]])</f>
        <v>N/A</v>
      </c>
      <c r="C8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4" t="str">
        <f>IF(AND(DataTable[[#This Row],[Successful Lo. G. S]]="",DataTable[[#This Row],[Successful Hi. G. S.]]=""),"N/A",DataTable[[#This Row],[Successful Lo. G. S]]*2+DataTable[[#This Row],[Successful Hi. G. S.]]*10)</f>
        <v>N/A</v>
      </c>
      <c r="H8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4" s="11" t="str">
        <f>IF(DataTable[[#This Row],[Lo. B. Successful Xings.]]="","N/A",SUM(ProcessedData[[#This Row],[Lo. B. Ti.]],DataTable[[#This Row],[Lo. B. Successful Xings.]]+1))</f>
        <v>N/A</v>
      </c>
      <c r="Z8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5" spans="1:26" x14ac:dyDescent="0.2">
      <c r="A875" t="str">
        <f>IF(DataTable[[#This Row],[Tm.]]="","N/A",DataTable[[#This Row],[Tm.]])</f>
        <v>N/A</v>
      </c>
      <c r="B875" t="str">
        <f>IF(DataTable[[#This Row],[Match Nr.]]="","N/A",DataTable[[#This Row],[Match Nr.]])</f>
        <v>N/A</v>
      </c>
      <c r="C8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5" t="str">
        <f>IF(AND(DataTable[[#This Row],[Successful Lo. G. S]]="",DataTable[[#This Row],[Successful Hi. G. S.]]=""),"N/A",DataTable[[#This Row],[Successful Lo. G. S]]*2+DataTable[[#This Row],[Successful Hi. G. S.]]*10)</f>
        <v>N/A</v>
      </c>
      <c r="H8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5" s="11" t="str">
        <f>IF(DataTable[[#This Row],[Lo. B. Successful Xings.]]="","N/A",SUM(ProcessedData[[#This Row],[Lo. B. Ti.]],DataTable[[#This Row],[Lo. B. Successful Xings.]]+1))</f>
        <v>N/A</v>
      </c>
      <c r="Z8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6" spans="1:26" x14ac:dyDescent="0.2">
      <c r="A876" t="str">
        <f>IF(DataTable[[#This Row],[Tm.]]="","N/A",DataTable[[#This Row],[Tm.]])</f>
        <v>N/A</v>
      </c>
      <c r="B876" t="str">
        <f>IF(DataTable[[#This Row],[Match Nr.]]="","N/A",DataTable[[#This Row],[Match Nr.]])</f>
        <v>N/A</v>
      </c>
      <c r="C8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6" t="str">
        <f>IF(AND(DataTable[[#This Row],[Successful Lo. G. S]]="",DataTable[[#This Row],[Successful Hi. G. S.]]=""),"N/A",DataTable[[#This Row],[Successful Lo. G. S]]*2+DataTable[[#This Row],[Successful Hi. G. S.]]*10)</f>
        <v>N/A</v>
      </c>
      <c r="H8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6" s="11" t="str">
        <f>IF(DataTable[[#This Row],[Lo. B. Successful Xings.]]="","N/A",SUM(ProcessedData[[#This Row],[Lo. B. Ti.]],DataTable[[#This Row],[Lo. B. Successful Xings.]]+1))</f>
        <v>N/A</v>
      </c>
      <c r="Z8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7" spans="1:26" x14ac:dyDescent="0.2">
      <c r="A877" t="str">
        <f>IF(DataTable[[#This Row],[Tm.]]="","N/A",DataTable[[#This Row],[Tm.]])</f>
        <v>N/A</v>
      </c>
      <c r="B877" t="str">
        <f>IF(DataTable[[#This Row],[Match Nr.]]="","N/A",DataTable[[#This Row],[Match Nr.]])</f>
        <v>N/A</v>
      </c>
      <c r="C8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7" t="str">
        <f>IF(AND(DataTable[[#This Row],[Successful Lo. G. S]]="",DataTable[[#This Row],[Successful Hi. G. S.]]=""),"N/A",DataTable[[#This Row],[Successful Lo. G. S]]*2+DataTable[[#This Row],[Successful Hi. G. S.]]*10)</f>
        <v>N/A</v>
      </c>
      <c r="H8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7" s="11" t="str">
        <f>IF(DataTable[[#This Row],[Lo. B. Successful Xings.]]="","N/A",SUM(ProcessedData[[#This Row],[Lo. B. Ti.]],DataTable[[#This Row],[Lo. B. Successful Xings.]]+1))</f>
        <v>N/A</v>
      </c>
      <c r="Z8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8" spans="1:26" x14ac:dyDescent="0.2">
      <c r="A878" t="str">
        <f>IF(DataTable[[#This Row],[Tm.]]="","N/A",DataTable[[#This Row],[Tm.]])</f>
        <v>N/A</v>
      </c>
      <c r="B878" t="str">
        <f>IF(DataTable[[#This Row],[Match Nr.]]="","N/A",DataTable[[#This Row],[Match Nr.]])</f>
        <v>N/A</v>
      </c>
      <c r="C8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8" t="str">
        <f>IF(AND(DataTable[[#This Row],[Successful Lo. G. S]]="",DataTable[[#This Row],[Successful Hi. G. S.]]=""),"N/A",DataTable[[#This Row],[Successful Lo. G. S]]*2+DataTable[[#This Row],[Successful Hi. G. S.]]*10)</f>
        <v>N/A</v>
      </c>
      <c r="H8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8" s="11" t="str">
        <f>IF(DataTable[[#This Row],[Lo. B. Successful Xings.]]="","N/A",SUM(ProcessedData[[#This Row],[Lo. B. Ti.]],DataTable[[#This Row],[Lo. B. Successful Xings.]]+1))</f>
        <v>N/A</v>
      </c>
      <c r="Z8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79" spans="1:26" x14ac:dyDescent="0.2">
      <c r="A879" t="str">
        <f>IF(DataTable[[#This Row],[Tm.]]="","N/A",DataTable[[#This Row],[Tm.]])</f>
        <v>N/A</v>
      </c>
      <c r="B879" t="str">
        <f>IF(DataTable[[#This Row],[Match Nr.]]="","N/A",DataTable[[#This Row],[Match Nr.]])</f>
        <v>N/A</v>
      </c>
      <c r="C8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79" t="str">
        <f>IF(AND(DataTable[[#This Row],[Successful Lo. G. S]]="",DataTable[[#This Row],[Successful Hi. G. S.]]=""),"N/A",DataTable[[#This Row],[Successful Lo. G. S]]*2+DataTable[[#This Row],[Successful Hi. G. S.]]*10)</f>
        <v>N/A</v>
      </c>
      <c r="H8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79" s="11" t="str">
        <f>IF(DataTable[[#This Row],[Lo. B. Successful Xings.]]="","N/A",SUM(ProcessedData[[#This Row],[Lo. B. Ti.]],DataTable[[#This Row],[Lo. B. Successful Xings.]]+1))</f>
        <v>N/A</v>
      </c>
      <c r="Z8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0" spans="1:26" x14ac:dyDescent="0.2">
      <c r="A880" t="str">
        <f>IF(DataTable[[#This Row],[Tm.]]="","N/A",DataTable[[#This Row],[Tm.]])</f>
        <v>N/A</v>
      </c>
      <c r="B880" t="str">
        <f>IF(DataTable[[#This Row],[Match Nr.]]="","N/A",DataTable[[#This Row],[Match Nr.]])</f>
        <v>N/A</v>
      </c>
      <c r="C8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0" t="str">
        <f>IF(AND(DataTable[[#This Row],[Successful Lo. G. S]]="",DataTable[[#This Row],[Successful Hi. G. S.]]=""),"N/A",DataTable[[#This Row],[Successful Lo. G. S]]*2+DataTable[[#This Row],[Successful Hi. G. S.]]*10)</f>
        <v>N/A</v>
      </c>
      <c r="H8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0" s="11" t="str">
        <f>IF(DataTable[[#This Row],[Lo. B. Successful Xings.]]="","N/A",SUM(ProcessedData[[#This Row],[Lo. B. Ti.]],DataTable[[#This Row],[Lo. B. Successful Xings.]]+1))</f>
        <v>N/A</v>
      </c>
      <c r="Z8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1" spans="1:26" x14ac:dyDescent="0.2">
      <c r="A881" t="str">
        <f>IF(DataTable[[#This Row],[Tm.]]="","N/A",DataTable[[#This Row],[Tm.]])</f>
        <v>N/A</v>
      </c>
      <c r="B881" t="str">
        <f>IF(DataTable[[#This Row],[Match Nr.]]="","N/A",DataTable[[#This Row],[Match Nr.]])</f>
        <v>N/A</v>
      </c>
      <c r="C8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1" t="str">
        <f>IF(AND(DataTable[[#This Row],[Successful Lo. G. S]]="",DataTable[[#This Row],[Successful Hi. G. S.]]=""),"N/A",DataTable[[#This Row],[Successful Lo. G. S]]*2+DataTable[[#This Row],[Successful Hi. G. S.]]*10)</f>
        <v>N/A</v>
      </c>
      <c r="H8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1" s="11" t="str">
        <f>IF(DataTable[[#This Row],[Lo. B. Successful Xings.]]="","N/A",SUM(ProcessedData[[#This Row],[Lo. B. Ti.]],DataTable[[#This Row],[Lo. B. Successful Xings.]]+1))</f>
        <v>N/A</v>
      </c>
      <c r="Z8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2" spans="1:26" x14ac:dyDescent="0.2">
      <c r="A882" t="str">
        <f>IF(DataTable[[#This Row],[Tm.]]="","N/A",DataTable[[#This Row],[Tm.]])</f>
        <v>N/A</v>
      </c>
      <c r="B882" t="str">
        <f>IF(DataTable[[#This Row],[Match Nr.]]="","N/A",DataTable[[#This Row],[Match Nr.]])</f>
        <v>N/A</v>
      </c>
      <c r="C8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2" t="str">
        <f>IF(AND(DataTable[[#This Row],[Successful Lo. G. S]]="",DataTable[[#This Row],[Successful Hi. G. S.]]=""),"N/A",DataTable[[#This Row],[Successful Lo. G. S]]*2+DataTable[[#This Row],[Successful Hi. G. S.]]*10)</f>
        <v>N/A</v>
      </c>
      <c r="H8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2" s="11" t="str">
        <f>IF(DataTable[[#This Row],[Lo. B. Successful Xings.]]="","N/A",SUM(ProcessedData[[#This Row],[Lo. B. Ti.]],DataTable[[#This Row],[Lo. B. Successful Xings.]]+1))</f>
        <v>N/A</v>
      </c>
      <c r="Z8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3" spans="1:26" x14ac:dyDescent="0.2">
      <c r="A883" t="str">
        <f>IF(DataTable[[#This Row],[Tm.]]="","N/A",DataTable[[#This Row],[Tm.]])</f>
        <v>N/A</v>
      </c>
      <c r="B883" t="str">
        <f>IF(DataTable[[#This Row],[Match Nr.]]="","N/A",DataTable[[#This Row],[Match Nr.]])</f>
        <v>N/A</v>
      </c>
      <c r="C8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3" t="str">
        <f>IF(AND(DataTable[[#This Row],[Successful Lo. G. S]]="",DataTable[[#This Row],[Successful Hi. G. S.]]=""),"N/A",DataTable[[#This Row],[Successful Lo. G. S]]*2+DataTable[[#This Row],[Successful Hi. G. S.]]*10)</f>
        <v>N/A</v>
      </c>
      <c r="H8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3" s="11" t="str">
        <f>IF(DataTable[[#This Row],[Lo. B. Successful Xings.]]="","N/A",SUM(ProcessedData[[#This Row],[Lo. B. Ti.]],DataTable[[#This Row],[Lo. B. Successful Xings.]]+1))</f>
        <v>N/A</v>
      </c>
      <c r="Z8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4" spans="1:26" x14ac:dyDescent="0.2">
      <c r="A884" t="str">
        <f>IF(DataTable[[#This Row],[Tm.]]="","N/A",DataTable[[#This Row],[Tm.]])</f>
        <v>N/A</v>
      </c>
      <c r="B884" t="str">
        <f>IF(DataTable[[#This Row],[Match Nr.]]="","N/A",DataTable[[#This Row],[Match Nr.]])</f>
        <v>N/A</v>
      </c>
      <c r="C8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4" t="str">
        <f>IF(AND(DataTable[[#This Row],[Successful Lo. G. S]]="",DataTable[[#This Row],[Successful Hi. G. S.]]=""),"N/A",DataTable[[#This Row],[Successful Lo. G. S]]*2+DataTable[[#This Row],[Successful Hi. G. S.]]*10)</f>
        <v>N/A</v>
      </c>
      <c r="H8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4" s="11" t="str">
        <f>IF(DataTable[[#This Row],[Lo. B. Successful Xings.]]="","N/A",SUM(ProcessedData[[#This Row],[Lo. B. Ti.]],DataTable[[#This Row],[Lo. B. Successful Xings.]]+1))</f>
        <v>N/A</v>
      </c>
      <c r="Z8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5" spans="1:26" x14ac:dyDescent="0.2">
      <c r="A885" t="str">
        <f>IF(DataTable[[#This Row],[Tm.]]="","N/A",DataTable[[#This Row],[Tm.]])</f>
        <v>N/A</v>
      </c>
      <c r="B885" t="str">
        <f>IF(DataTable[[#This Row],[Match Nr.]]="","N/A",DataTable[[#This Row],[Match Nr.]])</f>
        <v>N/A</v>
      </c>
      <c r="C8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5" t="str">
        <f>IF(AND(DataTable[[#This Row],[Successful Lo. G. S]]="",DataTable[[#This Row],[Successful Hi. G. S.]]=""),"N/A",DataTable[[#This Row],[Successful Lo. G. S]]*2+DataTable[[#This Row],[Successful Hi. G. S.]]*10)</f>
        <v>N/A</v>
      </c>
      <c r="H8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5" s="11" t="str">
        <f>IF(DataTable[[#This Row],[Lo. B. Successful Xings.]]="","N/A",SUM(ProcessedData[[#This Row],[Lo. B. Ti.]],DataTable[[#This Row],[Lo. B. Successful Xings.]]+1))</f>
        <v>N/A</v>
      </c>
      <c r="Z8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6" spans="1:26" x14ac:dyDescent="0.2">
      <c r="A886" t="str">
        <f>IF(DataTable[[#This Row],[Tm.]]="","N/A",DataTable[[#This Row],[Tm.]])</f>
        <v>N/A</v>
      </c>
      <c r="B886" t="str">
        <f>IF(DataTable[[#This Row],[Match Nr.]]="","N/A",DataTable[[#This Row],[Match Nr.]])</f>
        <v>N/A</v>
      </c>
      <c r="C8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6" t="str">
        <f>IF(AND(DataTable[[#This Row],[Successful Lo. G. S]]="",DataTable[[#This Row],[Successful Hi. G. S.]]=""),"N/A",DataTable[[#This Row],[Successful Lo. G. S]]*2+DataTable[[#This Row],[Successful Hi. G. S.]]*10)</f>
        <v>N/A</v>
      </c>
      <c r="H8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6" s="11" t="str">
        <f>IF(DataTable[[#This Row],[Lo. B. Successful Xings.]]="","N/A",SUM(ProcessedData[[#This Row],[Lo. B. Ti.]],DataTable[[#This Row],[Lo. B. Successful Xings.]]+1))</f>
        <v>N/A</v>
      </c>
      <c r="Z8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7" spans="1:26" x14ac:dyDescent="0.2">
      <c r="A887" t="str">
        <f>IF(DataTable[[#This Row],[Tm.]]="","N/A",DataTable[[#This Row],[Tm.]])</f>
        <v>N/A</v>
      </c>
      <c r="B887" t="str">
        <f>IF(DataTable[[#This Row],[Match Nr.]]="","N/A",DataTable[[#This Row],[Match Nr.]])</f>
        <v>N/A</v>
      </c>
      <c r="C8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7" t="str">
        <f>IF(AND(DataTable[[#This Row],[Successful Lo. G. S]]="",DataTable[[#This Row],[Successful Hi. G. S.]]=""),"N/A",DataTable[[#This Row],[Successful Lo. G. S]]*2+DataTable[[#This Row],[Successful Hi. G. S.]]*10)</f>
        <v>N/A</v>
      </c>
      <c r="H8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7" s="11" t="str">
        <f>IF(DataTable[[#This Row],[Lo. B. Successful Xings.]]="","N/A",SUM(ProcessedData[[#This Row],[Lo. B. Ti.]],DataTable[[#This Row],[Lo. B. Successful Xings.]]+1))</f>
        <v>N/A</v>
      </c>
      <c r="Z8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8" spans="1:26" x14ac:dyDescent="0.2">
      <c r="A888" t="str">
        <f>IF(DataTable[[#This Row],[Tm.]]="","N/A",DataTable[[#This Row],[Tm.]])</f>
        <v>N/A</v>
      </c>
      <c r="B888" t="str">
        <f>IF(DataTable[[#This Row],[Match Nr.]]="","N/A",DataTable[[#This Row],[Match Nr.]])</f>
        <v>N/A</v>
      </c>
      <c r="C8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8" t="str">
        <f>IF(AND(DataTable[[#This Row],[Successful Lo. G. S]]="",DataTable[[#This Row],[Successful Hi. G. S.]]=""),"N/A",DataTable[[#This Row],[Successful Lo. G. S]]*2+DataTable[[#This Row],[Successful Hi. G. S.]]*10)</f>
        <v>N/A</v>
      </c>
      <c r="H8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8" s="11" t="str">
        <f>IF(DataTable[[#This Row],[Lo. B. Successful Xings.]]="","N/A",SUM(ProcessedData[[#This Row],[Lo. B. Ti.]],DataTable[[#This Row],[Lo. B. Successful Xings.]]+1))</f>
        <v>N/A</v>
      </c>
      <c r="Z8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89" spans="1:26" x14ac:dyDescent="0.2">
      <c r="A889" t="str">
        <f>IF(DataTable[[#This Row],[Tm.]]="","N/A",DataTable[[#This Row],[Tm.]])</f>
        <v>N/A</v>
      </c>
      <c r="B889" t="str">
        <f>IF(DataTable[[#This Row],[Match Nr.]]="","N/A",DataTable[[#This Row],[Match Nr.]])</f>
        <v>N/A</v>
      </c>
      <c r="C8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89" t="str">
        <f>IF(AND(DataTable[[#This Row],[Successful Lo. G. S]]="",DataTable[[#This Row],[Successful Hi. G. S.]]=""),"N/A",DataTable[[#This Row],[Successful Lo. G. S]]*2+DataTable[[#This Row],[Successful Hi. G. S.]]*10)</f>
        <v>N/A</v>
      </c>
      <c r="H8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89" s="11" t="str">
        <f>IF(DataTable[[#This Row],[Lo. B. Successful Xings.]]="","N/A",SUM(ProcessedData[[#This Row],[Lo. B. Ti.]],DataTable[[#This Row],[Lo. B. Successful Xings.]]+1))</f>
        <v>N/A</v>
      </c>
      <c r="Z8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0" spans="1:26" x14ac:dyDescent="0.2">
      <c r="A890" t="str">
        <f>IF(DataTable[[#This Row],[Tm.]]="","N/A",DataTable[[#This Row],[Tm.]])</f>
        <v>N/A</v>
      </c>
      <c r="B890" t="str">
        <f>IF(DataTable[[#This Row],[Match Nr.]]="","N/A",DataTable[[#This Row],[Match Nr.]])</f>
        <v>N/A</v>
      </c>
      <c r="C8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0" t="str">
        <f>IF(AND(DataTable[[#This Row],[Successful Lo. G. S]]="",DataTable[[#This Row],[Successful Hi. G. S.]]=""),"N/A",DataTable[[#This Row],[Successful Lo. G. S]]*2+DataTable[[#This Row],[Successful Hi. G. S.]]*10)</f>
        <v>N/A</v>
      </c>
      <c r="H8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0" s="11" t="str">
        <f>IF(DataTable[[#This Row],[Lo. B. Successful Xings.]]="","N/A",SUM(ProcessedData[[#This Row],[Lo. B. Ti.]],DataTable[[#This Row],[Lo. B. Successful Xings.]]+1))</f>
        <v>N/A</v>
      </c>
      <c r="Z8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1" spans="1:26" x14ac:dyDescent="0.2">
      <c r="A891" t="str">
        <f>IF(DataTable[[#This Row],[Tm.]]="","N/A",DataTable[[#This Row],[Tm.]])</f>
        <v>N/A</v>
      </c>
      <c r="B891" t="str">
        <f>IF(DataTable[[#This Row],[Match Nr.]]="","N/A",DataTable[[#This Row],[Match Nr.]])</f>
        <v>N/A</v>
      </c>
      <c r="C8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1" t="str">
        <f>IF(AND(DataTable[[#This Row],[Successful Lo. G. S]]="",DataTable[[#This Row],[Successful Hi. G. S.]]=""),"N/A",DataTable[[#This Row],[Successful Lo. G. S]]*2+DataTable[[#This Row],[Successful Hi. G. S.]]*10)</f>
        <v>N/A</v>
      </c>
      <c r="H8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1" s="11" t="str">
        <f>IF(DataTable[[#This Row],[Lo. B. Successful Xings.]]="","N/A",SUM(ProcessedData[[#This Row],[Lo. B. Ti.]],DataTable[[#This Row],[Lo. B. Successful Xings.]]+1))</f>
        <v>N/A</v>
      </c>
      <c r="Z8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2" spans="1:26" x14ac:dyDescent="0.2">
      <c r="A892" t="str">
        <f>IF(DataTable[[#This Row],[Tm.]]="","N/A",DataTable[[#This Row],[Tm.]])</f>
        <v>N/A</v>
      </c>
      <c r="B892" t="str">
        <f>IF(DataTable[[#This Row],[Match Nr.]]="","N/A",DataTable[[#This Row],[Match Nr.]])</f>
        <v>N/A</v>
      </c>
      <c r="C8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2" t="str">
        <f>IF(AND(DataTable[[#This Row],[Successful Lo. G. S]]="",DataTable[[#This Row],[Successful Hi. G. S.]]=""),"N/A",DataTable[[#This Row],[Successful Lo. G. S]]*2+DataTable[[#This Row],[Successful Hi. G. S.]]*10)</f>
        <v>N/A</v>
      </c>
      <c r="H8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2" s="11" t="str">
        <f>IF(DataTable[[#This Row],[Lo. B. Successful Xings.]]="","N/A",SUM(ProcessedData[[#This Row],[Lo. B. Ti.]],DataTable[[#This Row],[Lo. B. Successful Xings.]]+1))</f>
        <v>N/A</v>
      </c>
      <c r="Z8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3" spans="1:26" x14ac:dyDescent="0.2">
      <c r="A893" t="str">
        <f>IF(DataTable[[#This Row],[Tm.]]="","N/A",DataTable[[#This Row],[Tm.]])</f>
        <v>N/A</v>
      </c>
      <c r="B893" t="str">
        <f>IF(DataTable[[#This Row],[Match Nr.]]="","N/A",DataTable[[#This Row],[Match Nr.]])</f>
        <v>N/A</v>
      </c>
      <c r="C8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3" t="str">
        <f>IF(AND(DataTable[[#This Row],[Successful Lo. G. S]]="",DataTable[[#This Row],[Successful Hi. G. S.]]=""),"N/A",DataTable[[#This Row],[Successful Lo. G. S]]*2+DataTable[[#This Row],[Successful Hi. G. S.]]*10)</f>
        <v>N/A</v>
      </c>
      <c r="H8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3" s="11" t="str">
        <f>IF(DataTable[[#This Row],[Lo. B. Successful Xings.]]="","N/A",SUM(ProcessedData[[#This Row],[Lo. B. Ti.]],DataTable[[#This Row],[Lo. B. Successful Xings.]]+1))</f>
        <v>N/A</v>
      </c>
      <c r="Z8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4" spans="1:26" x14ac:dyDescent="0.2">
      <c r="A894" t="str">
        <f>IF(DataTable[[#This Row],[Tm.]]="","N/A",DataTable[[#This Row],[Tm.]])</f>
        <v>N/A</v>
      </c>
      <c r="B894" t="str">
        <f>IF(DataTable[[#This Row],[Match Nr.]]="","N/A",DataTable[[#This Row],[Match Nr.]])</f>
        <v>N/A</v>
      </c>
      <c r="C8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4" t="str">
        <f>IF(AND(DataTable[[#This Row],[Successful Lo. G. S]]="",DataTable[[#This Row],[Successful Hi. G. S.]]=""),"N/A",DataTable[[#This Row],[Successful Lo. G. S]]*2+DataTable[[#This Row],[Successful Hi. G. S.]]*10)</f>
        <v>N/A</v>
      </c>
      <c r="H8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4" s="11" t="str">
        <f>IF(DataTable[[#This Row],[Lo. B. Successful Xings.]]="","N/A",SUM(ProcessedData[[#This Row],[Lo. B. Ti.]],DataTable[[#This Row],[Lo. B. Successful Xings.]]+1))</f>
        <v>N/A</v>
      </c>
      <c r="Z8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5" spans="1:26" x14ac:dyDescent="0.2">
      <c r="A895" t="str">
        <f>IF(DataTable[[#This Row],[Tm.]]="","N/A",DataTable[[#This Row],[Tm.]])</f>
        <v>N/A</v>
      </c>
      <c r="B895" t="str">
        <f>IF(DataTable[[#This Row],[Match Nr.]]="","N/A",DataTable[[#This Row],[Match Nr.]])</f>
        <v>N/A</v>
      </c>
      <c r="C8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5" t="str">
        <f>IF(AND(DataTable[[#This Row],[Successful Lo. G. S]]="",DataTable[[#This Row],[Successful Hi. G. S.]]=""),"N/A",DataTable[[#This Row],[Successful Lo. G. S]]*2+DataTable[[#This Row],[Successful Hi. G. S.]]*10)</f>
        <v>N/A</v>
      </c>
      <c r="H8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5" s="11" t="str">
        <f>IF(DataTable[[#This Row],[Lo. B. Successful Xings.]]="","N/A",SUM(ProcessedData[[#This Row],[Lo. B. Ti.]],DataTable[[#This Row],[Lo. B. Successful Xings.]]+1))</f>
        <v>N/A</v>
      </c>
      <c r="Z8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6" spans="1:26" x14ac:dyDescent="0.2">
      <c r="A896" t="str">
        <f>IF(DataTable[[#This Row],[Tm.]]="","N/A",DataTable[[#This Row],[Tm.]])</f>
        <v>N/A</v>
      </c>
      <c r="B896" t="str">
        <f>IF(DataTable[[#This Row],[Match Nr.]]="","N/A",DataTable[[#This Row],[Match Nr.]])</f>
        <v>N/A</v>
      </c>
      <c r="C8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6" t="str">
        <f>IF(AND(DataTable[[#This Row],[Successful Lo. G. S]]="",DataTable[[#This Row],[Successful Hi. G. S.]]=""),"N/A",DataTable[[#This Row],[Successful Lo. G. S]]*2+DataTable[[#This Row],[Successful Hi. G. S.]]*10)</f>
        <v>N/A</v>
      </c>
      <c r="H8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6" s="11" t="str">
        <f>IF(DataTable[[#This Row],[Lo. B. Successful Xings.]]="","N/A",SUM(ProcessedData[[#This Row],[Lo. B. Ti.]],DataTable[[#This Row],[Lo. B. Successful Xings.]]+1))</f>
        <v>N/A</v>
      </c>
      <c r="Z8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7" spans="1:26" x14ac:dyDescent="0.2">
      <c r="A897" t="str">
        <f>IF(DataTable[[#This Row],[Tm.]]="","N/A",DataTable[[#This Row],[Tm.]])</f>
        <v>N/A</v>
      </c>
      <c r="B897" t="str">
        <f>IF(DataTable[[#This Row],[Match Nr.]]="","N/A",DataTable[[#This Row],[Match Nr.]])</f>
        <v>N/A</v>
      </c>
      <c r="C8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7" t="str">
        <f>IF(AND(DataTable[[#This Row],[Successful Lo. G. S]]="",DataTable[[#This Row],[Successful Hi. G. S.]]=""),"N/A",DataTable[[#This Row],[Successful Lo. G. S]]*2+DataTable[[#This Row],[Successful Hi. G. S.]]*10)</f>
        <v>N/A</v>
      </c>
      <c r="H8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7" s="11" t="str">
        <f>IF(DataTable[[#This Row],[Lo. B. Successful Xings.]]="","N/A",SUM(ProcessedData[[#This Row],[Lo. B. Ti.]],DataTable[[#This Row],[Lo. B. Successful Xings.]]+1))</f>
        <v>N/A</v>
      </c>
      <c r="Z8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8" spans="1:26" x14ac:dyDescent="0.2">
      <c r="A898" t="str">
        <f>IF(DataTable[[#This Row],[Tm.]]="","N/A",DataTable[[#This Row],[Tm.]])</f>
        <v>N/A</v>
      </c>
      <c r="B898" t="str">
        <f>IF(DataTable[[#This Row],[Match Nr.]]="","N/A",DataTable[[#This Row],[Match Nr.]])</f>
        <v>N/A</v>
      </c>
      <c r="C8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8" t="str">
        <f>IF(AND(DataTable[[#This Row],[Successful Lo. G. S]]="",DataTable[[#This Row],[Successful Hi. G. S.]]=""),"N/A",DataTable[[#This Row],[Successful Lo. G. S]]*2+DataTable[[#This Row],[Successful Hi. G. S.]]*10)</f>
        <v>N/A</v>
      </c>
      <c r="H8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8" s="11" t="str">
        <f>IF(DataTable[[#This Row],[Lo. B. Successful Xings.]]="","N/A",SUM(ProcessedData[[#This Row],[Lo. B. Ti.]],DataTable[[#This Row],[Lo. B. Successful Xings.]]+1))</f>
        <v>N/A</v>
      </c>
      <c r="Z8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899" spans="1:26" x14ac:dyDescent="0.2">
      <c r="A899" t="str">
        <f>IF(DataTable[[#This Row],[Tm.]]="","N/A",DataTable[[#This Row],[Tm.]])</f>
        <v>N/A</v>
      </c>
      <c r="B899" t="str">
        <f>IF(DataTable[[#This Row],[Match Nr.]]="","N/A",DataTable[[#This Row],[Match Nr.]])</f>
        <v>N/A</v>
      </c>
      <c r="C8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8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8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8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899" t="str">
        <f>IF(AND(DataTable[[#This Row],[Successful Lo. G. S]]="",DataTable[[#This Row],[Successful Hi. G. S.]]=""),"N/A",DataTable[[#This Row],[Successful Lo. G. S]]*2+DataTable[[#This Row],[Successful Hi. G. S.]]*10)</f>
        <v>N/A</v>
      </c>
      <c r="H8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8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8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8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8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8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8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8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8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8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8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8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8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8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8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8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899" s="11" t="str">
        <f>IF(DataTable[[#This Row],[Lo. B. Successful Xings.]]="","N/A",SUM(ProcessedData[[#This Row],[Lo. B. Ti.]],DataTable[[#This Row],[Lo. B. Successful Xings.]]+1))</f>
        <v>N/A</v>
      </c>
      <c r="Z8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0" spans="1:26" x14ac:dyDescent="0.2">
      <c r="A900" t="str">
        <f>IF(DataTable[[#This Row],[Tm.]]="","N/A",DataTable[[#This Row],[Tm.]])</f>
        <v>N/A</v>
      </c>
      <c r="B900" t="str">
        <f>IF(DataTable[[#This Row],[Match Nr.]]="","N/A",DataTable[[#This Row],[Match Nr.]])</f>
        <v>N/A</v>
      </c>
      <c r="C9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0" t="str">
        <f>IF(AND(DataTable[[#This Row],[Successful Lo. G. S]]="",DataTable[[#This Row],[Successful Hi. G. S.]]=""),"N/A",DataTable[[#This Row],[Successful Lo. G. S]]*2+DataTable[[#This Row],[Successful Hi. G. S.]]*10)</f>
        <v>N/A</v>
      </c>
      <c r="H9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0" s="11" t="str">
        <f>IF(DataTable[[#This Row],[Lo. B. Successful Xings.]]="","N/A",SUM(ProcessedData[[#This Row],[Lo. B. Ti.]],DataTable[[#This Row],[Lo. B. Successful Xings.]]+1))</f>
        <v>N/A</v>
      </c>
      <c r="Z9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1" spans="1:26" x14ac:dyDescent="0.2">
      <c r="A901" t="str">
        <f>IF(DataTable[[#This Row],[Tm.]]="","N/A",DataTable[[#This Row],[Tm.]])</f>
        <v>N/A</v>
      </c>
      <c r="B901" t="str">
        <f>IF(DataTable[[#This Row],[Match Nr.]]="","N/A",DataTable[[#This Row],[Match Nr.]])</f>
        <v>N/A</v>
      </c>
      <c r="C90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1" t="str">
        <f>IF(AND(DataTable[[#This Row],[Successful Lo. G. S]]="",DataTable[[#This Row],[Successful Hi. G. S.]]=""),"N/A",DataTable[[#This Row],[Successful Lo. G. S]]*2+DataTable[[#This Row],[Successful Hi. G. S.]]*10)</f>
        <v>N/A</v>
      </c>
      <c r="H90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1" s="11" t="str">
        <f>IF(DataTable[[#This Row],[Lo. B. Successful Xings.]]="","N/A",SUM(ProcessedData[[#This Row],[Lo. B. Ti.]],DataTable[[#This Row],[Lo. B. Successful Xings.]]+1))</f>
        <v>N/A</v>
      </c>
      <c r="Z90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2" spans="1:26" x14ac:dyDescent="0.2">
      <c r="A902" t="str">
        <f>IF(DataTable[[#This Row],[Tm.]]="","N/A",DataTable[[#This Row],[Tm.]])</f>
        <v>N/A</v>
      </c>
      <c r="B902" t="str">
        <f>IF(DataTable[[#This Row],[Match Nr.]]="","N/A",DataTable[[#This Row],[Match Nr.]])</f>
        <v>N/A</v>
      </c>
      <c r="C90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2" t="str">
        <f>IF(AND(DataTable[[#This Row],[Successful Lo. G. S]]="",DataTable[[#This Row],[Successful Hi. G. S.]]=""),"N/A",DataTable[[#This Row],[Successful Lo. G. S]]*2+DataTable[[#This Row],[Successful Hi. G. S.]]*10)</f>
        <v>N/A</v>
      </c>
      <c r="H90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2" s="11" t="str">
        <f>IF(DataTable[[#This Row],[Lo. B. Successful Xings.]]="","N/A",SUM(ProcessedData[[#This Row],[Lo. B. Ti.]],DataTable[[#This Row],[Lo. B. Successful Xings.]]+1))</f>
        <v>N/A</v>
      </c>
      <c r="Z90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3" spans="1:26" x14ac:dyDescent="0.2">
      <c r="A903" t="str">
        <f>IF(DataTable[[#This Row],[Tm.]]="","N/A",DataTable[[#This Row],[Tm.]])</f>
        <v>N/A</v>
      </c>
      <c r="B903" t="str">
        <f>IF(DataTable[[#This Row],[Match Nr.]]="","N/A",DataTable[[#This Row],[Match Nr.]])</f>
        <v>N/A</v>
      </c>
      <c r="C90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3" t="str">
        <f>IF(AND(DataTable[[#This Row],[Successful Lo. G. S]]="",DataTable[[#This Row],[Successful Hi. G. S.]]=""),"N/A",DataTable[[#This Row],[Successful Lo. G. S]]*2+DataTable[[#This Row],[Successful Hi. G. S.]]*10)</f>
        <v>N/A</v>
      </c>
      <c r="H90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3" s="11" t="str">
        <f>IF(DataTable[[#This Row],[Lo. B. Successful Xings.]]="","N/A",SUM(ProcessedData[[#This Row],[Lo. B. Ti.]],DataTable[[#This Row],[Lo. B. Successful Xings.]]+1))</f>
        <v>N/A</v>
      </c>
      <c r="Z90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4" spans="1:26" x14ac:dyDescent="0.2">
      <c r="A904" t="str">
        <f>IF(DataTable[[#This Row],[Tm.]]="","N/A",DataTable[[#This Row],[Tm.]])</f>
        <v>N/A</v>
      </c>
      <c r="B904" t="str">
        <f>IF(DataTable[[#This Row],[Match Nr.]]="","N/A",DataTable[[#This Row],[Match Nr.]])</f>
        <v>N/A</v>
      </c>
      <c r="C90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4" t="str">
        <f>IF(AND(DataTable[[#This Row],[Successful Lo. G. S]]="",DataTable[[#This Row],[Successful Hi. G. S.]]=""),"N/A",DataTable[[#This Row],[Successful Lo. G. S]]*2+DataTable[[#This Row],[Successful Hi. G. S.]]*10)</f>
        <v>N/A</v>
      </c>
      <c r="H90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4" s="11" t="str">
        <f>IF(DataTable[[#This Row],[Lo. B. Successful Xings.]]="","N/A",SUM(ProcessedData[[#This Row],[Lo. B. Ti.]],DataTable[[#This Row],[Lo. B. Successful Xings.]]+1))</f>
        <v>N/A</v>
      </c>
      <c r="Z90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5" spans="1:26" x14ac:dyDescent="0.2">
      <c r="A905" t="str">
        <f>IF(DataTable[[#This Row],[Tm.]]="","N/A",DataTable[[#This Row],[Tm.]])</f>
        <v>N/A</v>
      </c>
      <c r="B905" t="str">
        <f>IF(DataTable[[#This Row],[Match Nr.]]="","N/A",DataTable[[#This Row],[Match Nr.]])</f>
        <v>N/A</v>
      </c>
      <c r="C90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5" t="str">
        <f>IF(AND(DataTable[[#This Row],[Successful Lo. G. S]]="",DataTable[[#This Row],[Successful Hi. G. S.]]=""),"N/A",DataTable[[#This Row],[Successful Lo. G. S]]*2+DataTable[[#This Row],[Successful Hi. G. S.]]*10)</f>
        <v>N/A</v>
      </c>
      <c r="H90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5" s="11" t="str">
        <f>IF(DataTable[[#This Row],[Lo. B. Successful Xings.]]="","N/A",SUM(ProcessedData[[#This Row],[Lo. B. Ti.]],DataTable[[#This Row],[Lo. B. Successful Xings.]]+1))</f>
        <v>N/A</v>
      </c>
      <c r="Z90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6" spans="1:26" x14ac:dyDescent="0.2">
      <c r="A906" t="str">
        <f>IF(DataTable[[#This Row],[Tm.]]="","N/A",DataTable[[#This Row],[Tm.]])</f>
        <v>N/A</v>
      </c>
      <c r="B906" t="str">
        <f>IF(DataTable[[#This Row],[Match Nr.]]="","N/A",DataTable[[#This Row],[Match Nr.]])</f>
        <v>N/A</v>
      </c>
      <c r="C90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6" t="str">
        <f>IF(AND(DataTable[[#This Row],[Successful Lo. G. S]]="",DataTable[[#This Row],[Successful Hi. G. S.]]=""),"N/A",DataTable[[#This Row],[Successful Lo. G. S]]*2+DataTable[[#This Row],[Successful Hi. G. S.]]*10)</f>
        <v>N/A</v>
      </c>
      <c r="H90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6" s="11" t="str">
        <f>IF(DataTable[[#This Row],[Lo. B. Successful Xings.]]="","N/A",SUM(ProcessedData[[#This Row],[Lo. B. Ti.]],DataTable[[#This Row],[Lo. B. Successful Xings.]]+1))</f>
        <v>N/A</v>
      </c>
      <c r="Z90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7" spans="1:26" x14ac:dyDescent="0.2">
      <c r="A907" t="str">
        <f>IF(DataTable[[#This Row],[Tm.]]="","N/A",DataTable[[#This Row],[Tm.]])</f>
        <v>N/A</v>
      </c>
      <c r="B907" t="str">
        <f>IF(DataTable[[#This Row],[Match Nr.]]="","N/A",DataTable[[#This Row],[Match Nr.]])</f>
        <v>N/A</v>
      </c>
      <c r="C90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7" t="str">
        <f>IF(AND(DataTable[[#This Row],[Successful Lo. G. S]]="",DataTable[[#This Row],[Successful Hi. G. S.]]=""),"N/A",DataTable[[#This Row],[Successful Lo. G. S]]*2+DataTable[[#This Row],[Successful Hi. G. S.]]*10)</f>
        <v>N/A</v>
      </c>
      <c r="H90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7" s="11" t="str">
        <f>IF(DataTable[[#This Row],[Lo. B. Successful Xings.]]="","N/A",SUM(ProcessedData[[#This Row],[Lo. B. Ti.]],DataTable[[#This Row],[Lo. B. Successful Xings.]]+1))</f>
        <v>N/A</v>
      </c>
      <c r="Z90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8" spans="1:26" x14ac:dyDescent="0.2">
      <c r="A908" t="str">
        <f>IF(DataTable[[#This Row],[Tm.]]="","N/A",DataTable[[#This Row],[Tm.]])</f>
        <v>N/A</v>
      </c>
      <c r="B908" t="str">
        <f>IF(DataTable[[#This Row],[Match Nr.]]="","N/A",DataTable[[#This Row],[Match Nr.]])</f>
        <v>N/A</v>
      </c>
      <c r="C90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8" t="str">
        <f>IF(AND(DataTable[[#This Row],[Successful Lo. G. S]]="",DataTable[[#This Row],[Successful Hi. G. S.]]=""),"N/A",DataTable[[#This Row],[Successful Lo. G. S]]*2+DataTable[[#This Row],[Successful Hi. G. S.]]*10)</f>
        <v>N/A</v>
      </c>
      <c r="H90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8" s="11" t="str">
        <f>IF(DataTable[[#This Row],[Lo. B. Successful Xings.]]="","N/A",SUM(ProcessedData[[#This Row],[Lo. B. Ti.]],DataTable[[#This Row],[Lo. B. Successful Xings.]]+1))</f>
        <v>N/A</v>
      </c>
      <c r="Z90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09" spans="1:26" x14ac:dyDescent="0.2">
      <c r="A909" t="str">
        <f>IF(DataTable[[#This Row],[Tm.]]="","N/A",DataTable[[#This Row],[Tm.]])</f>
        <v>N/A</v>
      </c>
      <c r="B909" t="str">
        <f>IF(DataTable[[#This Row],[Match Nr.]]="","N/A",DataTable[[#This Row],[Match Nr.]])</f>
        <v>N/A</v>
      </c>
      <c r="C90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0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0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0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09" t="str">
        <f>IF(AND(DataTable[[#This Row],[Successful Lo. G. S]]="",DataTable[[#This Row],[Successful Hi. G. S.]]=""),"N/A",DataTable[[#This Row],[Successful Lo. G. S]]*2+DataTable[[#This Row],[Successful Hi. G. S.]]*10)</f>
        <v>N/A</v>
      </c>
      <c r="H90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0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0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0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0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0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0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0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0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0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0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0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0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0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0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0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09" s="11" t="str">
        <f>IF(DataTable[[#This Row],[Lo. B. Successful Xings.]]="","N/A",SUM(ProcessedData[[#This Row],[Lo. B. Ti.]],DataTable[[#This Row],[Lo. B. Successful Xings.]]+1))</f>
        <v>N/A</v>
      </c>
      <c r="Z90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0" spans="1:26" x14ac:dyDescent="0.2">
      <c r="A910" t="str">
        <f>IF(DataTable[[#This Row],[Tm.]]="","N/A",DataTable[[#This Row],[Tm.]])</f>
        <v>N/A</v>
      </c>
      <c r="B910" t="str">
        <f>IF(DataTable[[#This Row],[Match Nr.]]="","N/A",DataTable[[#This Row],[Match Nr.]])</f>
        <v>N/A</v>
      </c>
      <c r="C91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0" t="str">
        <f>IF(AND(DataTable[[#This Row],[Successful Lo. G. S]]="",DataTable[[#This Row],[Successful Hi. G. S.]]=""),"N/A",DataTable[[#This Row],[Successful Lo. G. S]]*2+DataTable[[#This Row],[Successful Hi. G. S.]]*10)</f>
        <v>N/A</v>
      </c>
      <c r="H91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0" s="11" t="str">
        <f>IF(DataTable[[#This Row],[Lo. B. Successful Xings.]]="","N/A",SUM(ProcessedData[[#This Row],[Lo. B. Ti.]],DataTable[[#This Row],[Lo. B. Successful Xings.]]+1))</f>
        <v>N/A</v>
      </c>
      <c r="Z91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1" spans="1:26" x14ac:dyDescent="0.2">
      <c r="A911" t="str">
        <f>IF(DataTable[[#This Row],[Tm.]]="","N/A",DataTable[[#This Row],[Tm.]])</f>
        <v>N/A</v>
      </c>
      <c r="B911" t="str">
        <f>IF(DataTable[[#This Row],[Match Nr.]]="","N/A",DataTable[[#This Row],[Match Nr.]])</f>
        <v>N/A</v>
      </c>
      <c r="C91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1" t="str">
        <f>IF(AND(DataTable[[#This Row],[Successful Lo. G. S]]="",DataTable[[#This Row],[Successful Hi. G. S.]]=""),"N/A",DataTable[[#This Row],[Successful Lo. G. S]]*2+DataTable[[#This Row],[Successful Hi. G. S.]]*10)</f>
        <v>N/A</v>
      </c>
      <c r="H91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1" s="11" t="str">
        <f>IF(DataTable[[#This Row],[Lo. B. Successful Xings.]]="","N/A",SUM(ProcessedData[[#This Row],[Lo. B. Ti.]],DataTable[[#This Row],[Lo. B. Successful Xings.]]+1))</f>
        <v>N/A</v>
      </c>
      <c r="Z91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2" spans="1:26" x14ac:dyDescent="0.2">
      <c r="A912" t="str">
        <f>IF(DataTable[[#This Row],[Tm.]]="","N/A",DataTable[[#This Row],[Tm.]])</f>
        <v>N/A</v>
      </c>
      <c r="B912" t="str">
        <f>IF(DataTable[[#This Row],[Match Nr.]]="","N/A",DataTable[[#This Row],[Match Nr.]])</f>
        <v>N/A</v>
      </c>
      <c r="C91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2" t="str">
        <f>IF(AND(DataTable[[#This Row],[Successful Lo. G. S]]="",DataTable[[#This Row],[Successful Hi. G. S.]]=""),"N/A",DataTable[[#This Row],[Successful Lo. G. S]]*2+DataTable[[#This Row],[Successful Hi. G. S.]]*10)</f>
        <v>N/A</v>
      </c>
      <c r="H91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2" s="11" t="str">
        <f>IF(DataTable[[#This Row],[Lo. B. Successful Xings.]]="","N/A",SUM(ProcessedData[[#This Row],[Lo. B. Ti.]],DataTable[[#This Row],[Lo. B. Successful Xings.]]+1))</f>
        <v>N/A</v>
      </c>
      <c r="Z91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3" spans="1:26" x14ac:dyDescent="0.2">
      <c r="A913" t="str">
        <f>IF(DataTable[[#This Row],[Tm.]]="","N/A",DataTable[[#This Row],[Tm.]])</f>
        <v>N/A</v>
      </c>
      <c r="B913" t="str">
        <f>IF(DataTable[[#This Row],[Match Nr.]]="","N/A",DataTable[[#This Row],[Match Nr.]])</f>
        <v>N/A</v>
      </c>
      <c r="C91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3" t="str">
        <f>IF(AND(DataTable[[#This Row],[Successful Lo. G. S]]="",DataTable[[#This Row],[Successful Hi. G. S.]]=""),"N/A",DataTable[[#This Row],[Successful Lo. G. S]]*2+DataTable[[#This Row],[Successful Hi. G. S.]]*10)</f>
        <v>N/A</v>
      </c>
      <c r="H91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3" s="11" t="str">
        <f>IF(DataTable[[#This Row],[Lo. B. Successful Xings.]]="","N/A",SUM(ProcessedData[[#This Row],[Lo. B. Ti.]],DataTable[[#This Row],[Lo. B. Successful Xings.]]+1))</f>
        <v>N/A</v>
      </c>
      <c r="Z91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4" spans="1:26" x14ac:dyDescent="0.2">
      <c r="A914" t="str">
        <f>IF(DataTable[[#This Row],[Tm.]]="","N/A",DataTable[[#This Row],[Tm.]])</f>
        <v>N/A</v>
      </c>
      <c r="B914" t="str">
        <f>IF(DataTable[[#This Row],[Match Nr.]]="","N/A",DataTable[[#This Row],[Match Nr.]])</f>
        <v>N/A</v>
      </c>
      <c r="C91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4" t="str">
        <f>IF(AND(DataTable[[#This Row],[Successful Lo. G. S]]="",DataTable[[#This Row],[Successful Hi. G. S.]]=""),"N/A",DataTable[[#This Row],[Successful Lo. G. S]]*2+DataTable[[#This Row],[Successful Hi. G. S.]]*10)</f>
        <v>N/A</v>
      </c>
      <c r="H91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4" s="11" t="str">
        <f>IF(DataTable[[#This Row],[Lo. B. Successful Xings.]]="","N/A",SUM(ProcessedData[[#This Row],[Lo. B. Ti.]],DataTable[[#This Row],[Lo. B. Successful Xings.]]+1))</f>
        <v>N/A</v>
      </c>
      <c r="Z91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5" spans="1:26" x14ac:dyDescent="0.2">
      <c r="A915" t="str">
        <f>IF(DataTable[[#This Row],[Tm.]]="","N/A",DataTable[[#This Row],[Tm.]])</f>
        <v>N/A</v>
      </c>
      <c r="B915" t="str">
        <f>IF(DataTable[[#This Row],[Match Nr.]]="","N/A",DataTable[[#This Row],[Match Nr.]])</f>
        <v>N/A</v>
      </c>
      <c r="C91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5" t="str">
        <f>IF(AND(DataTable[[#This Row],[Successful Lo. G. S]]="",DataTable[[#This Row],[Successful Hi. G. S.]]=""),"N/A",DataTable[[#This Row],[Successful Lo. G. S]]*2+DataTable[[#This Row],[Successful Hi. G. S.]]*10)</f>
        <v>N/A</v>
      </c>
      <c r="H91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5" s="11" t="str">
        <f>IF(DataTable[[#This Row],[Lo. B. Successful Xings.]]="","N/A",SUM(ProcessedData[[#This Row],[Lo. B. Ti.]],DataTable[[#This Row],[Lo. B. Successful Xings.]]+1))</f>
        <v>N/A</v>
      </c>
      <c r="Z91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6" spans="1:26" x14ac:dyDescent="0.2">
      <c r="A916" t="str">
        <f>IF(DataTable[[#This Row],[Tm.]]="","N/A",DataTable[[#This Row],[Tm.]])</f>
        <v>N/A</v>
      </c>
      <c r="B916" t="str">
        <f>IF(DataTable[[#This Row],[Match Nr.]]="","N/A",DataTable[[#This Row],[Match Nr.]])</f>
        <v>N/A</v>
      </c>
      <c r="C91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6" t="str">
        <f>IF(AND(DataTable[[#This Row],[Successful Lo. G. S]]="",DataTable[[#This Row],[Successful Hi. G. S.]]=""),"N/A",DataTable[[#This Row],[Successful Lo. G. S]]*2+DataTable[[#This Row],[Successful Hi. G. S.]]*10)</f>
        <v>N/A</v>
      </c>
      <c r="H91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6" s="11" t="str">
        <f>IF(DataTable[[#This Row],[Lo. B. Successful Xings.]]="","N/A",SUM(ProcessedData[[#This Row],[Lo. B. Ti.]],DataTable[[#This Row],[Lo. B. Successful Xings.]]+1))</f>
        <v>N/A</v>
      </c>
      <c r="Z91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7" spans="1:26" x14ac:dyDescent="0.2">
      <c r="A917" t="str">
        <f>IF(DataTable[[#This Row],[Tm.]]="","N/A",DataTable[[#This Row],[Tm.]])</f>
        <v>N/A</v>
      </c>
      <c r="B917" t="str">
        <f>IF(DataTable[[#This Row],[Match Nr.]]="","N/A",DataTable[[#This Row],[Match Nr.]])</f>
        <v>N/A</v>
      </c>
      <c r="C91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7" t="str">
        <f>IF(AND(DataTable[[#This Row],[Successful Lo. G. S]]="",DataTable[[#This Row],[Successful Hi. G. S.]]=""),"N/A",DataTable[[#This Row],[Successful Lo. G. S]]*2+DataTable[[#This Row],[Successful Hi. G. S.]]*10)</f>
        <v>N/A</v>
      </c>
      <c r="H91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7" s="11" t="str">
        <f>IF(DataTable[[#This Row],[Lo. B. Successful Xings.]]="","N/A",SUM(ProcessedData[[#This Row],[Lo. B. Ti.]],DataTable[[#This Row],[Lo. B. Successful Xings.]]+1))</f>
        <v>N/A</v>
      </c>
      <c r="Z91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8" spans="1:26" x14ac:dyDescent="0.2">
      <c r="A918" t="str">
        <f>IF(DataTable[[#This Row],[Tm.]]="","N/A",DataTable[[#This Row],[Tm.]])</f>
        <v>N/A</v>
      </c>
      <c r="B918" t="str">
        <f>IF(DataTable[[#This Row],[Match Nr.]]="","N/A",DataTable[[#This Row],[Match Nr.]])</f>
        <v>N/A</v>
      </c>
      <c r="C91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8" t="str">
        <f>IF(AND(DataTable[[#This Row],[Successful Lo. G. S]]="",DataTable[[#This Row],[Successful Hi. G. S.]]=""),"N/A",DataTable[[#This Row],[Successful Lo. G. S]]*2+DataTable[[#This Row],[Successful Hi. G. S.]]*10)</f>
        <v>N/A</v>
      </c>
      <c r="H91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8" s="11" t="str">
        <f>IF(DataTable[[#This Row],[Lo. B. Successful Xings.]]="","N/A",SUM(ProcessedData[[#This Row],[Lo. B. Ti.]],DataTable[[#This Row],[Lo. B. Successful Xings.]]+1))</f>
        <v>N/A</v>
      </c>
      <c r="Z91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19" spans="1:26" x14ac:dyDescent="0.2">
      <c r="A919" t="str">
        <f>IF(DataTable[[#This Row],[Tm.]]="","N/A",DataTable[[#This Row],[Tm.]])</f>
        <v>N/A</v>
      </c>
      <c r="B919" t="str">
        <f>IF(DataTable[[#This Row],[Match Nr.]]="","N/A",DataTable[[#This Row],[Match Nr.]])</f>
        <v>N/A</v>
      </c>
      <c r="C91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1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1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1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19" t="str">
        <f>IF(AND(DataTable[[#This Row],[Successful Lo. G. S]]="",DataTable[[#This Row],[Successful Hi. G. S.]]=""),"N/A",DataTable[[#This Row],[Successful Lo. G. S]]*2+DataTable[[#This Row],[Successful Hi. G. S.]]*10)</f>
        <v>N/A</v>
      </c>
      <c r="H91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1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1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1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1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1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1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1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1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1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1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1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1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1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1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1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19" s="11" t="str">
        <f>IF(DataTable[[#This Row],[Lo. B. Successful Xings.]]="","N/A",SUM(ProcessedData[[#This Row],[Lo. B. Ti.]],DataTable[[#This Row],[Lo. B. Successful Xings.]]+1))</f>
        <v>N/A</v>
      </c>
      <c r="Z91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0" spans="1:26" x14ac:dyDescent="0.2">
      <c r="A920" t="str">
        <f>IF(DataTable[[#This Row],[Tm.]]="","N/A",DataTable[[#This Row],[Tm.]])</f>
        <v>N/A</v>
      </c>
      <c r="B920" t="str">
        <f>IF(DataTable[[#This Row],[Match Nr.]]="","N/A",DataTable[[#This Row],[Match Nr.]])</f>
        <v>N/A</v>
      </c>
      <c r="C92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0" t="str">
        <f>IF(AND(DataTable[[#This Row],[Successful Lo. G. S]]="",DataTable[[#This Row],[Successful Hi. G. S.]]=""),"N/A",DataTable[[#This Row],[Successful Lo. G. S]]*2+DataTable[[#This Row],[Successful Hi. G. S.]]*10)</f>
        <v>N/A</v>
      </c>
      <c r="H92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0" s="11" t="str">
        <f>IF(DataTable[[#This Row],[Lo. B. Successful Xings.]]="","N/A",SUM(ProcessedData[[#This Row],[Lo. B. Ti.]],DataTable[[#This Row],[Lo. B. Successful Xings.]]+1))</f>
        <v>N/A</v>
      </c>
      <c r="Z92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1" spans="1:26" x14ac:dyDescent="0.2">
      <c r="A921" t="str">
        <f>IF(DataTable[[#This Row],[Tm.]]="","N/A",DataTable[[#This Row],[Tm.]])</f>
        <v>N/A</v>
      </c>
      <c r="B921" t="str">
        <f>IF(DataTable[[#This Row],[Match Nr.]]="","N/A",DataTable[[#This Row],[Match Nr.]])</f>
        <v>N/A</v>
      </c>
      <c r="C92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1" t="str">
        <f>IF(AND(DataTable[[#This Row],[Successful Lo. G. S]]="",DataTable[[#This Row],[Successful Hi. G. S.]]=""),"N/A",DataTable[[#This Row],[Successful Lo. G. S]]*2+DataTable[[#This Row],[Successful Hi. G. S.]]*10)</f>
        <v>N/A</v>
      </c>
      <c r="H92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1" s="11" t="str">
        <f>IF(DataTable[[#This Row],[Lo. B. Successful Xings.]]="","N/A",SUM(ProcessedData[[#This Row],[Lo. B. Ti.]],DataTable[[#This Row],[Lo. B. Successful Xings.]]+1))</f>
        <v>N/A</v>
      </c>
      <c r="Z92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2" spans="1:26" x14ac:dyDescent="0.2">
      <c r="A922" t="str">
        <f>IF(DataTable[[#This Row],[Tm.]]="","N/A",DataTable[[#This Row],[Tm.]])</f>
        <v>N/A</v>
      </c>
      <c r="B922" t="str">
        <f>IF(DataTable[[#This Row],[Match Nr.]]="","N/A",DataTable[[#This Row],[Match Nr.]])</f>
        <v>N/A</v>
      </c>
      <c r="C92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2" t="str">
        <f>IF(AND(DataTable[[#This Row],[Successful Lo. G. S]]="",DataTable[[#This Row],[Successful Hi. G. S.]]=""),"N/A",DataTable[[#This Row],[Successful Lo. G. S]]*2+DataTable[[#This Row],[Successful Hi. G. S.]]*10)</f>
        <v>N/A</v>
      </c>
      <c r="H92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2" s="11" t="str">
        <f>IF(DataTable[[#This Row],[Lo. B. Successful Xings.]]="","N/A",SUM(ProcessedData[[#This Row],[Lo. B. Ti.]],DataTable[[#This Row],[Lo. B. Successful Xings.]]+1))</f>
        <v>N/A</v>
      </c>
      <c r="Z92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3" spans="1:26" x14ac:dyDescent="0.2">
      <c r="A923" t="str">
        <f>IF(DataTable[[#This Row],[Tm.]]="","N/A",DataTable[[#This Row],[Tm.]])</f>
        <v>N/A</v>
      </c>
      <c r="B923" t="str">
        <f>IF(DataTable[[#This Row],[Match Nr.]]="","N/A",DataTable[[#This Row],[Match Nr.]])</f>
        <v>N/A</v>
      </c>
      <c r="C92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3" t="str">
        <f>IF(AND(DataTable[[#This Row],[Successful Lo. G. S]]="",DataTable[[#This Row],[Successful Hi. G. S.]]=""),"N/A",DataTable[[#This Row],[Successful Lo. G. S]]*2+DataTable[[#This Row],[Successful Hi. G. S.]]*10)</f>
        <v>N/A</v>
      </c>
      <c r="H92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3" s="11" t="str">
        <f>IF(DataTable[[#This Row],[Lo. B. Successful Xings.]]="","N/A",SUM(ProcessedData[[#This Row],[Lo. B. Ti.]],DataTable[[#This Row],[Lo. B. Successful Xings.]]+1))</f>
        <v>N/A</v>
      </c>
      <c r="Z92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4" spans="1:26" x14ac:dyDescent="0.2">
      <c r="A924" t="str">
        <f>IF(DataTable[[#This Row],[Tm.]]="","N/A",DataTable[[#This Row],[Tm.]])</f>
        <v>N/A</v>
      </c>
      <c r="B924" t="str">
        <f>IF(DataTable[[#This Row],[Match Nr.]]="","N/A",DataTable[[#This Row],[Match Nr.]])</f>
        <v>N/A</v>
      </c>
      <c r="C92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4" t="str">
        <f>IF(AND(DataTable[[#This Row],[Successful Lo. G. S]]="",DataTable[[#This Row],[Successful Hi. G. S.]]=""),"N/A",DataTable[[#This Row],[Successful Lo. G. S]]*2+DataTable[[#This Row],[Successful Hi. G. S.]]*10)</f>
        <v>N/A</v>
      </c>
      <c r="H92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4" s="11" t="str">
        <f>IF(DataTable[[#This Row],[Lo. B. Successful Xings.]]="","N/A",SUM(ProcessedData[[#This Row],[Lo. B. Ti.]],DataTable[[#This Row],[Lo. B. Successful Xings.]]+1))</f>
        <v>N/A</v>
      </c>
      <c r="Z92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5" spans="1:26" x14ac:dyDescent="0.2">
      <c r="A925" t="str">
        <f>IF(DataTable[[#This Row],[Tm.]]="","N/A",DataTable[[#This Row],[Tm.]])</f>
        <v>N/A</v>
      </c>
      <c r="B925" t="str">
        <f>IF(DataTable[[#This Row],[Match Nr.]]="","N/A",DataTable[[#This Row],[Match Nr.]])</f>
        <v>N/A</v>
      </c>
      <c r="C92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5" t="str">
        <f>IF(AND(DataTable[[#This Row],[Successful Lo. G. S]]="",DataTable[[#This Row],[Successful Hi. G. S.]]=""),"N/A",DataTable[[#This Row],[Successful Lo. G. S]]*2+DataTable[[#This Row],[Successful Hi. G. S.]]*10)</f>
        <v>N/A</v>
      </c>
      <c r="H92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5" s="11" t="str">
        <f>IF(DataTable[[#This Row],[Lo. B. Successful Xings.]]="","N/A",SUM(ProcessedData[[#This Row],[Lo. B. Ti.]],DataTable[[#This Row],[Lo. B. Successful Xings.]]+1))</f>
        <v>N/A</v>
      </c>
      <c r="Z92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6" spans="1:26" x14ac:dyDescent="0.2">
      <c r="A926" t="str">
        <f>IF(DataTable[[#This Row],[Tm.]]="","N/A",DataTable[[#This Row],[Tm.]])</f>
        <v>N/A</v>
      </c>
      <c r="B926" t="str">
        <f>IF(DataTable[[#This Row],[Match Nr.]]="","N/A",DataTable[[#This Row],[Match Nr.]])</f>
        <v>N/A</v>
      </c>
      <c r="C92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6" t="str">
        <f>IF(AND(DataTable[[#This Row],[Successful Lo. G. S]]="",DataTable[[#This Row],[Successful Hi. G. S.]]=""),"N/A",DataTable[[#This Row],[Successful Lo. G. S]]*2+DataTable[[#This Row],[Successful Hi. G. S.]]*10)</f>
        <v>N/A</v>
      </c>
      <c r="H92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6" s="11" t="str">
        <f>IF(DataTable[[#This Row],[Lo. B. Successful Xings.]]="","N/A",SUM(ProcessedData[[#This Row],[Lo. B. Ti.]],DataTable[[#This Row],[Lo. B. Successful Xings.]]+1))</f>
        <v>N/A</v>
      </c>
      <c r="Z92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7" spans="1:26" x14ac:dyDescent="0.2">
      <c r="A927" t="str">
        <f>IF(DataTable[[#This Row],[Tm.]]="","N/A",DataTable[[#This Row],[Tm.]])</f>
        <v>N/A</v>
      </c>
      <c r="B927" t="str">
        <f>IF(DataTable[[#This Row],[Match Nr.]]="","N/A",DataTable[[#This Row],[Match Nr.]])</f>
        <v>N/A</v>
      </c>
      <c r="C92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7" t="str">
        <f>IF(AND(DataTable[[#This Row],[Successful Lo. G. S]]="",DataTable[[#This Row],[Successful Hi. G. S.]]=""),"N/A",DataTable[[#This Row],[Successful Lo. G. S]]*2+DataTable[[#This Row],[Successful Hi. G. S.]]*10)</f>
        <v>N/A</v>
      </c>
      <c r="H92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7" s="11" t="str">
        <f>IF(DataTable[[#This Row],[Lo. B. Successful Xings.]]="","N/A",SUM(ProcessedData[[#This Row],[Lo. B. Ti.]],DataTable[[#This Row],[Lo. B. Successful Xings.]]+1))</f>
        <v>N/A</v>
      </c>
      <c r="Z92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8" spans="1:26" x14ac:dyDescent="0.2">
      <c r="A928" t="str">
        <f>IF(DataTable[[#This Row],[Tm.]]="","N/A",DataTable[[#This Row],[Tm.]])</f>
        <v>N/A</v>
      </c>
      <c r="B928" t="str">
        <f>IF(DataTable[[#This Row],[Match Nr.]]="","N/A",DataTable[[#This Row],[Match Nr.]])</f>
        <v>N/A</v>
      </c>
      <c r="C92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8" t="str">
        <f>IF(AND(DataTable[[#This Row],[Successful Lo. G. S]]="",DataTable[[#This Row],[Successful Hi. G. S.]]=""),"N/A",DataTable[[#This Row],[Successful Lo. G. S]]*2+DataTable[[#This Row],[Successful Hi. G. S.]]*10)</f>
        <v>N/A</v>
      </c>
      <c r="H92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8" s="11" t="str">
        <f>IF(DataTable[[#This Row],[Lo. B. Successful Xings.]]="","N/A",SUM(ProcessedData[[#This Row],[Lo. B. Ti.]],DataTable[[#This Row],[Lo. B. Successful Xings.]]+1))</f>
        <v>N/A</v>
      </c>
      <c r="Z92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29" spans="1:26" x14ac:dyDescent="0.2">
      <c r="A929" t="str">
        <f>IF(DataTable[[#This Row],[Tm.]]="","N/A",DataTable[[#This Row],[Tm.]])</f>
        <v>N/A</v>
      </c>
      <c r="B929" t="str">
        <f>IF(DataTable[[#This Row],[Match Nr.]]="","N/A",DataTable[[#This Row],[Match Nr.]])</f>
        <v>N/A</v>
      </c>
      <c r="C92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2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2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2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29" t="str">
        <f>IF(AND(DataTable[[#This Row],[Successful Lo. G. S]]="",DataTable[[#This Row],[Successful Hi. G. S.]]=""),"N/A",DataTable[[#This Row],[Successful Lo. G. S]]*2+DataTable[[#This Row],[Successful Hi. G. S.]]*10)</f>
        <v>N/A</v>
      </c>
      <c r="H92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2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2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2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2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2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2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2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2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2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2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2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2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2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2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2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29" s="11" t="str">
        <f>IF(DataTable[[#This Row],[Lo. B. Successful Xings.]]="","N/A",SUM(ProcessedData[[#This Row],[Lo. B. Ti.]],DataTable[[#This Row],[Lo. B. Successful Xings.]]+1))</f>
        <v>N/A</v>
      </c>
      <c r="Z92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0" spans="1:26" x14ac:dyDescent="0.2">
      <c r="A930" t="str">
        <f>IF(DataTable[[#This Row],[Tm.]]="","N/A",DataTable[[#This Row],[Tm.]])</f>
        <v>N/A</v>
      </c>
      <c r="B930" t="str">
        <f>IF(DataTable[[#This Row],[Match Nr.]]="","N/A",DataTable[[#This Row],[Match Nr.]])</f>
        <v>N/A</v>
      </c>
      <c r="C93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0" t="str">
        <f>IF(AND(DataTable[[#This Row],[Successful Lo. G. S]]="",DataTable[[#This Row],[Successful Hi. G. S.]]=""),"N/A",DataTable[[#This Row],[Successful Lo. G. S]]*2+DataTable[[#This Row],[Successful Hi. G. S.]]*10)</f>
        <v>N/A</v>
      </c>
      <c r="H93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0" s="11" t="str">
        <f>IF(DataTable[[#This Row],[Lo. B. Successful Xings.]]="","N/A",SUM(ProcessedData[[#This Row],[Lo. B. Ti.]],DataTable[[#This Row],[Lo. B. Successful Xings.]]+1))</f>
        <v>N/A</v>
      </c>
      <c r="Z93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1" spans="1:26" x14ac:dyDescent="0.2">
      <c r="A931" t="str">
        <f>IF(DataTable[[#This Row],[Tm.]]="","N/A",DataTable[[#This Row],[Tm.]])</f>
        <v>N/A</v>
      </c>
      <c r="B931" t="str">
        <f>IF(DataTable[[#This Row],[Match Nr.]]="","N/A",DataTable[[#This Row],[Match Nr.]])</f>
        <v>N/A</v>
      </c>
      <c r="C93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1" t="str">
        <f>IF(AND(DataTable[[#This Row],[Successful Lo. G. S]]="",DataTable[[#This Row],[Successful Hi. G. S.]]=""),"N/A",DataTable[[#This Row],[Successful Lo. G. S]]*2+DataTable[[#This Row],[Successful Hi. G. S.]]*10)</f>
        <v>N/A</v>
      </c>
      <c r="H93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1" s="11" t="str">
        <f>IF(DataTable[[#This Row],[Lo. B. Successful Xings.]]="","N/A",SUM(ProcessedData[[#This Row],[Lo. B. Ti.]],DataTable[[#This Row],[Lo. B. Successful Xings.]]+1))</f>
        <v>N/A</v>
      </c>
      <c r="Z93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2" spans="1:26" x14ac:dyDescent="0.2">
      <c r="A932" t="str">
        <f>IF(DataTable[[#This Row],[Tm.]]="","N/A",DataTable[[#This Row],[Tm.]])</f>
        <v>N/A</v>
      </c>
      <c r="B932" t="str">
        <f>IF(DataTable[[#This Row],[Match Nr.]]="","N/A",DataTable[[#This Row],[Match Nr.]])</f>
        <v>N/A</v>
      </c>
      <c r="C93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2" t="str">
        <f>IF(AND(DataTable[[#This Row],[Successful Lo. G. S]]="",DataTable[[#This Row],[Successful Hi. G. S.]]=""),"N/A",DataTable[[#This Row],[Successful Lo. G. S]]*2+DataTable[[#This Row],[Successful Hi. G. S.]]*10)</f>
        <v>N/A</v>
      </c>
      <c r="H93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2" s="11" t="str">
        <f>IF(DataTable[[#This Row],[Lo. B. Successful Xings.]]="","N/A",SUM(ProcessedData[[#This Row],[Lo. B. Ti.]],DataTable[[#This Row],[Lo. B. Successful Xings.]]+1))</f>
        <v>N/A</v>
      </c>
      <c r="Z93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3" spans="1:26" x14ac:dyDescent="0.2">
      <c r="A933" t="str">
        <f>IF(DataTable[[#This Row],[Tm.]]="","N/A",DataTable[[#This Row],[Tm.]])</f>
        <v>N/A</v>
      </c>
      <c r="B933" t="str">
        <f>IF(DataTable[[#This Row],[Match Nr.]]="","N/A",DataTable[[#This Row],[Match Nr.]])</f>
        <v>N/A</v>
      </c>
      <c r="C93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3" t="str">
        <f>IF(AND(DataTable[[#This Row],[Successful Lo. G. S]]="",DataTable[[#This Row],[Successful Hi. G. S.]]=""),"N/A",DataTable[[#This Row],[Successful Lo. G. S]]*2+DataTable[[#This Row],[Successful Hi. G. S.]]*10)</f>
        <v>N/A</v>
      </c>
      <c r="H93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3" s="11" t="str">
        <f>IF(DataTable[[#This Row],[Lo. B. Successful Xings.]]="","N/A",SUM(ProcessedData[[#This Row],[Lo. B. Ti.]],DataTable[[#This Row],[Lo. B. Successful Xings.]]+1))</f>
        <v>N/A</v>
      </c>
      <c r="Z93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4" spans="1:26" x14ac:dyDescent="0.2">
      <c r="A934" t="str">
        <f>IF(DataTable[[#This Row],[Tm.]]="","N/A",DataTable[[#This Row],[Tm.]])</f>
        <v>N/A</v>
      </c>
      <c r="B934" t="str">
        <f>IF(DataTable[[#This Row],[Match Nr.]]="","N/A",DataTable[[#This Row],[Match Nr.]])</f>
        <v>N/A</v>
      </c>
      <c r="C93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4" t="str">
        <f>IF(AND(DataTable[[#This Row],[Successful Lo. G. S]]="",DataTable[[#This Row],[Successful Hi. G. S.]]=""),"N/A",DataTable[[#This Row],[Successful Lo. G. S]]*2+DataTable[[#This Row],[Successful Hi. G. S.]]*10)</f>
        <v>N/A</v>
      </c>
      <c r="H93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4" s="11" t="str">
        <f>IF(DataTable[[#This Row],[Lo. B. Successful Xings.]]="","N/A",SUM(ProcessedData[[#This Row],[Lo. B. Ti.]],DataTable[[#This Row],[Lo. B. Successful Xings.]]+1))</f>
        <v>N/A</v>
      </c>
      <c r="Z93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5" spans="1:26" x14ac:dyDescent="0.2">
      <c r="A935" t="str">
        <f>IF(DataTable[[#This Row],[Tm.]]="","N/A",DataTable[[#This Row],[Tm.]])</f>
        <v>N/A</v>
      </c>
      <c r="B935" t="str">
        <f>IF(DataTable[[#This Row],[Match Nr.]]="","N/A",DataTable[[#This Row],[Match Nr.]])</f>
        <v>N/A</v>
      </c>
      <c r="C93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5" t="str">
        <f>IF(AND(DataTable[[#This Row],[Successful Lo. G. S]]="",DataTable[[#This Row],[Successful Hi. G. S.]]=""),"N/A",DataTable[[#This Row],[Successful Lo. G. S]]*2+DataTable[[#This Row],[Successful Hi. G. S.]]*10)</f>
        <v>N/A</v>
      </c>
      <c r="H93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5" s="11" t="str">
        <f>IF(DataTable[[#This Row],[Lo. B. Successful Xings.]]="","N/A",SUM(ProcessedData[[#This Row],[Lo. B. Ti.]],DataTable[[#This Row],[Lo. B. Successful Xings.]]+1))</f>
        <v>N/A</v>
      </c>
      <c r="Z93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6" spans="1:26" x14ac:dyDescent="0.2">
      <c r="A936" t="str">
        <f>IF(DataTable[[#This Row],[Tm.]]="","N/A",DataTable[[#This Row],[Tm.]])</f>
        <v>N/A</v>
      </c>
      <c r="B936" t="str">
        <f>IF(DataTable[[#This Row],[Match Nr.]]="","N/A",DataTable[[#This Row],[Match Nr.]])</f>
        <v>N/A</v>
      </c>
      <c r="C93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6" t="str">
        <f>IF(AND(DataTable[[#This Row],[Successful Lo. G. S]]="",DataTable[[#This Row],[Successful Hi. G. S.]]=""),"N/A",DataTable[[#This Row],[Successful Lo. G. S]]*2+DataTable[[#This Row],[Successful Hi. G. S.]]*10)</f>
        <v>N/A</v>
      </c>
      <c r="H93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6" s="11" t="str">
        <f>IF(DataTable[[#This Row],[Lo. B. Successful Xings.]]="","N/A",SUM(ProcessedData[[#This Row],[Lo. B. Ti.]],DataTable[[#This Row],[Lo. B. Successful Xings.]]+1))</f>
        <v>N/A</v>
      </c>
      <c r="Z93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7" spans="1:26" x14ac:dyDescent="0.2">
      <c r="A937" t="str">
        <f>IF(DataTable[[#This Row],[Tm.]]="","N/A",DataTable[[#This Row],[Tm.]])</f>
        <v>N/A</v>
      </c>
      <c r="B937" t="str">
        <f>IF(DataTable[[#This Row],[Match Nr.]]="","N/A",DataTable[[#This Row],[Match Nr.]])</f>
        <v>N/A</v>
      </c>
      <c r="C93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7" t="str">
        <f>IF(AND(DataTable[[#This Row],[Successful Lo. G. S]]="",DataTable[[#This Row],[Successful Hi. G. S.]]=""),"N/A",DataTable[[#This Row],[Successful Lo. G. S]]*2+DataTable[[#This Row],[Successful Hi. G. S.]]*10)</f>
        <v>N/A</v>
      </c>
      <c r="H93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7" s="11" t="str">
        <f>IF(DataTable[[#This Row],[Lo. B. Successful Xings.]]="","N/A",SUM(ProcessedData[[#This Row],[Lo. B. Ti.]],DataTable[[#This Row],[Lo. B. Successful Xings.]]+1))</f>
        <v>N/A</v>
      </c>
      <c r="Z93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8" spans="1:26" x14ac:dyDescent="0.2">
      <c r="A938" t="str">
        <f>IF(DataTable[[#This Row],[Tm.]]="","N/A",DataTable[[#This Row],[Tm.]])</f>
        <v>N/A</v>
      </c>
      <c r="B938" t="str">
        <f>IF(DataTable[[#This Row],[Match Nr.]]="","N/A",DataTable[[#This Row],[Match Nr.]])</f>
        <v>N/A</v>
      </c>
      <c r="C93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8" t="str">
        <f>IF(AND(DataTable[[#This Row],[Successful Lo. G. S]]="",DataTable[[#This Row],[Successful Hi. G. S.]]=""),"N/A",DataTable[[#This Row],[Successful Lo. G. S]]*2+DataTable[[#This Row],[Successful Hi. G. S.]]*10)</f>
        <v>N/A</v>
      </c>
      <c r="H93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8" s="11" t="str">
        <f>IF(DataTable[[#This Row],[Lo. B. Successful Xings.]]="","N/A",SUM(ProcessedData[[#This Row],[Lo. B. Ti.]],DataTable[[#This Row],[Lo. B. Successful Xings.]]+1))</f>
        <v>N/A</v>
      </c>
      <c r="Z93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39" spans="1:26" x14ac:dyDescent="0.2">
      <c r="A939" t="str">
        <f>IF(DataTable[[#This Row],[Tm.]]="","N/A",DataTable[[#This Row],[Tm.]])</f>
        <v>N/A</v>
      </c>
      <c r="B939" t="str">
        <f>IF(DataTable[[#This Row],[Match Nr.]]="","N/A",DataTable[[#This Row],[Match Nr.]])</f>
        <v>N/A</v>
      </c>
      <c r="C93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3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3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3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39" t="str">
        <f>IF(AND(DataTable[[#This Row],[Successful Lo. G. S]]="",DataTable[[#This Row],[Successful Hi. G. S.]]=""),"N/A",DataTable[[#This Row],[Successful Lo. G. S]]*2+DataTable[[#This Row],[Successful Hi. G. S.]]*10)</f>
        <v>N/A</v>
      </c>
      <c r="H93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3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3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3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3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3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3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3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3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3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3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3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3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3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3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3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39" s="11" t="str">
        <f>IF(DataTable[[#This Row],[Lo. B. Successful Xings.]]="","N/A",SUM(ProcessedData[[#This Row],[Lo. B. Ti.]],DataTable[[#This Row],[Lo. B. Successful Xings.]]+1))</f>
        <v>N/A</v>
      </c>
      <c r="Z93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0" spans="1:26" x14ac:dyDescent="0.2">
      <c r="A940" t="str">
        <f>IF(DataTable[[#This Row],[Tm.]]="","N/A",DataTable[[#This Row],[Tm.]])</f>
        <v>N/A</v>
      </c>
      <c r="B940" t="str">
        <f>IF(DataTable[[#This Row],[Match Nr.]]="","N/A",DataTable[[#This Row],[Match Nr.]])</f>
        <v>N/A</v>
      </c>
      <c r="C94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0" t="str">
        <f>IF(AND(DataTable[[#This Row],[Successful Lo. G. S]]="",DataTable[[#This Row],[Successful Hi. G. S.]]=""),"N/A",DataTable[[#This Row],[Successful Lo. G. S]]*2+DataTable[[#This Row],[Successful Hi. G. S.]]*10)</f>
        <v>N/A</v>
      </c>
      <c r="H94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0" s="11" t="str">
        <f>IF(DataTable[[#This Row],[Lo. B. Successful Xings.]]="","N/A",SUM(ProcessedData[[#This Row],[Lo. B. Ti.]],DataTable[[#This Row],[Lo. B. Successful Xings.]]+1))</f>
        <v>N/A</v>
      </c>
      <c r="Z94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1" spans="1:26" x14ac:dyDescent="0.2">
      <c r="A941" t="str">
        <f>IF(DataTable[[#This Row],[Tm.]]="","N/A",DataTable[[#This Row],[Tm.]])</f>
        <v>N/A</v>
      </c>
      <c r="B941" t="str">
        <f>IF(DataTable[[#This Row],[Match Nr.]]="","N/A",DataTable[[#This Row],[Match Nr.]])</f>
        <v>N/A</v>
      </c>
      <c r="C94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1" t="str">
        <f>IF(AND(DataTable[[#This Row],[Successful Lo. G. S]]="",DataTable[[#This Row],[Successful Hi. G. S.]]=""),"N/A",DataTable[[#This Row],[Successful Lo. G. S]]*2+DataTable[[#This Row],[Successful Hi. G. S.]]*10)</f>
        <v>N/A</v>
      </c>
      <c r="H94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1" s="11" t="str">
        <f>IF(DataTable[[#This Row],[Lo. B. Successful Xings.]]="","N/A",SUM(ProcessedData[[#This Row],[Lo. B. Ti.]],DataTable[[#This Row],[Lo. B. Successful Xings.]]+1))</f>
        <v>N/A</v>
      </c>
      <c r="Z94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2" spans="1:26" x14ac:dyDescent="0.2">
      <c r="A942" t="str">
        <f>IF(DataTable[[#This Row],[Tm.]]="","N/A",DataTable[[#This Row],[Tm.]])</f>
        <v>N/A</v>
      </c>
      <c r="B942" t="str">
        <f>IF(DataTable[[#This Row],[Match Nr.]]="","N/A",DataTable[[#This Row],[Match Nr.]])</f>
        <v>N/A</v>
      </c>
      <c r="C94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2" t="str">
        <f>IF(AND(DataTable[[#This Row],[Successful Lo. G. S]]="",DataTable[[#This Row],[Successful Hi. G. S.]]=""),"N/A",DataTable[[#This Row],[Successful Lo. G. S]]*2+DataTable[[#This Row],[Successful Hi. G. S.]]*10)</f>
        <v>N/A</v>
      </c>
      <c r="H94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2" s="11" t="str">
        <f>IF(DataTable[[#This Row],[Lo. B. Successful Xings.]]="","N/A",SUM(ProcessedData[[#This Row],[Lo. B. Ti.]],DataTable[[#This Row],[Lo. B. Successful Xings.]]+1))</f>
        <v>N/A</v>
      </c>
      <c r="Z94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3" spans="1:26" x14ac:dyDescent="0.2">
      <c r="A943" t="str">
        <f>IF(DataTable[[#This Row],[Tm.]]="","N/A",DataTable[[#This Row],[Tm.]])</f>
        <v>N/A</v>
      </c>
      <c r="B943" t="str">
        <f>IF(DataTable[[#This Row],[Match Nr.]]="","N/A",DataTable[[#This Row],[Match Nr.]])</f>
        <v>N/A</v>
      </c>
      <c r="C94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3" t="str">
        <f>IF(AND(DataTable[[#This Row],[Successful Lo. G. S]]="",DataTable[[#This Row],[Successful Hi. G. S.]]=""),"N/A",DataTable[[#This Row],[Successful Lo. G. S]]*2+DataTable[[#This Row],[Successful Hi. G. S.]]*10)</f>
        <v>N/A</v>
      </c>
      <c r="H94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3" s="11" t="str">
        <f>IF(DataTable[[#This Row],[Lo. B. Successful Xings.]]="","N/A",SUM(ProcessedData[[#This Row],[Lo. B. Ti.]],DataTable[[#This Row],[Lo. B. Successful Xings.]]+1))</f>
        <v>N/A</v>
      </c>
      <c r="Z94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4" spans="1:26" x14ac:dyDescent="0.2">
      <c r="A944" t="str">
        <f>IF(DataTable[[#This Row],[Tm.]]="","N/A",DataTable[[#This Row],[Tm.]])</f>
        <v>N/A</v>
      </c>
      <c r="B944" t="str">
        <f>IF(DataTable[[#This Row],[Match Nr.]]="","N/A",DataTable[[#This Row],[Match Nr.]])</f>
        <v>N/A</v>
      </c>
      <c r="C94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4" t="str">
        <f>IF(AND(DataTable[[#This Row],[Successful Lo. G. S]]="",DataTable[[#This Row],[Successful Hi. G. S.]]=""),"N/A",DataTable[[#This Row],[Successful Lo. G. S]]*2+DataTable[[#This Row],[Successful Hi. G. S.]]*10)</f>
        <v>N/A</v>
      </c>
      <c r="H94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4" s="11" t="str">
        <f>IF(DataTable[[#This Row],[Lo. B. Successful Xings.]]="","N/A",SUM(ProcessedData[[#This Row],[Lo. B. Ti.]],DataTable[[#This Row],[Lo. B. Successful Xings.]]+1))</f>
        <v>N/A</v>
      </c>
      <c r="Z94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5" spans="1:26" x14ac:dyDescent="0.2">
      <c r="A945" t="str">
        <f>IF(DataTable[[#This Row],[Tm.]]="","N/A",DataTable[[#This Row],[Tm.]])</f>
        <v>N/A</v>
      </c>
      <c r="B945" t="str">
        <f>IF(DataTable[[#This Row],[Match Nr.]]="","N/A",DataTable[[#This Row],[Match Nr.]])</f>
        <v>N/A</v>
      </c>
      <c r="C94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5" t="str">
        <f>IF(AND(DataTable[[#This Row],[Successful Lo. G. S]]="",DataTable[[#This Row],[Successful Hi. G. S.]]=""),"N/A",DataTable[[#This Row],[Successful Lo. G. S]]*2+DataTable[[#This Row],[Successful Hi. G. S.]]*10)</f>
        <v>N/A</v>
      </c>
      <c r="H94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5" s="11" t="str">
        <f>IF(DataTable[[#This Row],[Lo. B. Successful Xings.]]="","N/A",SUM(ProcessedData[[#This Row],[Lo. B. Ti.]],DataTable[[#This Row],[Lo. B. Successful Xings.]]+1))</f>
        <v>N/A</v>
      </c>
      <c r="Z94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6" spans="1:26" x14ac:dyDescent="0.2">
      <c r="A946" t="str">
        <f>IF(DataTable[[#This Row],[Tm.]]="","N/A",DataTable[[#This Row],[Tm.]])</f>
        <v>N/A</v>
      </c>
      <c r="B946" t="str">
        <f>IF(DataTable[[#This Row],[Match Nr.]]="","N/A",DataTable[[#This Row],[Match Nr.]])</f>
        <v>N/A</v>
      </c>
      <c r="C94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6" t="str">
        <f>IF(AND(DataTable[[#This Row],[Successful Lo. G. S]]="",DataTable[[#This Row],[Successful Hi. G. S.]]=""),"N/A",DataTable[[#This Row],[Successful Lo. G. S]]*2+DataTable[[#This Row],[Successful Hi. G. S.]]*10)</f>
        <v>N/A</v>
      </c>
      <c r="H94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6" s="11" t="str">
        <f>IF(DataTable[[#This Row],[Lo. B. Successful Xings.]]="","N/A",SUM(ProcessedData[[#This Row],[Lo. B. Ti.]],DataTable[[#This Row],[Lo. B. Successful Xings.]]+1))</f>
        <v>N/A</v>
      </c>
      <c r="Z94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7" spans="1:26" x14ac:dyDescent="0.2">
      <c r="A947" t="str">
        <f>IF(DataTable[[#This Row],[Tm.]]="","N/A",DataTable[[#This Row],[Tm.]])</f>
        <v>N/A</v>
      </c>
      <c r="B947" t="str">
        <f>IF(DataTable[[#This Row],[Match Nr.]]="","N/A",DataTable[[#This Row],[Match Nr.]])</f>
        <v>N/A</v>
      </c>
      <c r="C94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7" t="str">
        <f>IF(AND(DataTable[[#This Row],[Successful Lo. G. S]]="",DataTable[[#This Row],[Successful Hi. G. S.]]=""),"N/A",DataTable[[#This Row],[Successful Lo. G. S]]*2+DataTable[[#This Row],[Successful Hi. G. S.]]*10)</f>
        <v>N/A</v>
      </c>
      <c r="H94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7" s="11" t="str">
        <f>IF(DataTable[[#This Row],[Lo. B. Successful Xings.]]="","N/A",SUM(ProcessedData[[#This Row],[Lo. B. Ti.]],DataTable[[#This Row],[Lo. B. Successful Xings.]]+1))</f>
        <v>N/A</v>
      </c>
      <c r="Z94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8" spans="1:26" x14ac:dyDescent="0.2">
      <c r="A948" t="str">
        <f>IF(DataTable[[#This Row],[Tm.]]="","N/A",DataTable[[#This Row],[Tm.]])</f>
        <v>N/A</v>
      </c>
      <c r="B948" t="str">
        <f>IF(DataTable[[#This Row],[Match Nr.]]="","N/A",DataTable[[#This Row],[Match Nr.]])</f>
        <v>N/A</v>
      </c>
      <c r="C94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8" t="str">
        <f>IF(AND(DataTable[[#This Row],[Successful Lo. G. S]]="",DataTable[[#This Row],[Successful Hi. G. S.]]=""),"N/A",DataTable[[#This Row],[Successful Lo. G. S]]*2+DataTable[[#This Row],[Successful Hi. G. S.]]*10)</f>
        <v>N/A</v>
      </c>
      <c r="H94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8" s="11" t="str">
        <f>IF(DataTable[[#This Row],[Lo. B. Successful Xings.]]="","N/A",SUM(ProcessedData[[#This Row],[Lo. B. Ti.]],DataTable[[#This Row],[Lo. B. Successful Xings.]]+1))</f>
        <v>N/A</v>
      </c>
      <c r="Z94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49" spans="1:26" x14ac:dyDescent="0.2">
      <c r="A949" t="str">
        <f>IF(DataTable[[#This Row],[Tm.]]="","N/A",DataTable[[#This Row],[Tm.]])</f>
        <v>N/A</v>
      </c>
      <c r="B949" t="str">
        <f>IF(DataTable[[#This Row],[Match Nr.]]="","N/A",DataTable[[#This Row],[Match Nr.]])</f>
        <v>N/A</v>
      </c>
      <c r="C94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4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4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4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49" t="str">
        <f>IF(AND(DataTable[[#This Row],[Successful Lo. G. S]]="",DataTable[[#This Row],[Successful Hi. G. S.]]=""),"N/A",DataTable[[#This Row],[Successful Lo. G. S]]*2+DataTable[[#This Row],[Successful Hi. G. S.]]*10)</f>
        <v>N/A</v>
      </c>
      <c r="H94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4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4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4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4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4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4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4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4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4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4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4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4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4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4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4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49" s="11" t="str">
        <f>IF(DataTable[[#This Row],[Lo. B. Successful Xings.]]="","N/A",SUM(ProcessedData[[#This Row],[Lo. B. Ti.]],DataTable[[#This Row],[Lo. B. Successful Xings.]]+1))</f>
        <v>N/A</v>
      </c>
      <c r="Z94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0" spans="1:26" x14ac:dyDescent="0.2">
      <c r="A950" t="str">
        <f>IF(DataTable[[#This Row],[Tm.]]="","N/A",DataTable[[#This Row],[Tm.]])</f>
        <v>N/A</v>
      </c>
      <c r="B950" t="str">
        <f>IF(DataTable[[#This Row],[Match Nr.]]="","N/A",DataTable[[#This Row],[Match Nr.]])</f>
        <v>N/A</v>
      </c>
      <c r="C95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0" t="str">
        <f>IF(AND(DataTable[[#This Row],[Successful Lo. G. S]]="",DataTable[[#This Row],[Successful Hi. G. S.]]=""),"N/A",DataTable[[#This Row],[Successful Lo. G. S]]*2+DataTable[[#This Row],[Successful Hi. G. S.]]*10)</f>
        <v>N/A</v>
      </c>
      <c r="H95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0" s="11" t="str">
        <f>IF(DataTable[[#This Row],[Lo. B. Successful Xings.]]="","N/A",SUM(ProcessedData[[#This Row],[Lo. B. Ti.]],DataTable[[#This Row],[Lo. B. Successful Xings.]]+1))</f>
        <v>N/A</v>
      </c>
      <c r="Z95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1" spans="1:26" x14ac:dyDescent="0.2">
      <c r="A951" t="str">
        <f>IF(DataTable[[#This Row],[Tm.]]="","N/A",DataTable[[#This Row],[Tm.]])</f>
        <v>N/A</v>
      </c>
      <c r="B951" t="str">
        <f>IF(DataTable[[#This Row],[Match Nr.]]="","N/A",DataTable[[#This Row],[Match Nr.]])</f>
        <v>N/A</v>
      </c>
      <c r="C95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1" t="str">
        <f>IF(AND(DataTable[[#This Row],[Successful Lo. G. S]]="",DataTable[[#This Row],[Successful Hi. G. S.]]=""),"N/A",DataTable[[#This Row],[Successful Lo. G. S]]*2+DataTable[[#This Row],[Successful Hi. G. S.]]*10)</f>
        <v>N/A</v>
      </c>
      <c r="H95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1" s="11" t="str">
        <f>IF(DataTable[[#This Row],[Lo. B. Successful Xings.]]="","N/A",SUM(ProcessedData[[#This Row],[Lo. B. Ti.]],DataTable[[#This Row],[Lo. B. Successful Xings.]]+1))</f>
        <v>N/A</v>
      </c>
      <c r="Z95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2" spans="1:26" x14ac:dyDescent="0.2">
      <c r="A952" t="str">
        <f>IF(DataTable[[#This Row],[Tm.]]="","N/A",DataTable[[#This Row],[Tm.]])</f>
        <v>N/A</v>
      </c>
      <c r="B952" t="str">
        <f>IF(DataTable[[#This Row],[Match Nr.]]="","N/A",DataTable[[#This Row],[Match Nr.]])</f>
        <v>N/A</v>
      </c>
      <c r="C95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2" t="str">
        <f>IF(AND(DataTable[[#This Row],[Successful Lo. G. S]]="",DataTable[[#This Row],[Successful Hi. G. S.]]=""),"N/A",DataTable[[#This Row],[Successful Lo. G. S]]*2+DataTable[[#This Row],[Successful Hi. G. S.]]*10)</f>
        <v>N/A</v>
      </c>
      <c r="H95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2" s="11" t="str">
        <f>IF(DataTable[[#This Row],[Lo. B. Successful Xings.]]="","N/A",SUM(ProcessedData[[#This Row],[Lo. B. Ti.]],DataTable[[#This Row],[Lo. B. Successful Xings.]]+1))</f>
        <v>N/A</v>
      </c>
      <c r="Z95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3" spans="1:26" x14ac:dyDescent="0.2">
      <c r="A953" t="str">
        <f>IF(DataTable[[#This Row],[Tm.]]="","N/A",DataTable[[#This Row],[Tm.]])</f>
        <v>N/A</v>
      </c>
      <c r="B953" t="str">
        <f>IF(DataTable[[#This Row],[Match Nr.]]="","N/A",DataTable[[#This Row],[Match Nr.]])</f>
        <v>N/A</v>
      </c>
      <c r="C95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3" t="str">
        <f>IF(AND(DataTable[[#This Row],[Successful Lo. G. S]]="",DataTable[[#This Row],[Successful Hi. G. S.]]=""),"N/A",DataTable[[#This Row],[Successful Lo. G. S]]*2+DataTable[[#This Row],[Successful Hi. G. S.]]*10)</f>
        <v>N/A</v>
      </c>
      <c r="H95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3" s="11" t="str">
        <f>IF(DataTable[[#This Row],[Lo. B. Successful Xings.]]="","N/A",SUM(ProcessedData[[#This Row],[Lo. B. Ti.]],DataTable[[#This Row],[Lo. B. Successful Xings.]]+1))</f>
        <v>N/A</v>
      </c>
      <c r="Z95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4" spans="1:26" x14ac:dyDescent="0.2">
      <c r="A954" t="str">
        <f>IF(DataTable[[#This Row],[Tm.]]="","N/A",DataTable[[#This Row],[Tm.]])</f>
        <v>N/A</v>
      </c>
      <c r="B954" t="str">
        <f>IF(DataTable[[#This Row],[Match Nr.]]="","N/A",DataTable[[#This Row],[Match Nr.]])</f>
        <v>N/A</v>
      </c>
      <c r="C95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4" t="str">
        <f>IF(AND(DataTable[[#This Row],[Successful Lo. G. S]]="",DataTable[[#This Row],[Successful Hi. G. S.]]=""),"N/A",DataTable[[#This Row],[Successful Lo. G. S]]*2+DataTable[[#This Row],[Successful Hi. G. S.]]*10)</f>
        <v>N/A</v>
      </c>
      <c r="H95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4" s="11" t="str">
        <f>IF(DataTable[[#This Row],[Lo. B. Successful Xings.]]="","N/A",SUM(ProcessedData[[#This Row],[Lo. B. Ti.]],DataTable[[#This Row],[Lo. B. Successful Xings.]]+1))</f>
        <v>N/A</v>
      </c>
      <c r="Z95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5" spans="1:26" x14ac:dyDescent="0.2">
      <c r="A955" t="str">
        <f>IF(DataTable[[#This Row],[Tm.]]="","N/A",DataTable[[#This Row],[Tm.]])</f>
        <v>N/A</v>
      </c>
      <c r="B955" t="str">
        <f>IF(DataTable[[#This Row],[Match Nr.]]="","N/A",DataTable[[#This Row],[Match Nr.]])</f>
        <v>N/A</v>
      </c>
      <c r="C95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5" t="str">
        <f>IF(AND(DataTable[[#This Row],[Successful Lo. G. S]]="",DataTable[[#This Row],[Successful Hi. G. S.]]=""),"N/A",DataTable[[#This Row],[Successful Lo. G. S]]*2+DataTable[[#This Row],[Successful Hi. G. S.]]*10)</f>
        <v>N/A</v>
      </c>
      <c r="H95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5" s="11" t="str">
        <f>IF(DataTable[[#This Row],[Lo. B. Successful Xings.]]="","N/A",SUM(ProcessedData[[#This Row],[Lo. B. Ti.]],DataTable[[#This Row],[Lo. B. Successful Xings.]]+1))</f>
        <v>N/A</v>
      </c>
      <c r="Z95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6" spans="1:26" x14ac:dyDescent="0.2">
      <c r="A956" t="str">
        <f>IF(DataTable[[#This Row],[Tm.]]="","N/A",DataTable[[#This Row],[Tm.]])</f>
        <v>N/A</v>
      </c>
      <c r="B956" t="str">
        <f>IF(DataTable[[#This Row],[Match Nr.]]="","N/A",DataTable[[#This Row],[Match Nr.]])</f>
        <v>N/A</v>
      </c>
      <c r="C95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6" t="str">
        <f>IF(AND(DataTable[[#This Row],[Successful Lo. G. S]]="",DataTable[[#This Row],[Successful Hi. G. S.]]=""),"N/A",DataTable[[#This Row],[Successful Lo. G. S]]*2+DataTable[[#This Row],[Successful Hi. G. S.]]*10)</f>
        <v>N/A</v>
      </c>
      <c r="H95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6" s="11" t="str">
        <f>IF(DataTable[[#This Row],[Lo. B. Successful Xings.]]="","N/A",SUM(ProcessedData[[#This Row],[Lo. B. Ti.]],DataTable[[#This Row],[Lo. B. Successful Xings.]]+1))</f>
        <v>N/A</v>
      </c>
      <c r="Z95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7" spans="1:26" x14ac:dyDescent="0.2">
      <c r="A957" t="str">
        <f>IF(DataTable[[#This Row],[Tm.]]="","N/A",DataTable[[#This Row],[Tm.]])</f>
        <v>N/A</v>
      </c>
      <c r="B957" t="str">
        <f>IF(DataTable[[#This Row],[Match Nr.]]="","N/A",DataTable[[#This Row],[Match Nr.]])</f>
        <v>N/A</v>
      </c>
      <c r="C95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7" t="str">
        <f>IF(AND(DataTable[[#This Row],[Successful Lo. G. S]]="",DataTable[[#This Row],[Successful Hi. G. S.]]=""),"N/A",DataTable[[#This Row],[Successful Lo. G. S]]*2+DataTable[[#This Row],[Successful Hi. G. S.]]*10)</f>
        <v>N/A</v>
      </c>
      <c r="H95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7" s="11" t="str">
        <f>IF(DataTable[[#This Row],[Lo. B. Successful Xings.]]="","N/A",SUM(ProcessedData[[#This Row],[Lo. B. Ti.]],DataTable[[#This Row],[Lo. B. Successful Xings.]]+1))</f>
        <v>N/A</v>
      </c>
      <c r="Z95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8" spans="1:26" x14ac:dyDescent="0.2">
      <c r="A958" t="str">
        <f>IF(DataTable[[#This Row],[Tm.]]="","N/A",DataTable[[#This Row],[Tm.]])</f>
        <v>N/A</v>
      </c>
      <c r="B958" t="str">
        <f>IF(DataTable[[#This Row],[Match Nr.]]="","N/A",DataTable[[#This Row],[Match Nr.]])</f>
        <v>N/A</v>
      </c>
      <c r="C95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8" t="str">
        <f>IF(AND(DataTable[[#This Row],[Successful Lo. G. S]]="",DataTable[[#This Row],[Successful Hi. G. S.]]=""),"N/A",DataTable[[#This Row],[Successful Lo. G. S]]*2+DataTable[[#This Row],[Successful Hi. G. S.]]*10)</f>
        <v>N/A</v>
      </c>
      <c r="H95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8" s="11" t="str">
        <f>IF(DataTable[[#This Row],[Lo. B. Successful Xings.]]="","N/A",SUM(ProcessedData[[#This Row],[Lo. B. Ti.]],DataTable[[#This Row],[Lo. B. Successful Xings.]]+1))</f>
        <v>N/A</v>
      </c>
      <c r="Z95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59" spans="1:26" x14ac:dyDescent="0.2">
      <c r="A959" t="str">
        <f>IF(DataTable[[#This Row],[Tm.]]="","N/A",DataTable[[#This Row],[Tm.]])</f>
        <v>N/A</v>
      </c>
      <c r="B959" t="str">
        <f>IF(DataTable[[#This Row],[Match Nr.]]="","N/A",DataTable[[#This Row],[Match Nr.]])</f>
        <v>N/A</v>
      </c>
      <c r="C95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5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5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5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59" t="str">
        <f>IF(AND(DataTable[[#This Row],[Successful Lo. G. S]]="",DataTable[[#This Row],[Successful Hi. G. S.]]=""),"N/A",DataTable[[#This Row],[Successful Lo. G. S]]*2+DataTable[[#This Row],[Successful Hi. G. S.]]*10)</f>
        <v>N/A</v>
      </c>
      <c r="H95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5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5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5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5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5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5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5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5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5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5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5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5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5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5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5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59" s="11" t="str">
        <f>IF(DataTable[[#This Row],[Lo. B. Successful Xings.]]="","N/A",SUM(ProcessedData[[#This Row],[Lo. B. Ti.]],DataTable[[#This Row],[Lo. B. Successful Xings.]]+1))</f>
        <v>N/A</v>
      </c>
      <c r="Z95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0" spans="1:26" x14ac:dyDescent="0.2">
      <c r="A960" t="str">
        <f>IF(DataTable[[#This Row],[Tm.]]="","N/A",DataTable[[#This Row],[Tm.]])</f>
        <v>N/A</v>
      </c>
      <c r="B960" t="str">
        <f>IF(DataTable[[#This Row],[Match Nr.]]="","N/A",DataTable[[#This Row],[Match Nr.]])</f>
        <v>N/A</v>
      </c>
      <c r="C96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0" t="str">
        <f>IF(AND(DataTable[[#This Row],[Successful Lo. G. S]]="",DataTable[[#This Row],[Successful Hi. G. S.]]=""),"N/A",DataTable[[#This Row],[Successful Lo. G. S]]*2+DataTable[[#This Row],[Successful Hi. G. S.]]*10)</f>
        <v>N/A</v>
      </c>
      <c r="H96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0" s="11" t="str">
        <f>IF(DataTable[[#This Row],[Lo. B. Successful Xings.]]="","N/A",SUM(ProcessedData[[#This Row],[Lo. B. Ti.]],DataTable[[#This Row],[Lo. B. Successful Xings.]]+1))</f>
        <v>N/A</v>
      </c>
      <c r="Z96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1" spans="1:26" x14ac:dyDescent="0.2">
      <c r="A961" t="str">
        <f>IF(DataTable[[#This Row],[Tm.]]="","N/A",DataTable[[#This Row],[Tm.]])</f>
        <v>N/A</v>
      </c>
      <c r="B961" t="str">
        <f>IF(DataTable[[#This Row],[Match Nr.]]="","N/A",DataTable[[#This Row],[Match Nr.]])</f>
        <v>N/A</v>
      </c>
      <c r="C96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1" t="str">
        <f>IF(AND(DataTable[[#This Row],[Successful Lo. G. S]]="",DataTable[[#This Row],[Successful Hi. G. S.]]=""),"N/A",DataTable[[#This Row],[Successful Lo. G. S]]*2+DataTable[[#This Row],[Successful Hi. G. S.]]*10)</f>
        <v>N/A</v>
      </c>
      <c r="H96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1" s="11" t="str">
        <f>IF(DataTable[[#This Row],[Lo. B. Successful Xings.]]="","N/A",SUM(ProcessedData[[#This Row],[Lo. B. Ti.]],DataTable[[#This Row],[Lo. B. Successful Xings.]]+1))</f>
        <v>N/A</v>
      </c>
      <c r="Z96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2" spans="1:26" x14ac:dyDescent="0.2">
      <c r="A962" t="str">
        <f>IF(DataTable[[#This Row],[Tm.]]="","N/A",DataTable[[#This Row],[Tm.]])</f>
        <v>N/A</v>
      </c>
      <c r="B962" t="str">
        <f>IF(DataTable[[#This Row],[Match Nr.]]="","N/A",DataTable[[#This Row],[Match Nr.]])</f>
        <v>N/A</v>
      </c>
      <c r="C96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2" t="str">
        <f>IF(AND(DataTable[[#This Row],[Successful Lo. G. S]]="",DataTable[[#This Row],[Successful Hi. G. S.]]=""),"N/A",DataTable[[#This Row],[Successful Lo. G. S]]*2+DataTable[[#This Row],[Successful Hi. G. S.]]*10)</f>
        <v>N/A</v>
      </c>
      <c r="H96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2" s="11" t="str">
        <f>IF(DataTable[[#This Row],[Lo. B. Successful Xings.]]="","N/A",SUM(ProcessedData[[#This Row],[Lo. B. Ti.]],DataTable[[#This Row],[Lo. B. Successful Xings.]]+1))</f>
        <v>N/A</v>
      </c>
      <c r="Z96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3" spans="1:26" x14ac:dyDescent="0.2">
      <c r="A963" t="str">
        <f>IF(DataTable[[#This Row],[Tm.]]="","N/A",DataTable[[#This Row],[Tm.]])</f>
        <v>N/A</v>
      </c>
      <c r="B963" t="str">
        <f>IF(DataTable[[#This Row],[Match Nr.]]="","N/A",DataTable[[#This Row],[Match Nr.]])</f>
        <v>N/A</v>
      </c>
      <c r="C96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3" t="str">
        <f>IF(AND(DataTable[[#This Row],[Successful Lo. G. S]]="",DataTable[[#This Row],[Successful Hi. G. S.]]=""),"N/A",DataTable[[#This Row],[Successful Lo. G. S]]*2+DataTable[[#This Row],[Successful Hi. G. S.]]*10)</f>
        <v>N/A</v>
      </c>
      <c r="H96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3" s="11" t="str">
        <f>IF(DataTable[[#This Row],[Lo. B. Successful Xings.]]="","N/A",SUM(ProcessedData[[#This Row],[Lo. B. Ti.]],DataTable[[#This Row],[Lo. B. Successful Xings.]]+1))</f>
        <v>N/A</v>
      </c>
      <c r="Z96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4" spans="1:26" x14ac:dyDescent="0.2">
      <c r="A964" t="str">
        <f>IF(DataTable[[#This Row],[Tm.]]="","N/A",DataTable[[#This Row],[Tm.]])</f>
        <v>N/A</v>
      </c>
      <c r="B964" t="str">
        <f>IF(DataTable[[#This Row],[Match Nr.]]="","N/A",DataTable[[#This Row],[Match Nr.]])</f>
        <v>N/A</v>
      </c>
      <c r="C96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4" t="str">
        <f>IF(AND(DataTable[[#This Row],[Successful Lo. G. S]]="",DataTable[[#This Row],[Successful Hi. G. S.]]=""),"N/A",DataTable[[#This Row],[Successful Lo. G. S]]*2+DataTable[[#This Row],[Successful Hi. G. S.]]*10)</f>
        <v>N/A</v>
      </c>
      <c r="H96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4" s="11" t="str">
        <f>IF(DataTable[[#This Row],[Lo. B. Successful Xings.]]="","N/A",SUM(ProcessedData[[#This Row],[Lo. B. Ti.]],DataTable[[#This Row],[Lo. B. Successful Xings.]]+1))</f>
        <v>N/A</v>
      </c>
      <c r="Z96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5" spans="1:26" x14ac:dyDescent="0.2">
      <c r="A965" t="str">
        <f>IF(DataTable[[#This Row],[Tm.]]="","N/A",DataTable[[#This Row],[Tm.]])</f>
        <v>N/A</v>
      </c>
      <c r="B965" t="str">
        <f>IF(DataTable[[#This Row],[Match Nr.]]="","N/A",DataTable[[#This Row],[Match Nr.]])</f>
        <v>N/A</v>
      </c>
      <c r="C96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5" t="str">
        <f>IF(AND(DataTable[[#This Row],[Successful Lo. G. S]]="",DataTable[[#This Row],[Successful Hi. G. S.]]=""),"N/A",DataTable[[#This Row],[Successful Lo. G. S]]*2+DataTable[[#This Row],[Successful Hi. G. S.]]*10)</f>
        <v>N/A</v>
      </c>
      <c r="H96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5" s="11" t="str">
        <f>IF(DataTable[[#This Row],[Lo. B. Successful Xings.]]="","N/A",SUM(ProcessedData[[#This Row],[Lo. B. Ti.]],DataTable[[#This Row],[Lo. B. Successful Xings.]]+1))</f>
        <v>N/A</v>
      </c>
      <c r="Z96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6" spans="1:26" x14ac:dyDescent="0.2">
      <c r="A966" t="str">
        <f>IF(DataTable[[#This Row],[Tm.]]="","N/A",DataTable[[#This Row],[Tm.]])</f>
        <v>N/A</v>
      </c>
      <c r="B966" t="str">
        <f>IF(DataTable[[#This Row],[Match Nr.]]="","N/A",DataTable[[#This Row],[Match Nr.]])</f>
        <v>N/A</v>
      </c>
      <c r="C96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6" t="str">
        <f>IF(AND(DataTable[[#This Row],[Successful Lo. G. S]]="",DataTable[[#This Row],[Successful Hi. G. S.]]=""),"N/A",DataTable[[#This Row],[Successful Lo. G. S]]*2+DataTable[[#This Row],[Successful Hi. G. S.]]*10)</f>
        <v>N/A</v>
      </c>
      <c r="H96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6" s="11" t="str">
        <f>IF(DataTable[[#This Row],[Lo. B. Successful Xings.]]="","N/A",SUM(ProcessedData[[#This Row],[Lo. B. Ti.]],DataTable[[#This Row],[Lo. B. Successful Xings.]]+1))</f>
        <v>N/A</v>
      </c>
      <c r="Z96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7" spans="1:26" x14ac:dyDescent="0.2">
      <c r="A967" t="str">
        <f>IF(DataTable[[#This Row],[Tm.]]="","N/A",DataTable[[#This Row],[Tm.]])</f>
        <v>N/A</v>
      </c>
      <c r="B967" t="str">
        <f>IF(DataTable[[#This Row],[Match Nr.]]="","N/A",DataTable[[#This Row],[Match Nr.]])</f>
        <v>N/A</v>
      </c>
      <c r="C96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7" t="str">
        <f>IF(AND(DataTable[[#This Row],[Successful Lo. G. S]]="",DataTable[[#This Row],[Successful Hi. G. S.]]=""),"N/A",DataTable[[#This Row],[Successful Lo. G. S]]*2+DataTable[[#This Row],[Successful Hi. G. S.]]*10)</f>
        <v>N/A</v>
      </c>
      <c r="H96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7" s="11" t="str">
        <f>IF(DataTable[[#This Row],[Lo. B. Successful Xings.]]="","N/A",SUM(ProcessedData[[#This Row],[Lo. B. Ti.]],DataTable[[#This Row],[Lo. B. Successful Xings.]]+1))</f>
        <v>N/A</v>
      </c>
      <c r="Z96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8" spans="1:26" x14ac:dyDescent="0.2">
      <c r="A968" t="str">
        <f>IF(DataTable[[#This Row],[Tm.]]="","N/A",DataTable[[#This Row],[Tm.]])</f>
        <v>N/A</v>
      </c>
      <c r="B968" t="str">
        <f>IF(DataTable[[#This Row],[Match Nr.]]="","N/A",DataTable[[#This Row],[Match Nr.]])</f>
        <v>N/A</v>
      </c>
      <c r="C96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8" t="str">
        <f>IF(AND(DataTable[[#This Row],[Successful Lo. G. S]]="",DataTable[[#This Row],[Successful Hi. G. S.]]=""),"N/A",DataTable[[#This Row],[Successful Lo. G. S]]*2+DataTable[[#This Row],[Successful Hi. G. S.]]*10)</f>
        <v>N/A</v>
      </c>
      <c r="H96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8" s="11" t="str">
        <f>IF(DataTable[[#This Row],[Lo. B. Successful Xings.]]="","N/A",SUM(ProcessedData[[#This Row],[Lo. B. Ti.]],DataTable[[#This Row],[Lo. B. Successful Xings.]]+1))</f>
        <v>N/A</v>
      </c>
      <c r="Z96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69" spans="1:26" x14ac:dyDescent="0.2">
      <c r="A969" t="str">
        <f>IF(DataTable[[#This Row],[Tm.]]="","N/A",DataTable[[#This Row],[Tm.]])</f>
        <v>N/A</v>
      </c>
      <c r="B969" t="str">
        <f>IF(DataTable[[#This Row],[Match Nr.]]="","N/A",DataTable[[#This Row],[Match Nr.]])</f>
        <v>N/A</v>
      </c>
      <c r="C96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6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6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6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69" t="str">
        <f>IF(AND(DataTable[[#This Row],[Successful Lo. G. S]]="",DataTable[[#This Row],[Successful Hi. G. S.]]=""),"N/A",DataTable[[#This Row],[Successful Lo. G. S]]*2+DataTable[[#This Row],[Successful Hi. G. S.]]*10)</f>
        <v>N/A</v>
      </c>
      <c r="H96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6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6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6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6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6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6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6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6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6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6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6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6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6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6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6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69" s="11" t="str">
        <f>IF(DataTable[[#This Row],[Lo. B. Successful Xings.]]="","N/A",SUM(ProcessedData[[#This Row],[Lo. B. Ti.]],DataTable[[#This Row],[Lo. B. Successful Xings.]]+1))</f>
        <v>N/A</v>
      </c>
      <c r="Z96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0" spans="1:26" x14ac:dyDescent="0.2">
      <c r="A970" t="str">
        <f>IF(DataTable[[#This Row],[Tm.]]="","N/A",DataTable[[#This Row],[Tm.]])</f>
        <v>N/A</v>
      </c>
      <c r="B970" t="str">
        <f>IF(DataTable[[#This Row],[Match Nr.]]="","N/A",DataTable[[#This Row],[Match Nr.]])</f>
        <v>N/A</v>
      </c>
      <c r="C97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0" t="str">
        <f>IF(AND(DataTable[[#This Row],[Successful Lo. G. S]]="",DataTable[[#This Row],[Successful Hi. G. S.]]=""),"N/A",DataTable[[#This Row],[Successful Lo. G. S]]*2+DataTable[[#This Row],[Successful Hi. G. S.]]*10)</f>
        <v>N/A</v>
      </c>
      <c r="H97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0" s="11" t="str">
        <f>IF(DataTable[[#This Row],[Lo. B. Successful Xings.]]="","N/A",SUM(ProcessedData[[#This Row],[Lo. B. Ti.]],DataTable[[#This Row],[Lo. B. Successful Xings.]]+1))</f>
        <v>N/A</v>
      </c>
      <c r="Z97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1" spans="1:26" x14ac:dyDescent="0.2">
      <c r="A971" t="str">
        <f>IF(DataTable[[#This Row],[Tm.]]="","N/A",DataTable[[#This Row],[Tm.]])</f>
        <v>N/A</v>
      </c>
      <c r="B971" t="str">
        <f>IF(DataTable[[#This Row],[Match Nr.]]="","N/A",DataTable[[#This Row],[Match Nr.]])</f>
        <v>N/A</v>
      </c>
      <c r="C97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1" t="str">
        <f>IF(AND(DataTable[[#This Row],[Successful Lo. G. S]]="",DataTable[[#This Row],[Successful Hi. G. S.]]=""),"N/A",DataTable[[#This Row],[Successful Lo. G. S]]*2+DataTable[[#This Row],[Successful Hi. G. S.]]*10)</f>
        <v>N/A</v>
      </c>
      <c r="H97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1" s="11" t="str">
        <f>IF(DataTable[[#This Row],[Lo. B. Successful Xings.]]="","N/A",SUM(ProcessedData[[#This Row],[Lo. B. Ti.]],DataTable[[#This Row],[Lo. B. Successful Xings.]]+1))</f>
        <v>N/A</v>
      </c>
      <c r="Z97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2" spans="1:26" x14ac:dyDescent="0.2">
      <c r="A972" t="str">
        <f>IF(DataTable[[#This Row],[Tm.]]="","N/A",DataTable[[#This Row],[Tm.]])</f>
        <v>N/A</v>
      </c>
      <c r="B972" t="str">
        <f>IF(DataTable[[#This Row],[Match Nr.]]="","N/A",DataTable[[#This Row],[Match Nr.]])</f>
        <v>N/A</v>
      </c>
      <c r="C97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2" t="str">
        <f>IF(AND(DataTable[[#This Row],[Successful Lo. G. S]]="",DataTable[[#This Row],[Successful Hi. G. S.]]=""),"N/A",DataTable[[#This Row],[Successful Lo. G. S]]*2+DataTable[[#This Row],[Successful Hi. G. S.]]*10)</f>
        <v>N/A</v>
      </c>
      <c r="H97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2" s="11" t="str">
        <f>IF(DataTable[[#This Row],[Lo. B. Successful Xings.]]="","N/A",SUM(ProcessedData[[#This Row],[Lo. B. Ti.]],DataTable[[#This Row],[Lo. B. Successful Xings.]]+1))</f>
        <v>N/A</v>
      </c>
      <c r="Z97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3" spans="1:26" x14ac:dyDescent="0.2">
      <c r="A973" t="str">
        <f>IF(DataTable[[#This Row],[Tm.]]="","N/A",DataTable[[#This Row],[Tm.]])</f>
        <v>N/A</v>
      </c>
      <c r="B973" t="str">
        <f>IF(DataTable[[#This Row],[Match Nr.]]="","N/A",DataTable[[#This Row],[Match Nr.]])</f>
        <v>N/A</v>
      </c>
      <c r="C97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3" t="str">
        <f>IF(AND(DataTable[[#This Row],[Successful Lo. G. S]]="",DataTable[[#This Row],[Successful Hi. G. S.]]=""),"N/A",DataTable[[#This Row],[Successful Lo. G. S]]*2+DataTable[[#This Row],[Successful Hi. G. S.]]*10)</f>
        <v>N/A</v>
      </c>
      <c r="H97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3" s="11" t="str">
        <f>IF(DataTable[[#This Row],[Lo. B. Successful Xings.]]="","N/A",SUM(ProcessedData[[#This Row],[Lo. B. Ti.]],DataTable[[#This Row],[Lo. B. Successful Xings.]]+1))</f>
        <v>N/A</v>
      </c>
      <c r="Z97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4" spans="1:26" x14ac:dyDescent="0.2">
      <c r="A974" t="str">
        <f>IF(DataTable[[#This Row],[Tm.]]="","N/A",DataTable[[#This Row],[Tm.]])</f>
        <v>N/A</v>
      </c>
      <c r="B974" t="str">
        <f>IF(DataTable[[#This Row],[Match Nr.]]="","N/A",DataTable[[#This Row],[Match Nr.]])</f>
        <v>N/A</v>
      </c>
      <c r="C97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4" t="str">
        <f>IF(AND(DataTable[[#This Row],[Successful Lo. G. S]]="",DataTable[[#This Row],[Successful Hi. G. S.]]=""),"N/A",DataTable[[#This Row],[Successful Lo. G. S]]*2+DataTable[[#This Row],[Successful Hi. G. S.]]*10)</f>
        <v>N/A</v>
      </c>
      <c r="H97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4" s="11" t="str">
        <f>IF(DataTable[[#This Row],[Lo. B. Successful Xings.]]="","N/A",SUM(ProcessedData[[#This Row],[Lo. B. Ti.]],DataTable[[#This Row],[Lo. B. Successful Xings.]]+1))</f>
        <v>N/A</v>
      </c>
      <c r="Z97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5" spans="1:26" x14ac:dyDescent="0.2">
      <c r="A975" t="str">
        <f>IF(DataTable[[#This Row],[Tm.]]="","N/A",DataTable[[#This Row],[Tm.]])</f>
        <v>N/A</v>
      </c>
      <c r="B975" t="str">
        <f>IF(DataTable[[#This Row],[Match Nr.]]="","N/A",DataTable[[#This Row],[Match Nr.]])</f>
        <v>N/A</v>
      </c>
      <c r="C97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5" t="str">
        <f>IF(AND(DataTable[[#This Row],[Successful Lo. G. S]]="",DataTable[[#This Row],[Successful Hi. G. S.]]=""),"N/A",DataTable[[#This Row],[Successful Lo. G. S]]*2+DataTable[[#This Row],[Successful Hi. G. S.]]*10)</f>
        <v>N/A</v>
      </c>
      <c r="H97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5" s="11" t="str">
        <f>IF(DataTable[[#This Row],[Lo. B. Successful Xings.]]="","N/A",SUM(ProcessedData[[#This Row],[Lo. B. Ti.]],DataTable[[#This Row],[Lo. B. Successful Xings.]]+1))</f>
        <v>N/A</v>
      </c>
      <c r="Z97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6" spans="1:26" x14ac:dyDescent="0.2">
      <c r="A976" t="str">
        <f>IF(DataTable[[#This Row],[Tm.]]="","N/A",DataTable[[#This Row],[Tm.]])</f>
        <v>N/A</v>
      </c>
      <c r="B976" t="str">
        <f>IF(DataTable[[#This Row],[Match Nr.]]="","N/A",DataTable[[#This Row],[Match Nr.]])</f>
        <v>N/A</v>
      </c>
      <c r="C97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6" t="str">
        <f>IF(AND(DataTable[[#This Row],[Successful Lo. G. S]]="",DataTable[[#This Row],[Successful Hi. G. S.]]=""),"N/A",DataTable[[#This Row],[Successful Lo. G. S]]*2+DataTable[[#This Row],[Successful Hi. G. S.]]*10)</f>
        <v>N/A</v>
      </c>
      <c r="H97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6" s="11" t="str">
        <f>IF(DataTable[[#This Row],[Lo. B. Successful Xings.]]="","N/A",SUM(ProcessedData[[#This Row],[Lo. B. Ti.]],DataTable[[#This Row],[Lo. B. Successful Xings.]]+1))</f>
        <v>N/A</v>
      </c>
      <c r="Z97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7" spans="1:26" x14ac:dyDescent="0.2">
      <c r="A977" t="str">
        <f>IF(DataTable[[#This Row],[Tm.]]="","N/A",DataTable[[#This Row],[Tm.]])</f>
        <v>N/A</v>
      </c>
      <c r="B977" t="str">
        <f>IF(DataTable[[#This Row],[Match Nr.]]="","N/A",DataTable[[#This Row],[Match Nr.]])</f>
        <v>N/A</v>
      </c>
      <c r="C97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7" t="str">
        <f>IF(AND(DataTable[[#This Row],[Successful Lo. G. S]]="",DataTable[[#This Row],[Successful Hi. G. S.]]=""),"N/A",DataTable[[#This Row],[Successful Lo. G. S]]*2+DataTable[[#This Row],[Successful Hi. G. S.]]*10)</f>
        <v>N/A</v>
      </c>
      <c r="H97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7" s="11" t="str">
        <f>IF(DataTable[[#This Row],[Lo. B. Successful Xings.]]="","N/A",SUM(ProcessedData[[#This Row],[Lo. B. Ti.]],DataTable[[#This Row],[Lo. B. Successful Xings.]]+1))</f>
        <v>N/A</v>
      </c>
      <c r="Z97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8" spans="1:26" x14ac:dyDescent="0.2">
      <c r="A978" t="str">
        <f>IF(DataTable[[#This Row],[Tm.]]="","N/A",DataTable[[#This Row],[Tm.]])</f>
        <v>N/A</v>
      </c>
      <c r="B978" t="str">
        <f>IF(DataTable[[#This Row],[Match Nr.]]="","N/A",DataTable[[#This Row],[Match Nr.]])</f>
        <v>N/A</v>
      </c>
      <c r="C97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8" t="str">
        <f>IF(AND(DataTable[[#This Row],[Successful Lo. G. S]]="",DataTable[[#This Row],[Successful Hi. G. S.]]=""),"N/A",DataTable[[#This Row],[Successful Lo. G. S]]*2+DataTable[[#This Row],[Successful Hi. G. S.]]*10)</f>
        <v>N/A</v>
      </c>
      <c r="H97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8" s="11" t="str">
        <f>IF(DataTable[[#This Row],[Lo. B. Successful Xings.]]="","N/A",SUM(ProcessedData[[#This Row],[Lo. B. Ti.]],DataTable[[#This Row],[Lo. B. Successful Xings.]]+1))</f>
        <v>N/A</v>
      </c>
      <c r="Z97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79" spans="1:26" x14ac:dyDescent="0.2">
      <c r="A979" t="str">
        <f>IF(DataTable[[#This Row],[Tm.]]="","N/A",DataTable[[#This Row],[Tm.]])</f>
        <v>N/A</v>
      </c>
      <c r="B979" t="str">
        <f>IF(DataTable[[#This Row],[Match Nr.]]="","N/A",DataTable[[#This Row],[Match Nr.]])</f>
        <v>N/A</v>
      </c>
      <c r="C97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7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7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7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79" t="str">
        <f>IF(AND(DataTable[[#This Row],[Successful Lo. G. S]]="",DataTable[[#This Row],[Successful Hi. G. S.]]=""),"N/A",DataTable[[#This Row],[Successful Lo. G. S]]*2+DataTable[[#This Row],[Successful Hi. G. S.]]*10)</f>
        <v>N/A</v>
      </c>
      <c r="H97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7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7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7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7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7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7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7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7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7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7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7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7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7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7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7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79" s="11" t="str">
        <f>IF(DataTable[[#This Row],[Lo. B. Successful Xings.]]="","N/A",SUM(ProcessedData[[#This Row],[Lo. B. Ti.]],DataTable[[#This Row],[Lo. B. Successful Xings.]]+1))</f>
        <v>N/A</v>
      </c>
      <c r="Z97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0" spans="1:26" x14ac:dyDescent="0.2">
      <c r="A980" t="str">
        <f>IF(DataTable[[#This Row],[Tm.]]="","N/A",DataTable[[#This Row],[Tm.]])</f>
        <v>N/A</v>
      </c>
      <c r="B980" t="str">
        <f>IF(DataTable[[#This Row],[Match Nr.]]="","N/A",DataTable[[#This Row],[Match Nr.]])</f>
        <v>N/A</v>
      </c>
      <c r="C98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0" t="str">
        <f>IF(AND(DataTable[[#This Row],[Successful Lo. G. S]]="",DataTable[[#This Row],[Successful Hi. G. S.]]=""),"N/A",DataTable[[#This Row],[Successful Lo. G. S]]*2+DataTable[[#This Row],[Successful Hi. G. S.]]*10)</f>
        <v>N/A</v>
      </c>
      <c r="H98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0" s="11" t="str">
        <f>IF(DataTable[[#This Row],[Lo. B. Successful Xings.]]="","N/A",SUM(ProcessedData[[#This Row],[Lo. B. Ti.]],DataTable[[#This Row],[Lo. B. Successful Xings.]]+1))</f>
        <v>N/A</v>
      </c>
      <c r="Z98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1" spans="1:26" x14ac:dyDescent="0.2">
      <c r="A981" t="str">
        <f>IF(DataTable[[#This Row],[Tm.]]="","N/A",DataTable[[#This Row],[Tm.]])</f>
        <v>N/A</v>
      </c>
      <c r="B981" t="str">
        <f>IF(DataTable[[#This Row],[Match Nr.]]="","N/A",DataTable[[#This Row],[Match Nr.]])</f>
        <v>N/A</v>
      </c>
      <c r="C98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1" t="str">
        <f>IF(AND(DataTable[[#This Row],[Successful Lo. G. S]]="",DataTable[[#This Row],[Successful Hi. G. S.]]=""),"N/A",DataTable[[#This Row],[Successful Lo. G. S]]*2+DataTable[[#This Row],[Successful Hi. G. S.]]*10)</f>
        <v>N/A</v>
      </c>
      <c r="H98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1" s="11" t="str">
        <f>IF(DataTable[[#This Row],[Lo. B. Successful Xings.]]="","N/A",SUM(ProcessedData[[#This Row],[Lo. B. Ti.]],DataTable[[#This Row],[Lo. B. Successful Xings.]]+1))</f>
        <v>N/A</v>
      </c>
      <c r="Z98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2" spans="1:26" x14ac:dyDescent="0.2">
      <c r="A982" t="str">
        <f>IF(DataTable[[#This Row],[Tm.]]="","N/A",DataTable[[#This Row],[Tm.]])</f>
        <v>N/A</v>
      </c>
      <c r="B982" t="str">
        <f>IF(DataTable[[#This Row],[Match Nr.]]="","N/A",DataTable[[#This Row],[Match Nr.]])</f>
        <v>N/A</v>
      </c>
      <c r="C98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2" t="str">
        <f>IF(AND(DataTable[[#This Row],[Successful Lo. G. S]]="",DataTable[[#This Row],[Successful Hi. G. S.]]=""),"N/A",DataTable[[#This Row],[Successful Lo. G. S]]*2+DataTable[[#This Row],[Successful Hi. G. S.]]*10)</f>
        <v>N/A</v>
      </c>
      <c r="H98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2" s="11" t="str">
        <f>IF(DataTable[[#This Row],[Lo. B. Successful Xings.]]="","N/A",SUM(ProcessedData[[#This Row],[Lo. B. Ti.]],DataTable[[#This Row],[Lo. B. Successful Xings.]]+1))</f>
        <v>N/A</v>
      </c>
      <c r="Z98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3" spans="1:26" x14ac:dyDescent="0.2">
      <c r="A983" t="str">
        <f>IF(DataTable[[#This Row],[Tm.]]="","N/A",DataTable[[#This Row],[Tm.]])</f>
        <v>N/A</v>
      </c>
      <c r="B983" t="str">
        <f>IF(DataTable[[#This Row],[Match Nr.]]="","N/A",DataTable[[#This Row],[Match Nr.]])</f>
        <v>N/A</v>
      </c>
      <c r="C98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3" t="str">
        <f>IF(AND(DataTable[[#This Row],[Successful Lo. G. S]]="",DataTable[[#This Row],[Successful Hi. G. S.]]=""),"N/A",DataTable[[#This Row],[Successful Lo. G. S]]*2+DataTable[[#This Row],[Successful Hi. G. S.]]*10)</f>
        <v>N/A</v>
      </c>
      <c r="H98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3" s="11" t="str">
        <f>IF(DataTable[[#This Row],[Lo. B. Successful Xings.]]="","N/A",SUM(ProcessedData[[#This Row],[Lo. B. Ti.]],DataTable[[#This Row],[Lo. B. Successful Xings.]]+1))</f>
        <v>N/A</v>
      </c>
      <c r="Z98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4" spans="1:26" x14ac:dyDescent="0.2">
      <c r="A984" t="str">
        <f>IF(DataTable[[#This Row],[Tm.]]="","N/A",DataTable[[#This Row],[Tm.]])</f>
        <v>N/A</v>
      </c>
      <c r="B984" t="str">
        <f>IF(DataTable[[#This Row],[Match Nr.]]="","N/A",DataTable[[#This Row],[Match Nr.]])</f>
        <v>N/A</v>
      </c>
      <c r="C98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4" t="str">
        <f>IF(AND(DataTable[[#This Row],[Successful Lo. G. S]]="",DataTable[[#This Row],[Successful Hi. G. S.]]=""),"N/A",DataTable[[#This Row],[Successful Lo. G. S]]*2+DataTable[[#This Row],[Successful Hi. G. S.]]*10)</f>
        <v>N/A</v>
      </c>
      <c r="H98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4" s="11" t="str">
        <f>IF(DataTable[[#This Row],[Lo. B. Successful Xings.]]="","N/A",SUM(ProcessedData[[#This Row],[Lo. B. Ti.]],DataTable[[#This Row],[Lo. B. Successful Xings.]]+1))</f>
        <v>N/A</v>
      </c>
      <c r="Z98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5" spans="1:26" x14ac:dyDescent="0.2">
      <c r="A985" t="str">
        <f>IF(DataTable[[#This Row],[Tm.]]="","N/A",DataTable[[#This Row],[Tm.]])</f>
        <v>N/A</v>
      </c>
      <c r="B985" t="str">
        <f>IF(DataTable[[#This Row],[Match Nr.]]="","N/A",DataTable[[#This Row],[Match Nr.]])</f>
        <v>N/A</v>
      </c>
      <c r="C98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5" t="str">
        <f>IF(AND(DataTable[[#This Row],[Successful Lo. G. S]]="",DataTable[[#This Row],[Successful Hi. G. S.]]=""),"N/A",DataTable[[#This Row],[Successful Lo. G. S]]*2+DataTable[[#This Row],[Successful Hi. G. S.]]*10)</f>
        <v>N/A</v>
      </c>
      <c r="H98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5" s="11" t="str">
        <f>IF(DataTable[[#This Row],[Lo. B. Successful Xings.]]="","N/A",SUM(ProcessedData[[#This Row],[Lo. B. Ti.]],DataTable[[#This Row],[Lo. B. Successful Xings.]]+1))</f>
        <v>N/A</v>
      </c>
      <c r="Z98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6" spans="1:26" x14ac:dyDescent="0.2">
      <c r="A986" t="str">
        <f>IF(DataTable[[#This Row],[Tm.]]="","N/A",DataTable[[#This Row],[Tm.]])</f>
        <v>N/A</v>
      </c>
      <c r="B986" t="str">
        <f>IF(DataTable[[#This Row],[Match Nr.]]="","N/A",DataTable[[#This Row],[Match Nr.]])</f>
        <v>N/A</v>
      </c>
      <c r="C98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6" t="str">
        <f>IF(AND(DataTable[[#This Row],[Successful Lo. G. S]]="",DataTable[[#This Row],[Successful Hi. G. S.]]=""),"N/A",DataTable[[#This Row],[Successful Lo. G. S]]*2+DataTable[[#This Row],[Successful Hi. G. S.]]*10)</f>
        <v>N/A</v>
      </c>
      <c r="H98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6" s="11" t="str">
        <f>IF(DataTable[[#This Row],[Lo. B. Successful Xings.]]="","N/A",SUM(ProcessedData[[#This Row],[Lo. B. Ti.]],DataTable[[#This Row],[Lo. B. Successful Xings.]]+1))</f>
        <v>N/A</v>
      </c>
      <c r="Z98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7" spans="1:26" x14ac:dyDescent="0.2">
      <c r="A987" t="str">
        <f>IF(DataTable[[#This Row],[Tm.]]="","N/A",DataTable[[#This Row],[Tm.]])</f>
        <v>N/A</v>
      </c>
      <c r="B987" t="str">
        <f>IF(DataTable[[#This Row],[Match Nr.]]="","N/A",DataTable[[#This Row],[Match Nr.]])</f>
        <v>N/A</v>
      </c>
      <c r="C98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7" t="str">
        <f>IF(AND(DataTable[[#This Row],[Successful Lo. G. S]]="",DataTable[[#This Row],[Successful Hi. G. S.]]=""),"N/A",DataTable[[#This Row],[Successful Lo. G. S]]*2+DataTable[[#This Row],[Successful Hi. G. S.]]*10)</f>
        <v>N/A</v>
      </c>
      <c r="H98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7" s="11" t="str">
        <f>IF(DataTable[[#This Row],[Lo. B. Successful Xings.]]="","N/A",SUM(ProcessedData[[#This Row],[Lo. B. Ti.]],DataTable[[#This Row],[Lo. B. Successful Xings.]]+1))</f>
        <v>N/A</v>
      </c>
      <c r="Z98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8" spans="1:26" x14ac:dyDescent="0.2">
      <c r="A988" t="str">
        <f>IF(DataTable[[#This Row],[Tm.]]="","N/A",DataTable[[#This Row],[Tm.]])</f>
        <v>N/A</v>
      </c>
      <c r="B988" t="str">
        <f>IF(DataTable[[#This Row],[Match Nr.]]="","N/A",DataTable[[#This Row],[Match Nr.]])</f>
        <v>N/A</v>
      </c>
      <c r="C98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8" t="str">
        <f>IF(AND(DataTable[[#This Row],[Successful Lo. G. S]]="",DataTable[[#This Row],[Successful Hi. G. S.]]=""),"N/A",DataTable[[#This Row],[Successful Lo. G. S]]*2+DataTable[[#This Row],[Successful Hi. G. S.]]*10)</f>
        <v>N/A</v>
      </c>
      <c r="H98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8" s="11" t="str">
        <f>IF(DataTable[[#This Row],[Lo. B. Successful Xings.]]="","N/A",SUM(ProcessedData[[#This Row],[Lo. B. Ti.]],DataTable[[#This Row],[Lo. B. Successful Xings.]]+1))</f>
        <v>N/A</v>
      </c>
      <c r="Z98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89" spans="1:26" x14ac:dyDescent="0.2">
      <c r="A989" t="str">
        <f>IF(DataTable[[#This Row],[Tm.]]="","N/A",DataTable[[#This Row],[Tm.]])</f>
        <v>N/A</v>
      </c>
      <c r="B989" t="str">
        <f>IF(DataTable[[#This Row],[Match Nr.]]="","N/A",DataTable[[#This Row],[Match Nr.]])</f>
        <v>N/A</v>
      </c>
      <c r="C98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8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8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8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89" t="str">
        <f>IF(AND(DataTable[[#This Row],[Successful Lo. G. S]]="",DataTable[[#This Row],[Successful Hi. G. S.]]=""),"N/A",DataTable[[#This Row],[Successful Lo. G. S]]*2+DataTable[[#This Row],[Successful Hi. G. S.]]*10)</f>
        <v>N/A</v>
      </c>
      <c r="H98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8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8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8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8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8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8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8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8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8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8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8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8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8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8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8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89" s="11" t="str">
        <f>IF(DataTable[[#This Row],[Lo. B. Successful Xings.]]="","N/A",SUM(ProcessedData[[#This Row],[Lo. B. Ti.]],DataTable[[#This Row],[Lo. B. Successful Xings.]]+1))</f>
        <v>N/A</v>
      </c>
      <c r="Z98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0" spans="1:26" x14ac:dyDescent="0.2">
      <c r="A990" t="str">
        <f>IF(DataTable[[#This Row],[Tm.]]="","N/A",DataTable[[#This Row],[Tm.]])</f>
        <v>N/A</v>
      </c>
      <c r="B990" t="str">
        <f>IF(DataTable[[#This Row],[Match Nr.]]="","N/A",DataTable[[#This Row],[Match Nr.]])</f>
        <v>N/A</v>
      </c>
      <c r="C99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0" t="str">
        <f>IF(AND(DataTable[[#This Row],[Successful Lo. G. S]]="",DataTable[[#This Row],[Successful Hi. G. S.]]=""),"N/A",DataTable[[#This Row],[Successful Lo. G. S]]*2+DataTable[[#This Row],[Successful Hi. G. S.]]*10)</f>
        <v>N/A</v>
      </c>
      <c r="H99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0" s="11" t="str">
        <f>IF(DataTable[[#This Row],[Lo. B. Successful Xings.]]="","N/A",SUM(ProcessedData[[#This Row],[Lo. B. Ti.]],DataTable[[#This Row],[Lo. B. Successful Xings.]]+1))</f>
        <v>N/A</v>
      </c>
      <c r="Z99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1" spans="1:26" x14ac:dyDescent="0.2">
      <c r="A991" t="str">
        <f>IF(DataTable[[#This Row],[Tm.]]="","N/A",DataTable[[#This Row],[Tm.]])</f>
        <v>N/A</v>
      </c>
      <c r="B991" t="str">
        <f>IF(DataTable[[#This Row],[Match Nr.]]="","N/A",DataTable[[#This Row],[Match Nr.]])</f>
        <v>N/A</v>
      </c>
      <c r="C991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1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1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1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1" t="str">
        <f>IF(AND(DataTable[[#This Row],[Successful Lo. G. S]]="",DataTable[[#This Row],[Successful Hi. G. S.]]=""),"N/A",DataTable[[#This Row],[Successful Lo. G. S]]*2+DataTable[[#This Row],[Successful Hi. G. S.]]*10)</f>
        <v>N/A</v>
      </c>
      <c r="H991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1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1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1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1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1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1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1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1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1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1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1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1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1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1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1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1" s="11" t="str">
        <f>IF(DataTable[[#This Row],[Lo. B. Successful Xings.]]="","N/A",SUM(ProcessedData[[#This Row],[Lo. B. Ti.]],DataTable[[#This Row],[Lo. B. Successful Xings.]]+1))</f>
        <v>N/A</v>
      </c>
      <c r="Z991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2" spans="1:26" x14ac:dyDescent="0.2">
      <c r="A992" t="str">
        <f>IF(DataTable[[#This Row],[Tm.]]="","N/A",DataTable[[#This Row],[Tm.]])</f>
        <v>N/A</v>
      </c>
      <c r="B992" t="str">
        <f>IF(DataTable[[#This Row],[Match Nr.]]="","N/A",DataTable[[#This Row],[Match Nr.]])</f>
        <v>N/A</v>
      </c>
      <c r="C992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2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2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2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2" t="str">
        <f>IF(AND(DataTable[[#This Row],[Successful Lo. G. S]]="",DataTable[[#This Row],[Successful Hi. G. S.]]=""),"N/A",DataTable[[#This Row],[Successful Lo. G. S]]*2+DataTable[[#This Row],[Successful Hi. G. S.]]*10)</f>
        <v>N/A</v>
      </c>
      <c r="H992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2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2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2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2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2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2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2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2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2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2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2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2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2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2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2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2" s="11" t="str">
        <f>IF(DataTable[[#This Row],[Lo. B. Successful Xings.]]="","N/A",SUM(ProcessedData[[#This Row],[Lo. B. Ti.]],DataTable[[#This Row],[Lo. B. Successful Xings.]]+1))</f>
        <v>N/A</v>
      </c>
      <c r="Z992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3" spans="1:26" x14ac:dyDescent="0.2">
      <c r="A993" t="str">
        <f>IF(DataTable[[#This Row],[Tm.]]="","N/A",DataTable[[#This Row],[Tm.]])</f>
        <v>N/A</v>
      </c>
      <c r="B993" t="str">
        <f>IF(DataTable[[#This Row],[Match Nr.]]="","N/A",DataTable[[#This Row],[Match Nr.]])</f>
        <v>N/A</v>
      </c>
      <c r="C993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3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3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3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3" t="str">
        <f>IF(AND(DataTable[[#This Row],[Successful Lo. G. S]]="",DataTable[[#This Row],[Successful Hi. G. S.]]=""),"N/A",DataTable[[#This Row],[Successful Lo. G. S]]*2+DataTable[[#This Row],[Successful Hi. G. S.]]*10)</f>
        <v>N/A</v>
      </c>
      <c r="H993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3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3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3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3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3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3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3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3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3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3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3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3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3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3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3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3" s="11" t="str">
        <f>IF(DataTable[[#This Row],[Lo. B. Successful Xings.]]="","N/A",SUM(ProcessedData[[#This Row],[Lo. B. Ti.]],DataTable[[#This Row],[Lo. B. Successful Xings.]]+1))</f>
        <v>N/A</v>
      </c>
      <c r="Z993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4" spans="1:26" x14ac:dyDescent="0.2">
      <c r="A994" t="str">
        <f>IF(DataTable[[#This Row],[Tm.]]="","N/A",DataTable[[#This Row],[Tm.]])</f>
        <v>N/A</v>
      </c>
      <c r="B994" t="str">
        <f>IF(DataTable[[#This Row],[Match Nr.]]="","N/A",DataTable[[#This Row],[Match Nr.]])</f>
        <v>N/A</v>
      </c>
      <c r="C994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4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4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4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4" t="str">
        <f>IF(AND(DataTable[[#This Row],[Successful Lo. G. S]]="",DataTable[[#This Row],[Successful Hi. G. S.]]=""),"N/A",DataTable[[#This Row],[Successful Lo. G. S]]*2+DataTable[[#This Row],[Successful Hi. G. S.]]*10)</f>
        <v>N/A</v>
      </c>
      <c r="H994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4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4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4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4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4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4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4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4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4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4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4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4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4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4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4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4" s="11" t="str">
        <f>IF(DataTable[[#This Row],[Lo. B. Successful Xings.]]="","N/A",SUM(ProcessedData[[#This Row],[Lo. B. Ti.]],DataTable[[#This Row],[Lo. B. Successful Xings.]]+1))</f>
        <v>N/A</v>
      </c>
      <c r="Z994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5" spans="1:26" x14ac:dyDescent="0.2">
      <c r="A995" t="str">
        <f>IF(DataTable[[#This Row],[Tm.]]="","N/A",DataTable[[#This Row],[Tm.]])</f>
        <v>N/A</v>
      </c>
      <c r="B995" t="str">
        <f>IF(DataTable[[#This Row],[Match Nr.]]="","N/A",DataTable[[#This Row],[Match Nr.]])</f>
        <v>N/A</v>
      </c>
      <c r="C995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5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5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5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5" t="str">
        <f>IF(AND(DataTable[[#This Row],[Successful Lo. G. S]]="",DataTable[[#This Row],[Successful Hi. G. S.]]=""),"N/A",DataTable[[#This Row],[Successful Lo. G. S]]*2+DataTable[[#This Row],[Successful Hi. G. S.]]*10)</f>
        <v>N/A</v>
      </c>
      <c r="H995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5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5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5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5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5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5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5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5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5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5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5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5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5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5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5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5" s="11" t="str">
        <f>IF(DataTable[[#This Row],[Lo. B. Successful Xings.]]="","N/A",SUM(ProcessedData[[#This Row],[Lo. B. Ti.]],DataTable[[#This Row],[Lo. B. Successful Xings.]]+1))</f>
        <v>N/A</v>
      </c>
      <c r="Z995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6" spans="1:26" x14ac:dyDescent="0.2">
      <c r="A996" t="str">
        <f>IF(DataTable[[#This Row],[Tm.]]="","N/A",DataTable[[#This Row],[Tm.]])</f>
        <v>N/A</v>
      </c>
      <c r="B996" t="str">
        <f>IF(DataTable[[#This Row],[Match Nr.]]="","N/A",DataTable[[#This Row],[Match Nr.]])</f>
        <v>N/A</v>
      </c>
      <c r="C996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6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6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6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6" t="str">
        <f>IF(AND(DataTable[[#This Row],[Successful Lo. G. S]]="",DataTable[[#This Row],[Successful Hi. G. S.]]=""),"N/A",DataTable[[#This Row],[Successful Lo. G. S]]*2+DataTable[[#This Row],[Successful Hi. G. S.]]*10)</f>
        <v>N/A</v>
      </c>
      <c r="H996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6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6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6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6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6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6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6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6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6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6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6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6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6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6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6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6" s="11" t="str">
        <f>IF(DataTable[[#This Row],[Lo. B. Successful Xings.]]="","N/A",SUM(ProcessedData[[#This Row],[Lo. B. Ti.]],DataTable[[#This Row],[Lo. B. Successful Xings.]]+1))</f>
        <v>N/A</v>
      </c>
      <c r="Z996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7" spans="1:26" x14ac:dyDescent="0.2">
      <c r="A997" t="str">
        <f>IF(DataTable[[#This Row],[Tm.]]="","N/A",DataTable[[#This Row],[Tm.]])</f>
        <v>N/A</v>
      </c>
      <c r="B997" t="str">
        <f>IF(DataTable[[#This Row],[Match Nr.]]="","N/A",DataTable[[#This Row],[Match Nr.]])</f>
        <v>N/A</v>
      </c>
      <c r="C997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7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7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7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7" t="str">
        <f>IF(AND(DataTable[[#This Row],[Successful Lo. G. S]]="",DataTable[[#This Row],[Successful Hi. G. S.]]=""),"N/A",DataTable[[#This Row],[Successful Lo. G. S]]*2+DataTable[[#This Row],[Successful Hi. G. S.]]*10)</f>
        <v>N/A</v>
      </c>
      <c r="H997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7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7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7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7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7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7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7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7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7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7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7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7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7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7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7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7" s="11" t="str">
        <f>IF(DataTable[[#This Row],[Lo. B. Successful Xings.]]="","N/A",SUM(ProcessedData[[#This Row],[Lo. B. Ti.]],DataTable[[#This Row],[Lo. B. Successful Xings.]]+1))</f>
        <v>N/A</v>
      </c>
      <c r="Z997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8" spans="1:26" x14ac:dyDescent="0.2">
      <c r="A998" t="str">
        <f>IF(DataTable[[#This Row],[Tm.]]="","N/A",DataTable[[#This Row],[Tm.]])</f>
        <v>N/A</v>
      </c>
      <c r="B998" t="str">
        <f>IF(DataTable[[#This Row],[Match Nr.]]="","N/A",DataTable[[#This Row],[Match Nr.]])</f>
        <v>N/A</v>
      </c>
      <c r="C998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8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8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8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8" t="str">
        <f>IF(AND(DataTable[[#This Row],[Successful Lo. G. S]]="",DataTable[[#This Row],[Successful Hi. G. S.]]=""),"N/A",DataTable[[#This Row],[Successful Lo. G. S]]*2+DataTable[[#This Row],[Successful Hi. G. S.]]*10)</f>
        <v>N/A</v>
      </c>
      <c r="H998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8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8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8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8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8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8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8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8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8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8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8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8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8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8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8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8" s="11" t="str">
        <f>IF(DataTable[[#This Row],[Lo. B. Successful Xings.]]="","N/A",SUM(ProcessedData[[#This Row],[Lo. B. Ti.]],DataTable[[#This Row],[Lo. B. Successful Xings.]]+1))</f>
        <v>N/A</v>
      </c>
      <c r="Z998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999" spans="1:26" x14ac:dyDescent="0.2">
      <c r="A999" t="str">
        <f>IF(DataTable[[#This Row],[Tm.]]="","N/A",DataTable[[#This Row],[Tm.]])</f>
        <v>N/A</v>
      </c>
      <c r="B999" t="str">
        <f>IF(DataTable[[#This Row],[Match Nr.]]="","N/A",DataTable[[#This Row],[Match Nr.]])</f>
        <v>N/A</v>
      </c>
      <c r="C999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999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999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999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999" t="str">
        <f>IF(AND(DataTable[[#This Row],[Successful Lo. G. S]]="",DataTable[[#This Row],[Successful Hi. G. S.]]=""),"N/A",DataTable[[#This Row],[Successful Lo. G. S]]*2+DataTable[[#This Row],[Successful Hi. G. S.]]*10)</f>
        <v>N/A</v>
      </c>
      <c r="H999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999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999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999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999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999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999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999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999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999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999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999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999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999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999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999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999" s="11" t="str">
        <f>IF(DataTable[[#This Row],[Lo. B. Successful Xings.]]="","N/A",SUM(ProcessedData[[#This Row],[Lo. B. Ti.]],DataTable[[#This Row],[Lo. B. Successful Xings.]]+1))</f>
        <v>N/A</v>
      </c>
      <c r="Z999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  <row r="1000" spans="1:26" x14ac:dyDescent="0.2">
      <c r="A1000" t="str">
        <f>IF(DataTable[[#This Row],[Tm.]]="","N/A",DataTable[[#This Row],[Tm.]])</f>
        <v>N/A</v>
      </c>
      <c r="B1000" t="str">
        <f>IF(DataTable[[#This Row],[Match Nr.]]="","N/A",DataTable[[#This Row],[Match Nr.]])</f>
        <v>N/A</v>
      </c>
      <c r="C1000" s="4" t="str">
        <f>IF(AND(DataTable[[#This Row],[Successful Lo. G. S]]="",DataTable[[#This Row],[Missed Lo. G. S.]] =""), "N/A",IF(DataTable[[#This Row],[Successful Lo. G. S]]+DataTable[[#This Row],[Missed Lo. G. S.]]=0,0,DataTable[[#This Row],[Successful Lo. G. S]]/(DataTable[[#This Row],[Successful Lo. G. S]]+DataTable[[#This Row],[Missed Lo. G. S.]])))</f>
        <v>N/A</v>
      </c>
      <c r="D1000" s="4" t="str">
        <f>IF(AND(DataTable[[#This Row],[Successful Hi. G. S.]]="",DataTable[[#This Row],[Missed Hi. G. S.]]=""),"N/A",IF(DataTable[[#This Row],[Successful Hi. G. S.]]+DataTable[[#This Row],[Missed Hi. G. S.]]=0,0,DataTable[[#This Row],[Successful Hi. G. S.]]/(DataTable[[#This Row],[Successful Hi. G. S.]]+DataTable[[#This Row],[Missed Hi. G. S.]])))</f>
        <v>N/A</v>
      </c>
      <c r="E1000" s="4" t="str">
        <f>IF(AND(DataTable[[#This Row],[Successful Lo. G. S]]="",DataTable[[#This Row],[Missed Lo. G. S.]]="",DataTable[[#This Row],[Successful Hi. G. S.]]="",DataTable[[#This Row],[Missed Hi. G. S.]]=""),"N/A",IF(DataTable[[#This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S.]])))</f>
        <v>N/A</v>
      </c>
      <c r="F1000" t="str">
        <f>IF(DataTable[[#This Row],[AUTO Compl.]]="","N/A",IF(DataTable[[#This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goal",20,))))))</f>
        <v>N/A</v>
      </c>
      <c r="G1000" t="str">
        <f>IF(AND(DataTable[[#This Row],[Successful Lo. G. S]]="",DataTable[[#This Row],[Successful Hi. G. S.]]=""),"N/A",DataTable[[#This Row],[Successful Lo. G. S]]*2+DataTable[[#This Row],[Successful Hi. G. S.]]*10)</f>
        <v>N/A</v>
      </c>
      <c r="H1000" t="str">
        <f>IF(AND(DataTable[[#This Row],[Cat. A Successful Xings.]]="",DataTable[[#This Row],[Cat. B Successful Xings.]]="",DataTable[[#This Row],[Cat. C Successful Xings.]]="",DataTable[[#This Row],[Cat. D Successful Xings.]]="",DataTable[[#This Row],[Lo. B. Successful Xings.]]=""),"N/A",(DataTable[[#This Row],[Cat. A Successful Xings.]]+DataTable[[#This Row],[Cat. B Successful Xings.]]+DataTable[[#This Row],[Cat. C Successful Xings.]]+DataTable[[#This Row],[Cat. D Successful Xings.]]+DataTable[[#This Row],[Lo. B. Successful Xings.]])*5)</f>
        <v>N/A</v>
      </c>
      <c r="I1000" t="str">
        <f>IF(DataTable[[#This Row],[E. Game Compl.]]="","N/A",IF(DataTable[[#This Row],[E. Game Compl.]]="Nothing",0,IF(DataTable[[#This Row],[E. Game Compl.]]="Challenging the Tower",5,IF(DataTable[[#This Row],[E. Game Compl.]]="Scaling the Tower",15,))))</f>
        <v>N/A</v>
      </c>
      <c r="J1000" t="str">
        <f>IF(AND(ProcessedData[[#This Row],[AUTO Pts]]="N/A",ProcessedData[[#This Row],[Shooting Pts.]]="N/A",ProcessedData[[#This Row],[Def. Points]]="N/A",ProcessedData[[#This Row],[E. Game Pts.]]="N/A"),"N/A",SUM(ProcessedData[[#This Row],[AUTO Pts]:[E. Game Pts.]]))</f>
        <v>N/A</v>
      </c>
      <c r="L1000" t="str">
        <f>IF(DataTable[[#This Row],[Cat. A Ti.]]="","N/A",IF(DataTable[[#This Row],[Cat. A Ti.]]="N/A",0,IF(DataTable[[#This Row],[Cat. A Ti.]]="&lt;5",3,IF(DataTable[[#This Row],[Cat. A Ti.]]="&lt;5, 5-10", 2.5, IF(OR(DataTable[[#This Row],[Cat. A Ti.]]="5-10",DataTable[[#This Row],[Cat. A Ti.]]="&lt;5, &gt;10",DataTable[[#This Row],[Cat. A Ti.]]="&lt;5, 5-10, &gt;10"),2,IF(DataTable[[#This Row],[Cat. A Ti.]]="5-10, &gt;10",1.5,IF(DataTable[[#This Row],[Cat. A Ti.]]="&gt;10",1,)))))))</f>
        <v>N/A</v>
      </c>
      <c r="M1000" s="11" t="str">
        <f>IF(OR(DataTable[[#This Row],[Opp. Cat. A Def.]]="",DataTable[[#This Row],[Opp. Cat. A Def.]]="Cheval de Frise"),"N/A",SUM(ProcessedData[[#This Row],[Cat. A Ti.]],DataTable[[#This Row],[Cat. A Successful Xings.]]+1))</f>
        <v>N/A</v>
      </c>
      <c r="N1000" s="11" t="str">
        <f>IF(OR(DataTable[[#This Row],[Opp. Cat. A Def.]]="",DataTable[[#This Row],[Opp. Cat. A Def.]]="Portcullis"),"N/A",SUM(ProcessedData[[#This Row],[Cat. A Ti.]],DataTable[[#This Row],[Cat. A Successful Xings.]]+1))</f>
        <v>N/A</v>
      </c>
      <c r="O1000" s="11" t="str">
        <f>IF(DataTable[[#This Row],[Cat. B Ti.]]="","N/A",IF(DataTable[[#This Row],[Cat. B Ti.]]="N/A",0,IF(DataTable[[#This Row],[Cat. B Ti.]]="&lt;5",3,IF(DataTable[[#This Row],[Cat. B Ti.]]="&lt;5, 5-10", 2.5, IF(OR(DataTable[[#This Row],[Cat. B Ti.]]="5-10",DataTable[[#This Row],[Cat. B Ti.]]="&lt;5, &gt;10",DataTable[[#This Row],[Cat. B Ti.]]="&lt;5, 5-10, &gt;10"),2,IF(DataTable[[#This Row],[Cat. B Ti.]]="5-10, &gt;10",1.5,IF(DataTable[[#This Row],[Cat. B Ti.]]="&gt;10",1,)))))))</f>
        <v>N/A</v>
      </c>
      <c r="P1000" s="11" t="str">
        <f>IF(OR(DataTable[[#This Row],[Opp. Cat. A Def.]]="",DataTable[[#This Row],[Opp. Cat. A Def.]]="Ramparts"),"N/A",SUM(ProcessedData[[#This Row],[Cat. B Ti.]],DataTable[[#This Row],[Cat. B Successful Xings.]]+1))</f>
        <v>N/A</v>
      </c>
      <c r="Q1000" s="11" t="str">
        <f>IF(OR(DataTable[[#This Row],[Opp. Cat. B Def.]]="",DataTable[[#This Row],[Opp. Cat. B Def.]]="Moat"),"N/A",SUM(ProcessedData[[#This Row],[Cat. B Ti.]],DataTable[[#This Row],[Cat. B Successful Xings.]]+1))</f>
        <v>N/A</v>
      </c>
      <c r="R1000" s="11" t="str">
        <f>IF(DataTable[[#This Row],[Cat. C Ti.]]="","N/A",IF(DataTable[[#This Row],[Cat. C Ti.]]="N/A",0,IF(DataTable[[#This Row],[Cat. C Ti.]]="&lt;5",3,IF(DataTable[[#This Row],[Cat. C Ti.]]="&lt;5, 5-10", 2.5, IF(OR(DataTable[[#This Row],[Cat. C Ti.]]="5-10",DataTable[[#This Row],[Cat. C Ti.]]="&lt;5, &gt;10",DataTable[[#This Row],[Cat. C Ti.]]="&lt;5, 5-10, &gt;10"),2,IF(DataTable[[#This Row],[Cat. C Ti.]]="5-10, &gt;10",1.5,IF(DataTable[[#This Row],[Cat. C Ti.]]="&gt;10",1,)))))))</f>
        <v>N/A</v>
      </c>
      <c r="S1000" s="11" t="str">
        <f>IF(OR(DataTable[[#This Row],[Opp. Cat. C Def.]]="",DataTable[[#This Row],[Opp. Cat. C Def.]]="Sally Port"),"N/A",SUM(ProcessedData[[#This Row],[Cat. C Ti.]],DataTable[[#This Row],[Cat. C Successful Xings.]]+1))</f>
        <v>N/A</v>
      </c>
      <c r="T1000" s="11" t="str">
        <f>IF(OR(DataTable[[#This Row],[Opp. Cat. C Def.]]="",DataTable[[#This Row],[Opp. Cat. C Def.]]="Drawbridge"),"N/A",SUM(ProcessedData[[#This Row],[Cat. C Ti.]],DataTable[[#This Row],[Cat. C Successful Xings.]]+1))</f>
        <v>N/A</v>
      </c>
      <c r="U1000" s="11" t="str">
        <f>IF(DataTable[[#This Row],[Cat. D Ti.]]="","N/A",IF(DataTable[[#This Row],[Cat. D Ti.]]="N/A",0,IF(DataTable[[#This Row],[Cat. D Ti.]]="&lt;5",3,IF(DataTable[[#This Row],[Cat. D Ti.]]="&lt;5, 5-10", 2.5, IF(OR(DataTable[[#This Row],[Cat. D Ti.]]="5-10",DataTable[[#This Row],[Cat. D Ti.]]="&lt;5, &gt;10",DataTable[[#This Row],[Cat. D Ti.]]="&lt;5, 5-10, &gt;10"),2,IF(DataTable[[#This Row],[Cat. D Ti.]]="5-10, &gt;10",1.5,IF(DataTable[[#This Row],[Cat. D Ti.]]="&gt;10",1,)))))))</f>
        <v>N/A</v>
      </c>
      <c r="V1000" s="11" t="str">
        <f>IF(OR(DataTable[[#This Row],[Opp. Cat. D Def.]]="",DataTable[[#This Row],[Opp. Cat. D Def.]]="Rough Terrain"),"N/A",SUM(ProcessedData[[#This Row],[Cat. D Ti.]],DataTable[[#This Row],[Cat. D Successful Xings.]]+1))</f>
        <v>N/A</v>
      </c>
      <c r="W1000" s="11" t="str">
        <f>IF(OR(DataTable[[#This Row],[Opp. Cat. D Def.]]="",DataTable[[#This Row],[Opp. Cat. D Def.]]="Rock Wall"),"N/A",SUM(ProcessedData[[#This Row],[Cat. D Ti.]],DataTable[[#This Row],[Cat. D Successful Xings.]]+1))</f>
        <v>N/A</v>
      </c>
      <c r="X1000" s="11" t="str">
        <f>IF(DataTable[[#This Row],[Lo. B. Ti.]]="","N/A",IF(DataTable[[#This Row],[Lo. B. Ti.]]="N/A",0,IF(DataTable[[#This Row],[Lo. B. Ti.]]="&lt;5",3,IF(DataTable[[#This Row],[Lo. B. Ti.]]="&lt;5, 5-10", 2.5, IF(OR(DataTable[[#This Row],[Lo. B. Ti.]]="5-10",DataTable[[#This Row],[Lo. B. Ti.]]="&lt;5, &gt;10",DataTable[[#This Row],[Lo. B. Ti.]]="&lt;5, 5-10, &gt;10"),2,IF(DataTable[[#This Row],[Lo. B. Ti.]]="5-10, &gt;10",1.5,IF(DataTable[[#This Row],[Lo. B. Ti.]]="&gt;10",1,)))))))</f>
        <v>N/A</v>
      </c>
      <c r="Y1000" s="11" t="str">
        <f>IF(DataTable[[#This Row],[Lo. B. Successful Xings.]]="","N/A",SUM(ProcessedData[[#This Row],[Lo. B. Ti.]],DataTable[[#This Row],[Lo. B. Successful Xings.]]+1))</f>
        <v>N/A</v>
      </c>
      <c r="Z1000" s="11" t="str">
        <f>IF(AND(ProcessedData[[#This Row],[Portcullis]]="N/A",ProcessedData[[#This Row],[Cheval de Frise]]="N/A",ProcessedData[[#This Row],[Moat]]="N/A",ProcessedData[[#This Row],[Ramparts]]="N/A",ProcessedData[[#This Row],[Drawbridge]]="N/A",ProcessedData[[#This Row],[Sally Port]]="N/A",ProcessedData[[#This Row],[Rock Wall]]="N/A",ProcessedData[[#This Row],[Rough Terrain]]="N/A",ProcessedData[[#This Row],[Lo. B.]]="N/A"),"N/A",AVERAGE(ProcessedData[[#This Row],[Portcullis]:[Cheval de Frise]],ProcessedData[[#This Row],[Moat]:[Ramparts]],ProcessedData[[#This Row],[Drawbridge]:[Sally Port]],ProcessedData[[#This Row],[Rock Wall]:[Rough Terrain]],ProcessedData[[#This Row],[Lo. B.]]))</f>
        <v>N/A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Input</vt:lpstr>
      <vt:lpstr>Unprocessed Data</vt:lpstr>
      <vt:lpstr>Processed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Microsoft Office User</cp:lastModifiedBy>
  <dcterms:created xsi:type="dcterms:W3CDTF">2016-02-07T09:43:34Z</dcterms:created>
  <dcterms:modified xsi:type="dcterms:W3CDTF">2016-03-11T12:43:42Z</dcterms:modified>
</cp:coreProperties>
</file>