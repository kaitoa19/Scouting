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ffins 1884\Downloads\"/>
    </mc:Choice>
  </mc:AlternateContent>
  <bookViews>
    <workbookView xWindow="0" yWindow="465" windowWidth="38400" windowHeight="23460"/>
  </bookViews>
  <sheets>
    <sheet name="Data Input" sheetId="2" r:id="rId1"/>
    <sheet name="Unprocessed Data" sheetId="1" r:id="rId2"/>
    <sheet name="Processed Data" sheetId="3" r:id="rId3"/>
  </sheet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F4" i="3"/>
  <c r="F2" i="3"/>
  <c r="F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G2" i="3"/>
  <c r="I2" i="3"/>
  <c r="J2" i="3"/>
  <c r="G3" i="3"/>
  <c r="I3" i="3"/>
  <c r="J3" i="3"/>
  <c r="G4" i="3"/>
  <c r="I4" i="3"/>
  <c r="J4" i="3"/>
  <c r="G5" i="3"/>
  <c r="I5" i="3"/>
  <c r="J5" i="3"/>
  <c r="G6" i="3"/>
  <c r="I6" i="3"/>
  <c r="J6" i="3"/>
  <c r="G7" i="3"/>
  <c r="I7" i="3"/>
  <c r="J7" i="3"/>
  <c r="G8" i="3"/>
  <c r="I8" i="3"/>
  <c r="J8" i="3"/>
  <c r="G9" i="3"/>
  <c r="I9" i="3"/>
  <c r="J9" i="3"/>
  <c r="G10" i="3"/>
  <c r="I10" i="3"/>
  <c r="J10" i="3"/>
  <c r="G11" i="3"/>
  <c r="I11" i="3"/>
  <c r="J11" i="3"/>
  <c r="G12" i="3"/>
  <c r="I12" i="3"/>
  <c r="J12" i="3"/>
  <c r="G13" i="3"/>
  <c r="I13" i="3"/>
  <c r="J13" i="3"/>
  <c r="G14" i="3"/>
  <c r="I14" i="3"/>
  <c r="J14" i="3"/>
  <c r="G15" i="3"/>
  <c r="I15" i="3"/>
  <c r="J15" i="3"/>
  <c r="G16" i="3"/>
  <c r="I16" i="3"/>
  <c r="J16" i="3"/>
  <c r="G17" i="3"/>
  <c r="I17" i="3"/>
  <c r="J17" i="3"/>
  <c r="G18" i="3"/>
  <c r="I18" i="3"/>
  <c r="J18" i="3"/>
  <c r="G19" i="3"/>
  <c r="I19" i="3"/>
  <c r="J19" i="3"/>
  <c r="G20" i="3"/>
  <c r="I20" i="3"/>
  <c r="J20" i="3"/>
  <c r="G21" i="3"/>
  <c r="I21" i="3"/>
  <c r="J21" i="3"/>
  <c r="G22" i="3"/>
  <c r="I22" i="3"/>
  <c r="J22" i="3"/>
  <c r="G23" i="3"/>
  <c r="I23" i="3"/>
  <c r="J23" i="3"/>
  <c r="G24" i="3"/>
  <c r="I24" i="3"/>
  <c r="J24" i="3"/>
  <c r="G25" i="3"/>
  <c r="I25" i="3"/>
  <c r="J25" i="3"/>
  <c r="G26" i="3"/>
  <c r="I26" i="3"/>
  <c r="J26" i="3"/>
  <c r="G27" i="3"/>
  <c r="I27" i="3"/>
  <c r="J27" i="3"/>
  <c r="G28" i="3"/>
  <c r="I28" i="3"/>
  <c r="J28" i="3"/>
  <c r="G29" i="3"/>
  <c r="I29" i="3"/>
  <c r="J29" i="3"/>
  <c r="G30" i="3"/>
  <c r="I30" i="3"/>
  <c r="J30" i="3"/>
  <c r="G31" i="3"/>
  <c r="I31" i="3"/>
  <c r="J31" i="3"/>
  <c r="G32" i="3"/>
  <c r="I32" i="3"/>
  <c r="J32" i="3"/>
  <c r="G33" i="3"/>
  <c r="I33" i="3"/>
  <c r="J33" i="3"/>
  <c r="G34" i="3"/>
  <c r="I34" i="3"/>
  <c r="J34" i="3"/>
  <c r="G35" i="3"/>
  <c r="I35" i="3"/>
  <c r="J35" i="3"/>
  <c r="G36" i="3"/>
  <c r="I36" i="3"/>
  <c r="J36" i="3"/>
  <c r="G37" i="3"/>
  <c r="I37" i="3"/>
  <c r="J37" i="3"/>
  <c r="G38" i="3"/>
  <c r="I38" i="3"/>
  <c r="J38" i="3"/>
  <c r="G39" i="3"/>
  <c r="I39" i="3"/>
  <c r="J39" i="3"/>
  <c r="G40" i="3"/>
  <c r="I40" i="3"/>
  <c r="J40" i="3"/>
  <c r="G41" i="3"/>
  <c r="I41" i="3"/>
  <c r="J41" i="3"/>
  <c r="G42" i="3"/>
  <c r="I42" i="3"/>
  <c r="J42" i="3"/>
  <c r="G43" i="3"/>
  <c r="I43" i="3"/>
  <c r="J43" i="3"/>
  <c r="G44" i="3"/>
  <c r="I44" i="3"/>
  <c r="J44" i="3"/>
  <c r="G45" i="3"/>
  <c r="I45" i="3"/>
  <c r="J45" i="3"/>
  <c r="G46" i="3"/>
  <c r="I46" i="3"/>
  <c r="J46" i="3"/>
  <c r="G47" i="3"/>
  <c r="I47" i="3"/>
  <c r="J47" i="3"/>
  <c r="G48" i="3"/>
  <c r="I48" i="3"/>
  <c r="J48" i="3"/>
  <c r="G49" i="3"/>
  <c r="I49" i="3"/>
  <c r="J49" i="3"/>
  <c r="G50" i="3"/>
  <c r="I50" i="3"/>
  <c r="J50" i="3"/>
  <c r="G51" i="3"/>
  <c r="I51" i="3"/>
  <c r="J51" i="3"/>
  <c r="G52" i="3"/>
  <c r="I52" i="3"/>
  <c r="J52" i="3"/>
  <c r="G53" i="3"/>
  <c r="I53" i="3"/>
  <c r="J53" i="3"/>
  <c r="G54" i="3"/>
  <c r="I54" i="3"/>
  <c r="J54" i="3"/>
  <c r="G55" i="3"/>
  <c r="I55" i="3"/>
  <c r="J55" i="3"/>
  <c r="G56" i="3"/>
  <c r="I56" i="3"/>
  <c r="J56" i="3"/>
  <c r="G57" i="3"/>
  <c r="I57" i="3"/>
  <c r="J57" i="3"/>
  <c r="G58" i="3"/>
  <c r="I58" i="3"/>
  <c r="J58" i="3"/>
  <c r="G59" i="3"/>
  <c r="I59" i="3"/>
  <c r="J59" i="3"/>
  <c r="G60" i="3"/>
  <c r="I60" i="3"/>
  <c r="J60" i="3"/>
  <c r="G61" i="3"/>
  <c r="I61" i="3"/>
  <c r="J61" i="3"/>
  <c r="G62" i="3"/>
  <c r="I62" i="3"/>
  <c r="J62" i="3"/>
  <c r="G63" i="3"/>
  <c r="I63" i="3"/>
  <c r="J63" i="3"/>
  <c r="G64" i="3"/>
  <c r="I64" i="3"/>
  <c r="J64" i="3"/>
  <c r="G65" i="3"/>
  <c r="I65" i="3"/>
  <c r="J65" i="3"/>
  <c r="G66" i="3"/>
  <c r="I66" i="3"/>
  <c r="J66" i="3"/>
  <c r="G67" i="3"/>
  <c r="I67" i="3"/>
  <c r="J67" i="3"/>
  <c r="G68" i="3"/>
  <c r="I68" i="3"/>
  <c r="J68" i="3"/>
  <c r="G69" i="3"/>
  <c r="I69" i="3"/>
  <c r="J69" i="3"/>
  <c r="G70" i="3"/>
  <c r="I70" i="3"/>
  <c r="J70" i="3"/>
  <c r="G71" i="3"/>
  <c r="I71" i="3"/>
  <c r="J71" i="3"/>
  <c r="G72" i="3"/>
  <c r="I72" i="3"/>
  <c r="J72" i="3"/>
  <c r="G73" i="3"/>
  <c r="I73" i="3"/>
  <c r="J73" i="3"/>
  <c r="G74" i="3"/>
  <c r="I74" i="3"/>
  <c r="J74" i="3"/>
  <c r="G75" i="3"/>
  <c r="I75" i="3"/>
  <c r="J75" i="3"/>
  <c r="G76" i="3"/>
  <c r="I76" i="3"/>
  <c r="J76" i="3"/>
  <c r="G77" i="3"/>
  <c r="I77" i="3"/>
  <c r="J77" i="3"/>
  <c r="G78" i="3"/>
  <c r="I78" i="3"/>
  <c r="J78" i="3"/>
  <c r="G79" i="3"/>
  <c r="I79" i="3"/>
  <c r="J79" i="3"/>
  <c r="G80" i="3"/>
  <c r="I80" i="3"/>
  <c r="J80" i="3"/>
  <c r="G81" i="3"/>
  <c r="I81" i="3"/>
  <c r="J81" i="3"/>
  <c r="G82" i="3"/>
  <c r="I82" i="3"/>
  <c r="J82" i="3"/>
  <c r="G83" i="3"/>
  <c r="I83" i="3"/>
  <c r="J83" i="3"/>
  <c r="G84" i="3"/>
  <c r="I84" i="3"/>
  <c r="J84" i="3"/>
  <c r="G85" i="3"/>
  <c r="I85" i="3"/>
  <c r="J85" i="3"/>
  <c r="G86" i="3"/>
  <c r="I86" i="3"/>
  <c r="J86" i="3"/>
  <c r="G87" i="3"/>
  <c r="I87" i="3"/>
  <c r="J87" i="3"/>
  <c r="G88" i="3"/>
  <c r="I88" i="3"/>
  <c r="J88" i="3"/>
  <c r="G89" i="3"/>
  <c r="I89" i="3"/>
  <c r="J89" i="3"/>
  <c r="G90" i="3"/>
  <c r="I90" i="3"/>
  <c r="J90" i="3"/>
  <c r="G91" i="3"/>
  <c r="I91" i="3"/>
  <c r="J91" i="3"/>
  <c r="G92" i="3"/>
  <c r="I92" i="3"/>
  <c r="J92" i="3"/>
  <c r="G93" i="3"/>
  <c r="I93" i="3"/>
  <c r="J93" i="3"/>
  <c r="G94" i="3"/>
  <c r="I94" i="3"/>
  <c r="J94" i="3"/>
  <c r="G95" i="3"/>
  <c r="I95" i="3"/>
  <c r="J95" i="3"/>
  <c r="G96" i="3"/>
  <c r="I96" i="3"/>
  <c r="J96" i="3"/>
  <c r="G97" i="3"/>
  <c r="I97" i="3"/>
  <c r="J97" i="3"/>
  <c r="G98" i="3"/>
  <c r="I98" i="3"/>
  <c r="J98" i="3"/>
  <c r="G99" i="3"/>
  <c r="I99" i="3"/>
  <c r="J99" i="3"/>
  <c r="G100" i="3"/>
  <c r="I100" i="3"/>
  <c r="J100" i="3"/>
  <c r="G101" i="3"/>
  <c r="I101" i="3"/>
  <c r="J101" i="3"/>
  <c r="G102" i="3"/>
  <c r="I102" i="3"/>
  <c r="J102" i="3"/>
  <c r="G103" i="3"/>
  <c r="I103" i="3"/>
  <c r="J103" i="3"/>
  <c r="G104" i="3"/>
  <c r="I104" i="3"/>
  <c r="J104" i="3"/>
  <c r="G105" i="3"/>
  <c r="I105" i="3"/>
  <c r="J105" i="3"/>
  <c r="G106" i="3"/>
  <c r="I106" i="3"/>
  <c r="J106" i="3"/>
  <c r="G107" i="3"/>
  <c r="I107" i="3"/>
  <c r="J107" i="3"/>
  <c r="G108" i="3"/>
  <c r="I108" i="3"/>
  <c r="J108" i="3"/>
  <c r="G109" i="3"/>
  <c r="I109" i="3"/>
  <c r="J109" i="3"/>
  <c r="G110" i="3"/>
  <c r="I110" i="3"/>
  <c r="J110" i="3"/>
  <c r="G111" i="3"/>
  <c r="I111" i="3"/>
  <c r="J111" i="3"/>
  <c r="G112" i="3"/>
  <c r="I112" i="3"/>
  <c r="J112" i="3"/>
  <c r="G113" i="3"/>
  <c r="I113" i="3"/>
  <c r="J113" i="3"/>
  <c r="G114" i="3"/>
  <c r="I114" i="3"/>
  <c r="J114" i="3"/>
  <c r="G115" i="3"/>
  <c r="I115" i="3"/>
  <c r="J115" i="3"/>
  <c r="G116" i="3"/>
  <c r="I116" i="3"/>
  <c r="J116" i="3"/>
  <c r="G117" i="3"/>
  <c r="I117" i="3"/>
  <c r="J117" i="3"/>
  <c r="G118" i="3"/>
  <c r="I118" i="3"/>
  <c r="J118" i="3"/>
  <c r="G119" i="3"/>
  <c r="I119" i="3"/>
  <c r="J119" i="3"/>
  <c r="G120" i="3"/>
  <c r="I120" i="3"/>
  <c r="J120" i="3"/>
  <c r="G121" i="3"/>
  <c r="I121" i="3"/>
  <c r="J121" i="3"/>
  <c r="G122" i="3"/>
  <c r="I122" i="3"/>
  <c r="J122" i="3"/>
  <c r="G123" i="3"/>
  <c r="I123" i="3"/>
  <c r="J123" i="3"/>
  <c r="G124" i="3"/>
  <c r="I124" i="3"/>
  <c r="J124" i="3"/>
  <c r="G125" i="3"/>
  <c r="I125" i="3"/>
  <c r="J125" i="3"/>
  <c r="G126" i="3"/>
  <c r="I126" i="3"/>
  <c r="J126" i="3"/>
  <c r="G127" i="3"/>
  <c r="I127" i="3"/>
  <c r="J127" i="3"/>
  <c r="G128" i="3"/>
  <c r="I128" i="3"/>
  <c r="J128" i="3"/>
  <c r="G129" i="3"/>
  <c r="I129" i="3"/>
  <c r="J129" i="3"/>
  <c r="G130" i="3"/>
  <c r="I130" i="3"/>
  <c r="J130" i="3"/>
  <c r="G131" i="3"/>
  <c r="I131" i="3"/>
  <c r="J131" i="3"/>
  <c r="G132" i="3"/>
  <c r="I132" i="3"/>
  <c r="J132" i="3"/>
  <c r="G133" i="3"/>
  <c r="I133" i="3"/>
  <c r="J133" i="3"/>
  <c r="G134" i="3"/>
  <c r="I134" i="3"/>
  <c r="J134" i="3"/>
  <c r="G135" i="3"/>
  <c r="I135" i="3"/>
  <c r="J135" i="3"/>
  <c r="G136" i="3"/>
  <c r="I136" i="3"/>
  <c r="J136" i="3"/>
  <c r="G137" i="3"/>
  <c r="I137" i="3"/>
  <c r="J137" i="3"/>
  <c r="G138" i="3"/>
  <c r="I138" i="3"/>
  <c r="J138" i="3"/>
  <c r="G139" i="3"/>
  <c r="I139" i="3"/>
  <c r="J139" i="3"/>
  <c r="G140" i="3"/>
  <c r="I140" i="3"/>
  <c r="J140" i="3"/>
  <c r="G141" i="3"/>
  <c r="I141" i="3"/>
  <c r="J141" i="3"/>
  <c r="G142" i="3"/>
  <c r="I142" i="3"/>
  <c r="J142" i="3"/>
  <c r="G143" i="3"/>
  <c r="I143" i="3"/>
  <c r="J143" i="3"/>
  <c r="G144" i="3"/>
  <c r="I144" i="3"/>
  <c r="J144" i="3"/>
  <c r="G145" i="3"/>
  <c r="I145" i="3"/>
  <c r="J145" i="3"/>
  <c r="G146" i="3"/>
  <c r="I146" i="3"/>
  <c r="J146" i="3"/>
  <c r="G147" i="3"/>
  <c r="I147" i="3"/>
  <c r="J147" i="3"/>
  <c r="G148" i="3"/>
  <c r="I148" i="3"/>
  <c r="J148" i="3"/>
  <c r="G149" i="3"/>
  <c r="I149" i="3"/>
  <c r="J149" i="3"/>
  <c r="G150" i="3"/>
  <c r="I150" i="3"/>
  <c r="J150" i="3"/>
  <c r="G151" i="3"/>
  <c r="I151" i="3"/>
  <c r="J151" i="3"/>
  <c r="G152" i="3"/>
  <c r="I152" i="3"/>
  <c r="J152" i="3"/>
  <c r="G153" i="3"/>
  <c r="I153" i="3"/>
  <c r="J153" i="3"/>
  <c r="G154" i="3"/>
  <c r="I154" i="3"/>
  <c r="J154" i="3"/>
  <c r="G155" i="3"/>
  <c r="I155" i="3"/>
  <c r="J155" i="3"/>
  <c r="G156" i="3"/>
  <c r="I156" i="3"/>
  <c r="J156" i="3"/>
  <c r="G157" i="3"/>
  <c r="I157" i="3"/>
  <c r="J157" i="3"/>
  <c r="G158" i="3"/>
  <c r="I158" i="3"/>
  <c r="J158" i="3"/>
  <c r="G159" i="3"/>
  <c r="I159" i="3"/>
  <c r="J159" i="3"/>
  <c r="G160" i="3"/>
  <c r="I160" i="3"/>
  <c r="J160" i="3"/>
  <c r="G161" i="3"/>
  <c r="I161" i="3"/>
  <c r="J161" i="3"/>
  <c r="G162" i="3"/>
  <c r="I162" i="3"/>
  <c r="J162" i="3"/>
  <c r="G163" i="3"/>
  <c r="I163" i="3"/>
  <c r="J163" i="3"/>
  <c r="G164" i="3"/>
  <c r="I164" i="3"/>
  <c r="J164" i="3"/>
  <c r="G165" i="3"/>
  <c r="I165" i="3"/>
  <c r="J165" i="3"/>
  <c r="G166" i="3"/>
  <c r="I166" i="3"/>
  <c r="J166" i="3"/>
  <c r="G167" i="3"/>
  <c r="I167" i="3"/>
  <c r="J167" i="3"/>
  <c r="G168" i="3"/>
  <c r="I168" i="3"/>
  <c r="J168" i="3"/>
  <c r="G169" i="3"/>
  <c r="I169" i="3"/>
  <c r="J169" i="3"/>
  <c r="G170" i="3"/>
  <c r="I170" i="3"/>
  <c r="J170" i="3"/>
  <c r="G171" i="3"/>
  <c r="I171" i="3"/>
  <c r="J171" i="3"/>
  <c r="G172" i="3"/>
  <c r="I172" i="3"/>
  <c r="J172" i="3"/>
  <c r="G173" i="3"/>
  <c r="I173" i="3"/>
  <c r="J173" i="3"/>
  <c r="G174" i="3"/>
  <c r="I174" i="3"/>
  <c r="J174" i="3"/>
  <c r="G175" i="3"/>
  <c r="I175" i="3"/>
  <c r="J175" i="3"/>
  <c r="G176" i="3"/>
  <c r="I176" i="3"/>
  <c r="J176" i="3"/>
  <c r="G177" i="3"/>
  <c r="I177" i="3"/>
  <c r="J177" i="3"/>
  <c r="G178" i="3"/>
  <c r="I178" i="3"/>
  <c r="J178" i="3"/>
  <c r="G179" i="3"/>
  <c r="I179" i="3"/>
  <c r="J179" i="3"/>
  <c r="G180" i="3"/>
  <c r="I180" i="3"/>
  <c r="J180" i="3"/>
  <c r="G181" i="3"/>
  <c r="I181" i="3"/>
  <c r="J181" i="3"/>
  <c r="G182" i="3"/>
  <c r="I182" i="3"/>
  <c r="J182" i="3"/>
  <c r="G183" i="3"/>
  <c r="I183" i="3"/>
  <c r="J183" i="3"/>
  <c r="G184" i="3"/>
  <c r="I184" i="3"/>
  <c r="J184" i="3"/>
  <c r="G185" i="3"/>
  <c r="I185" i="3"/>
  <c r="J185" i="3"/>
  <c r="G186" i="3"/>
  <c r="I186" i="3"/>
  <c r="J186" i="3"/>
  <c r="G187" i="3"/>
  <c r="I187" i="3"/>
  <c r="J187" i="3"/>
  <c r="G188" i="3"/>
  <c r="I188" i="3"/>
  <c r="J188" i="3"/>
  <c r="G189" i="3"/>
  <c r="I189" i="3"/>
  <c r="J189" i="3"/>
  <c r="G190" i="3"/>
  <c r="I190" i="3"/>
  <c r="J190" i="3"/>
  <c r="G191" i="3"/>
  <c r="I191" i="3"/>
  <c r="J191" i="3"/>
  <c r="G192" i="3"/>
  <c r="I192" i="3"/>
  <c r="J192" i="3"/>
  <c r="G193" i="3"/>
  <c r="I193" i="3"/>
  <c r="J193" i="3"/>
  <c r="G194" i="3"/>
  <c r="I194" i="3"/>
  <c r="J194" i="3"/>
  <c r="G195" i="3"/>
  <c r="I195" i="3"/>
  <c r="J195" i="3"/>
  <c r="G196" i="3"/>
  <c r="I196" i="3"/>
  <c r="J196" i="3"/>
  <c r="G197" i="3"/>
  <c r="I197" i="3"/>
  <c r="J197" i="3"/>
  <c r="G198" i="3"/>
  <c r="I198" i="3"/>
  <c r="J198" i="3"/>
  <c r="G199" i="3"/>
  <c r="I199" i="3"/>
  <c r="J199" i="3"/>
  <c r="G200" i="3"/>
  <c r="I200" i="3"/>
  <c r="J200" i="3"/>
  <c r="G201" i="3"/>
  <c r="I201" i="3"/>
  <c r="J201" i="3"/>
  <c r="G202" i="3"/>
  <c r="I202" i="3"/>
  <c r="J202" i="3"/>
  <c r="G203" i="3"/>
  <c r="I203" i="3"/>
  <c r="J203" i="3"/>
  <c r="G204" i="3"/>
  <c r="I204" i="3"/>
  <c r="J204" i="3"/>
  <c r="G205" i="3"/>
  <c r="I205" i="3"/>
  <c r="J205" i="3"/>
  <c r="G206" i="3"/>
  <c r="I206" i="3"/>
  <c r="J206" i="3"/>
  <c r="G207" i="3"/>
  <c r="I207" i="3"/>
  <c r="J207" i="3"/>
  <c r="G208" i="3"/>
  <c r="I208" i="3"/>
  <c r="J208" i="3"/>
  <c r="G209" i="3"/>
  <c r="I209" i="3"/>
  <c r="J209" i="3"/>
  <c r="G210" i="3"/>
  <c r="I210" i="3"/>
  <c r="J210" i="3"/>
  <c r="G211" i="3"/>
  <c r="I211" i="3"/>
  <c r="J211" i="3"/>
  <c r="G212" i="3"/>
  <c r="I212" i="3"/>
  <c r="J212" i="3"/>
  <c r="G213" i="3"/>
  <c r="I213" i="3"/>
  <c r="J213" i="3"/>
  <c r="G214" i="3"/>
  <c r="I214" i="3"/>
  <c r="J214" i="3"/>
  <c r="G215" i="3"/>
  <c r="I215" i="3"/>
  <c r="J215" i="3"/>
  <c r="G216" i="3"/>
  <c r="I216" i="3"/>
  <c r="J216" i="3"/>
  <c r="G217" i="3"/>
  <c r="I217" i="3"/>
  <c r="J217" i="3"/>
  <c r="G218" i="3"/>
  <c r="I218" i="3"/>
  <c r="J218" i="3"/>
  <c r="G219" i="3"/>
  <c r="I219" i="3"/>
  <c r="J219" i="3"/>
  <c r="G220" i="3"/>
  <c r="I220" i="3"/>
  <c r="J220" i="3"/>
  <c r="G221" i="3"/>
  <c r="I221" i="3"/>
  <c r="J221" i="3"/>
  <c r="G222" i="3"/>
  <c r="I222" i="3"/>
  <c r="J222" i="3"/>
  <c r="G223" i="3"/>
  <c r="I223" i="3"/>
  <c r="J223" i="3"/>
  <c r="G224" i="3"/>
  <c r="I224" i="3"/>
  <c r="J224" i="3"/>
  <c r="G225" i="3"/>
  <c r="I225" i="3"/>
  <c r="J225" i="3"/>
  <c r="G226" i="3"/>
  <c r="I226" i="3"/>
  <c r="J226" i="3"/>
  <c r="G227" i="3"/>
  <c r="I227" i="3"/>
  <c r="J227" i="3"/>
  <c r="G228" i="3"/>
  <c r="I228" i="3"/>
  <c r="J228" i="3"/>
  <c r="G229" i="3"/>
  <c r="I229" i="3"/>
  <c r="J229" i="3"/>
  <c r="G230" i="3"/>
  <c r="I230" i="3"/>
  <c r="J230" i="3"/>
  <c r="G231" i="3"/>
  <c r="I231" i="3"/>
  <c r="J231" i="3"/>
  <c r="G232" i="3"/>
  <c r="I232" i="3"/>
  <c r="J232" i="3"/>
  <c r="G233" i="3"/>
  <c r="I233" i="3"/>
  <c r="J233" i="3"/>
  <c r="G234" i="3"/>
  <c r="I234" i="3"/>
  <c r="J234" i="3"/>
  <c r="G235" i="3"/>
  <c r="I235" i="3"/>
  <c r="J235" i="3"/>
  <c r="G236" i="3"/>
  <c r="I236" i="3"/>
  <c r="J236" i="3"/>
  <c r="G237" i="3"/>
  <c r="I237" i="3"/>
  <c r="J237" i="3"/>
  <c r="G238" i="3"/>
  <c r="I238" i="3"/>
  <c r="J238" i="3"/>
  <c r="G239" i="3"/>
  <c r="I239" i="3"/>
  <c r="J239" i="3"/>
  <c r="G240" i="3"/>
  <c r="I240" i="3"/>
  <c r="J240" i="3"/>
  <c r="G241" i="3"/>
  <c r="I241" i="3"/>
  <c r="J241" i="3"/>
  <c r="G242" i="3"/>
  <c r="I242" i="3"/>
  <c r="J242" i="3"/>
  <c r="G243" i="3"/>
  <c r="I243" i="3"/>
  <c r="J243" i="3"/>
  <c r="G244" i="3"/>
  <c r="I244" i="3"/>
  <c r="J244" i="3"/>
  <c r="G245" i="3"/>
  <c r="I245" i="3"/>
  <c r="J245" i="3"/>
  <c r="G246" i="3"/>
  <c r="I246" i="3"/>
  <c r="J246" i="3"/>
  <c r="G247" i="3"/>
  <c r="I247" i="3"/>
  <c r="J247" i="3"/>
  <c r="G248" i="3"/>
  <c r="I248" i="3"/>
  <c r="J248" i="3"/>
  <c r="G249" i="3"/>
  <c r="I249" i="3"/>
  <c r="J249" i="3"/>
  <c r="G250" i="3"/>
  <c r="I250" i="3"/>
  <c r="J250" i="3"/>
  <c r="G251" i="3"/>
  <c r="I251" i="3"/>
  <c r="J251" i="3"/>
  <c r="G252" i="3"/>
  <c r="I252" i="3"/>
  <c r="J252" i="3"/>
  <c r="G253" i="3"/>
  <c r="I253" i="3"/>
  <c r="J253" i="3"/>
  <c r="G254" i="3"/>
  <c r="I254" i="3"/>
  <c r="J254" i="3"/>
  <c r="G255" i="3"/>
  <c r="I255" i="3"/>
  <c r="J255" i="3"/>
  <c r="G256" i="3"/>
  <c r="I256" i="3"/>
  <c r="J256" i="3"/>
  <c r="G257" i="3"/>
  <c r="I257" i="3"/>
  <c r="J257" i="3"/>
  <c r="G258" i="3"/>
  <c r="I258" i="3"/>
  <c r="J258" i="3"/>
  <c r="G259" i="3"/>
  <c r="I259" i="3"/>
  <c r="J259" i="3"/>
  <c r="G260" i="3"/>
  <c r="I260" i="3"/>
  <c r="J260" i="3"/>
  <c r="G261" i="3"/>
  <c r="I261" i="3"/>
  <c r="J261" i="3"/>
  <c r="G262" i="3"/>
  <c r="I262" i="3"/>
  <c r="J262" i="3"/>
  <c r="G263" i="3"/>
  <c r="I263" i="3"/>
  <c r="J263" i="3"/>
  <c r="G264" i="3"/>
  <c r="I264" i="3"/>
  <c r="J264" i="3"/>
  <c r="G265" i="3"/>
  <c r="I265" i="3"/>
  <c r="J265" i="3"/>
  <c r="G266" i="3"/>
  <c r="I266" i="3"/>
  <c r="J266" i="3"/>
  <c r="G267" i="3"/>
  <c r="I267" i="3"/>
  <c r="J267" i="3"/>
  <c r="G268" i="3"/>
  <c r="I268" i="3"/>
  <c r="J268" i="3"/>
  <c r="G269" i="3"/>
  <c r="I269" i="3"/>
  <c r="J269" i="3"/>
  <c r="G270" i="3"/>
  <c r="I270" i="3"/>
  <c r="J270" i="3"/>
  <c r="G271" i="3"/>
  <c r="I271" i="3"/>
  <c r="J271" i="3"/>
  <c r="G272" i="3"/>
  <c r="I272" i="3"/>
  <c r="J272" i="3"/>
  <c r="G273" i="3"/>
  <c r="I273" i="3"/>
  <c r="J273" i="3"/>
  <c r="G274" i="3"/>
  <c r="I274" i="3"/>
  <c r="J274" i="3"/>
  <c r="G275" i="3"/>
  <c r="I275" i="3"/>
  <c r="J275" i="3"/>
  <c r="G276" i="3"/>
  <c r="I276" i="3"/>
  <c r="J276" i="3"/>
  <c r="G277" i="3"/>
  <c r="I277" i="3"/>
  <c r="J277" i="3"/>
  <c r="G278" i="3"/>
  <c r="I278" i="3"/>
  <c r="J278" i="3"/>
  <c r="G279" i="3"/>
  <c r="I279" i="3"/>
  <c r="J279" i="3"/>
  <c r="G280" i="3"/>
  <c r="I280" i="3"/>
  <c r="J280" i="3"/>
  <c r="G281" i="3"/>
  <c r="I281" i="3"/>
  <c r="J281" i="3"/>
  <c r="G282" i="3"/>
  <c r="I282" i="3"/>
  <c r="J282" i="3"/>
  <c r="G283" i="3"/>
  <c r="I283" i="3"/>
  <c r="J283" i="3"/>
  <c r="G284" i="3"/>
  <c r="I284" i="3"/>
  <c r="J284" i="3"/>
  <c r="G285" i="3"/>
  <c r="I285" i="3"/>
  <c r="J285" i="3"/>
  <c r="G286" i="3"/>
  <c r="I286" i="3"/>
  <c r="J286" i="3"/>
  <c r="G287" i="3"/>
  <c r="I287" i="3"/>
  <c r="J287" i="3"/>
  <c r="G288" i="3"/>
  <c r="I288" i="3"/>
  <c r="J288" i="3"/>
  <c r="G289" i="3"/>
  <c r="I289" i="3"/>
  <c r="J289" i="3"/>
  <c r="G290" i="3"/>
  <c r="I290" i="3"/>
  <c r="J290" i="3"/>
  <c r="G291" i="3"/>
  <c r="I291" i="3"/>
  <c r="J291" i="3"/>
  <c r="G292" i="3"/>
  <c r="I292" i="3"/>
  <c r="J292" i="3"/>
  <c r="G293" i="3"/>
  <c r="I293" i="3"/>
  <c r="J293" i="3"/>
  <c r="G294" i="3"/>
  <c r="I294" i="3"/>
  <c r="J294" i="3"/>
  <c r="G295" i="3"/>
  <c r="I295" i="3"/>
  <c r="J295" i="3"/>
  <c r="G296" i="3"/>
  <c r="I296" i="3"/>
  <c r="J296" i="3"/>
  <c r="G297" i="3"/>
  <c r="I297" i="3"/>
  <c r="J297" i="3"/>
  <c r="G298" i="3"/>
  <c r="I298" i="3"/>
  <c r="J298" i="3"/>
  <c r="G299" i="3"/>
  <c r="I299" i="3"/>
  <c r="J299" i="3"/>
  <c r="G300" i="3"/>
  <c r="I300" i="3"/>
  <c r="J300" i="3"/>
  <c r="G301" i="3"/>
  <c r="I301" i="3"/>
  <c r="J301" i="3"/>
  <c r="G302" i="3"/>
  <c r="I302" i="3"/>
  <c r="J302" i="3"/>
  <c r="G303" i="3"/>
  <c r="I303" i="3"/>
  <c r="J303" i="3"/>
  <c r="G304" i="3"/>
  <c r="I304" i="3"/>
  <c r="J304" i="3"/>
  <c r="G305" i="3"/>
  <c r="I305" i="3"/>
  <c r="J305" i="3"/>
  <c r="G306" i="3"/>
  <c r="I306" i="3"/>
  <c r="J306" i="3"/>
  <c r="G307" i="3"/>
  <c r="I307" i="3"/>
  <c r="J307" i="3"/>
  <c r="G308" i="3"/>
  <c r="I308" i="3"/>
  <c r="J308" i="3"/>
  <c r="G309" i="3"/>
  <c r="I309" i="3"/>
  <c r="J309" i="3"/>
  <c r="G310" i="3"/>
  <c r="I310" i="3"/>
  <c r="J310" i="3"/>
  <c r="G311" i="3"/>
  <c r="I311" i="3"/>
  <c r="J311" i="3"/>
  <c r="G312" i="3"/>
  <c r="I312" i="3"/>
  <c r="J312" i="3"/>
  <c r="G313" i="3"/>
  <c r="I313" i="3"/>
  <c r="J313" i="3"/>
  <c r="G314" i="3"/>
  <c r="I314" i="3"/>
  <c r="J314" i="3"/>
  <c r="G315" i="3"/>
  <c r="I315" i="3"/>
  <c r="J315" i="3"/>
  <c r="G316" i="3"/>
  <c r="I316" i="3"/>
  <c r="J316" i="3"/>
  <c r="G317" i="3"/>
  <c r="I317" i="3"/>
  <c r="J317" i="3"/>
  <c r="G318" i="3"/>
  <c r="I318" i="3"/>
  <c r="J318" i="3"/>
  <c r="G319" i="3"/>
  <c r="I319" i="3"/>
  <c r="J319" i="3"/>
  <c r="G320" i="3"/>
  <c r="I320" i="3"/>
  <c r="J320" i="3"/>
  <c r="G321" i="3"/>
  <c r="I321" i="3"/>
  <c r="J321" i="3"/>
  <c r="G322" i="3"/>
  <c r="I322" i="3"/>
  <c r="J322" i="3"/>
  <c r="G323" i="3"/>
  <c r="I323" i="3"/>
  <c r="J323" i="3"/>
  <c r="G324" i="3"/>
  <c r="I324" i="3"/>
  <c r="J324" i="3"/>
  <c r="G325" i="3"/>
  <c r="I325" i="3"/>
  <c r="J325" i="3"/>
  <c r="G326" i="3"/>
  <c r="I326" i="3"/>
  <c r="J326" i="3"/>
  <c r="G327" i="3"/>
  <c r="I327" i="3"/>
  <c r="J327" i="3"/>
  <c r="G328" i="3"/>
  <c r="I328" i="3"/>
  <c r="J328" i="3"/>
  <c r="G329" i="3"/>
  <c r="I329" i="3"/>
  <c r="J329" i="3"/>
  <c r="G330" i="3"/>
  <c r="I330" i="3"/>
  <c r="J330" i="3"/>
  <c r="G331" i="3"/>
  <c r="I331" i="3"/>
  <c r="J331" i="3"/>
  <c r="G332" i="3"/>
  <c r="I332" i="3"/>
  <c r="J332" i="3"/>
  <c r="G333" i="3"/>
  <c r="I333" i="3"/>
  <c r="J333" i="3"/>
  <c r="G334" i="3"/>
  <c r="I334" i="3"/>
  <c r="J334" i="3"/>
  <c r="G335" i="3"/>
  <c r="I335" i="3"/>
  <c r="J335" i="3"/>
  <c r="G336" i="3"/>
  <c r="I336" i="3"/>
  <c r="J336" i="3"/>
  <c r="G337" i="3"/>
  <c r="I337" i="3"/>
  <c r="J337" i="3"/>
  <c r="G338" i="3"/>
  <c r="I338" i="3"/>
  <c r="J338" i="3"/>
  <c r="G339" i="3"/>
  <c r="I339" i="3"/>
  <c r="J339" i="3"/>
  <c r="G340" i="3"/>
  <c r="I340" i="3"/>
  <c r="J340" i="3"/>
  <c r="G341" i="3"/>
  <c r="I341" i="3"/>
  <c r="J341" i="3"/>
  <c r="G342" i="3"/>
  <c r="I342" i="3"/>
  <c r="J342" i="3"/>
  <c r="G343" i="3"/>
  <c r="I343" i="3"/>
  <c r="J343" i="3"/>
  <c r="G344" i="3"/>
  <c r="I344" i="3"/>
  <c r="J344" i="3"/>
  <c r="G345" i="3"/>
  <c r="I345" i="3"/>
  <c r="J345" i="3"/>
  <c r="G346" i="3"/>
  <c r="I346" i="3"/>
  <c r="J346" i="3"/>
  <c r="G347" i="3"/>
  <c r="I347" i="3"/>
  <c r="J347" i="3"/>
  <c r="G348" i="3"/>
  <c r="I348" i="3"/>
  <c r="J348" i="3"/>
  <c r="G349" i="3"/>
  <c r="I349" i="3"/>
  <c r="J349" i="3"/>
  <c r="G350" i="3"/>
  <c r="I350" i="3"/>
  <c r="J350" i="3"/>
  <c r="G351" i="3"/>
  <c r="I351" i="3"/>
  <c r="J351" i="3"/>
  <c r="G352" i="3"/>
  <c r="I352" i="3"/>
  <c r="J352" i="3"/>
  <c r="G353" i="3"/>
  <c r="I353" i="3"/>
  <c r="J353" i="3"/>
  <c r="G354" i="3"/>
  <c r="I354" i="3"/>
  <c r="J354" i="3"/>
  <c r="G355" i="3"/>
  <c r="I355" i="3"/>
  <c r="J355" i="3"/>
  <c r="G356" i="3"/>
  <c r="I356" i="3"/>
  <c r="J356" i="3"/>
  <c r="G357" i="3"/>
  <c r="I357" i="3"/>
  <c r="J357" i="3"/>
  <c r="G358" i="3"/>
  <c r="I358" i="3"/>
  <c r="J358" i="3"/>
  <c r="G359" i="3"/>
  <c r="I359" i="3"/>
  <c r="J359" i="3"/>
  <c r="G360" i="3"/>
  <c r="I360" i="3"/>
  <c r="J360" i="3"/>
  <c r="G361" i="3"/>
  <c r="I361" i="3"/>
  <c r="J361" i="3"/>
  <c r="G362" i="3"/>
  <c r="I362" i="3"/>
  <c r="J362" i="3"/>
  <c r="G363" i="3"/>
  <c r="I363" i="3"/>
  <c r="J363" i="3"/>
  <c r="G364" i="3"/>
  <c r="I364" i="3"/>
  <c r="J364" i="3"/>
  <c r="G365" i="3"/>
  <c r="I365" i="3"/>
  <c r="J365" i="3"/>
  <c r="G366" i="3"/>
  <c r="I366" i="3"/>
  <c r="J366" i="3"/>
  <c r="G367" i="3"/>
  <c r="I367" i="3"/>
  <c r="J367" i="3"/>
  <c r="G368" i="3"/>
  <c r="I368" i="3"/>
  <c r="J368" i="3"/>
  <c r="G369" i="3"/>
  <c r="I369" i="3"/>
  <c r="J369" i="3"/>
  <c r="G370" i="3"/>
  <c r="I370" i="3"/>
  <c r="J370" i="3"/>
  <c r="G371" i="3"/>
  <c r="I371" i="3"/>
  <c r="J371" i="3"/>
  <c r="G372" i="3"/>
  <c r="I372" i="3"/>
  <c r="J372" i="3"/>
  <c r="G373" i="3"/>
  <c r="I373" i="3"/>
  <c r="J373" i="3"/>
  <c r="G374" i="3"/>
  <c r="I374" i="3"/>
  <c r="J374" i="3"/>
  <c r="G375" i="3"/>
  <c r="I375" i="3"/>
  <c r="J375" i="3"/>
  <c r="G376" i="3"/>
  <c r="I376" i="3"/>
  <c r="J376" i="3"/>
  <c r="G377" i="3"/>
  <c r="I377" i="3"/>
  <c r="J377" i="3"/>
  <c r="G378" i="3"/>
  <c r="I378" i="3"/>
  <c r="J378" i="3"/>
  <c r="G379" i="3"/>
  <c r="I379" i="3"/>
  <c r="J379" i="3"/>
  <c r="G380" i="3"/>
  <c r="I380" i="3"/>
  <c r="J380" i="3"/>
  <c r="G381" i="3"/>
  <c r="I381" i="3"/>
  <c r="J381" i="3"/>
  <c r="G382" i="3"/>
  <c r="I382" i="3"/>
  <c r="J382" i="3"/>
  <c r="G383" i="3"/>
  <c r="I383" i="3"/>
  <c r="J383" i="3"/>
  <c r="G384" i="3"/>
  <c r="I384" i="3"/>
  <c r="J384" i="3"/>
  <c r="G385" i="3"/>
  <c r="I385" i="3"/>
  <c r="J385" i="3"/>
  <c r="G386" i="3"/>
  <c r="I386" i="3"/>
  <c r="J386" i="3"/>
  <c r="G387" i="3"/>
  <c r="I387" i="3"/>
  <c r="J387" i="3"/>
  <c r="G388" i="3"/>
  <c r="I388" i="3"/>
  <c r="J388" i="3"/>
  <c r="G389" i="3"/>
  <c r="I389" i="3"/>
  <c r="J389" i="3"/>
  <c r="G390" i="3"/>
  <c r="I390" i="3"/>
  <c r="J390" i="3"/>
  <c r="G391" i="3"/>
  <c r="I391" i="3"/>
  <c r="J391" i="3"/>
  <c r="G392" i="3"/>
  <c r="I392" i="3"/>
  <c r="J392" i="3"/>
  <c r="G393" i="3"/>
  <c r="I393" i="3"/>
  <c r="J393" i="3"/>
  <c r="G394" i="3"/>
  <c r="I394" i="3"/>
  <c r="J394" i="3"/>
  <c r="G395" i="3"/>
  <c r="I395" i="3"/>
  <c r="J395" i="3"/>
  <c r="G396" i="3"/>
  <c r="I396" i="3"/>
  <c r="J396" i="3"/>
  <c r="G397" i="3"/>
  <c r="I397" i="3"/>
  <c r="J397" i="3"/>
  <c r="G398" i="3"/>
  <c r="I398" i="3"/>
  <c r="J398" i="3"/>
  <c r="G399" i="3"/>
  <c r="I399" i="3"/>
  <c r="J399" i="3"/>
  <c r="G400" i="3"/>
  <c r="I400" i="3"/>
  <c r="J400" i="3"/>
  <c r="G401" i="3"/>
  <c r="I401" i="3"/>
  <c r="J401" i="3"/>
  <c r="G402" i="3"/>
  <c r="I402" i="3"/>
  <c r="J402" i="3"/>
  <c r="G403" i="3"/>
  <c r="I403" i="3"/>
  <c r="J403" i="3"/>
  <c r="G404" i="3"/>
  <c r="I404" i="3"/>
  <c r="J404" i="3"/>
  <c r="G405" i="3"/>
  <c r="I405" i="3"/>
  <c r="J405" i="3"/>
  <c r="G406" i="3"/>
  <c r="I406" i="3"/>
  <c r="J406" i="3"/>
  <c r="G407" i="3"/>
  <c r="I407" i="3"/>
  <c r="J407" i="3"/>
  <c r="G408" i="3"/>
  <c r="I408" i="3"/>
  <c r="J408" i="3"/>
  <c r="G409" i="3"/>
  <c r="I409" i="3"/>
  <c r="J409" i="3"/>
  <c r="G410" i="3"/>
  <c r="I410" i="3"/>
  <c r="J410" i="3"/>
  <c r="G411" i="3"/>
  <c r="I411" i="3"/>
  <c r="J411" i="3"/>
  <c r="G412" i="3"/>
  <c r="I412" i="3"/>
  <c r="J412" i="3"/>
  <c r="G413" i="3"/>
  <c r="I413" i="3"/>
  <c r="J413" i="3"/>
  <c r="G414" i="3"/>
  <c r="I414" i="3"/>
  <c r="J414" i="3"/>
  <c r="G415" i="3"/>
  <c r="I415" i="3"/>
  <c r="J415" i="3"/>
  <c r="G416" i="3"/>
  <c r="I416" i="3"/>
  <c r="J416" i="3"/>
  <c r="G417" i="3"/>
  <c r="I417" i="3"/>
  <c r="J417" i="3"/>
  <c r="G418" i="3"/>
  <c r="I418" i="3"/>
  <c r="J418" i="3"/>
  <c r="G419" i="3"/>
  <c r="I419" i="3"/>
  <c r="J419" i="3"/>
  <c r="G420" i="3"/>
  <c r="I420" i="3"/>
  <c r="J420" i="3"/>
  <c r="G421" i="3"/>
  <c r="I421" i="3"/>
  <c r="J421" i="3"/>
  <c r="G422" i="3"/>
  <c r="I422" i="3"/>
  <c r="J422" i="3"/>
  <c r="G423" i="3"/>
  <c r="I423" i="3"/>
  <c r="J423" i="3"/>
  <c r="G424" i="3"/>
  <c r="I424" i="3"/>
  <c r="J424" i="3"/>
  <c r="G425" i="3"/>
  <c r="I425" i="3"/>
  <c r="J425" i="3"/>
  <c r="G426" i="3"/>
  <c r="I426" i="3"/>
  <c r="J426" i="3"/>
  <c r="G427" i="3"/>
  <c r="I427" i="3"/>
  <c r="J427" i="3"/>
  <c r="G428" i="3"/>
  <c r="I428" i="3"/>
  <c r="J428" i="3"/>
  <c r="G429" i="3"/>
  <c r="I429" i="3"/>
  <c r="J429" i="3"/>
  <c r="G430" i="3"/>
  <c r="I430" i="3"/>
  <c r="J430" i="3"/>
  <c r="G431" i="3"/>
  <c r="I431" i="3"/>
  <c r="J431" i="3"/>
  <c r="G432" i="3"/>
  <c r="I432" i="3"/>
  <c r="J432" i="3"/>
  <c r="G433" i="3"/>
  <c r="I433" i="3"/>
  <c r="J433" i="3"/>
  <c r="G434" i="3"/>
  <c r="I434" i="3"/>
  <c r="J434" i="3"/>
  <c r="G435" i="3"/>
  <c r="I435" i="3"/>
  <c r="J435" i="3"/>
  <c r="G436" i="3"/>
  <c r="I436" i="3"/>
  <c r="J436" i="3"/>
  <c r="G437" i="3"/>
  <c r="I437" i="3"/>
  <c r="J437" i="3"/>
  <c r="G438" i="3"/>
  <c r="I438" i="3"/>
  <c r="J438" i="3"/>
  <c r="G439" i="3"/>
  <c r="I439" i="3"/>
  <c r="J439" i="3"/>
  <c r="G440" i="3"/>
  <c r="I440" i="3"/>
  <c r="J440" i="3"/>
  <c r="G441" i="3"/>
  <c r="I441" i="3"/>
  <c r="J441" i="3"/>
  <c r="G442" i="3"/>
  <c r="I442" i="3"/>
  <c r="J442" i="3"/>
  <c r="G443" i="3"/>
  <c r="I443" i="3"/>
  <c r="J443" i="3"/>
  <c r="G444" i="3"/>
  <c r="I444" i="3"/>
  <c r="J444" i="3"/>
  <c r="G445" i="3"/>
  <c r="I445" i="3"/>
  <c r="J445" i="3"/>
  <c r="G446" i="3"/>
  <c r="I446" i="3"/>
  <c r="J446" i="3"/>
  <c r="G447" i="3"/>
  <c r="I447" i="3"/>
  <c r="J447" i="3"/>
  <c r="G448" i="3"/>
  <c r="I448" i="3"/>
  <c r="J448" i="3"/>
  <c r="G449" i="3"/>
  <c r="I449" i="3"/>
  <c r="J449" i="3"/>
  <c r="G450" i="3"/>
  <c r="I450" i="3"/>
  <c r="J450" i="3"/>
  <c r="G451" i="3"/>
  <c r="I451" i="3"/>
  <c r="J451" i="3"/>
  <c r="G452" i="3"/>
  <c r="I452" i="3"/>
  <c r="J452" i="3"/>
  <c r="G453" i="3"/>
  <c r="I453" i="3"/>
  <c r="J453" i="3"/>
  <c r="G454" i="3"/>
  <c r="I454" i="3"/>
  <c r="J454" i="3"/>
  <c r="G455" i="3"/>
  <c r="I455" i="3"/>
  <c r="J455" i="3"/>
  <c r="G456" i="3"/>
  <c r="I456" i="3"/>
  <c r="J456" i="3"/>
  <c r="G457" i="3"/>
  <c r="I457" i="3"/>
  <c r="J457" i="3"/>
  <c r="G458" i="3"/>
  <c r="I458" i="3"/>
  <c r="J458" i="3"/>
  <c r="G459" i="3"/>
  <c r="I459" i="3"/>
  <c r="J459" i="3"/>
  <c r="G460" i="3"/>
  <c r="I460" i="3"/>
  <c r="J460" i="3"/>
  <c r="G461" i="3"/>
  <c r="I461" i="3"/>
  <c r="J461" i="3"/>
  <c r="G462" i="3"/>
  <c r="I462" i="3"/>
  <c r="J462" i="3"/>
  <c r="G463" i="3"/>
  <c r="I463" i="3"/>
  <c r="J463" i="3"/>
  <c r="G464" i="3"/>
  <c r="I464" i="3"/>
  <c r="J464" i="3"/>
  <c r="G465" i="3"/>
  <c r="I465" i="3"/>
  <c r="J465" i="3"/>
  <c r="G466" i="3"/>
  <c r="I466" i="3"/>
  <c r="J466" i="3"/>
  <c r="G467" i="3"/>
  <c r="I467" i="3"/>
  <c r="J467" i="3"/>
  <c r="G468" i="3"/>
  <c r="I468" i="3"/>
  <c r="J468" i="3"/>
  <c r="G469" i="3"/>
  <c r="I469" i="3"/>
  <c r="J469" i="3"/>
  <c r="G470" i="3"/>
  <c r="I470" i="3"/>
  <c r="J470" i="3"/>
  <c r="G471" i="3"/>
  <c r="I471" i="3"/>
  <c r="J471" i="3"/>
  <c r="G472" i="3"/>
  <c r="I472" i="3"/>
  <c r="J472" i="3"/>
  <c r="G473" i="3"/>
  <c r="I473" i="3"/>
  <c r="J473" i="3"/>
  <c r="G474" i="3"/>
  <c r="I474" i="3"/>
  <c r="J474" i="3"/>
  <c r="G475" i="3"/>
  <c r="I475" i="3"/>
  <c r="J475" i="3"/>
  <c r="G476" i="3"/>
  <c r="I476" i="3"/>
  <c r="J476" i="3"/>
  <c r="G477" i="3"/>
  <c r="I477" i="3"/>
  <c r="J477" i="3"/>
  <c r="G478" i="3"/>
  <c r="I478" i="3"/>
  <c r="J478" i="3"/>
  <c r="G479" i="3"/>
  <c r="I479" i="3"/>
  <c r="J479" i="3"/>
  <c r="G480" i="3"/>
  <c r="I480" i="3"/>
  <c r="J480" i="3"/>
  <c r="G481" i="3"/>
  <c r="I481" i="3"/>
  <c r="J481" i="3"/>
  <c r="G482" i="3"/>
  <c r="I482" i="3"/>
  <c r="J482" i="3"/>
  <c r="G483" i="3"/>
  <c r="I483" i="3"/>
  <c r="J483" i="3"/>
  <c r="G484" i="3"/>
  <c r="I484" i="3"/>
  <c r="J484" i="3"/>
  <c r="G485" i="3"/>
  <c r="I485" i="3"/>
  <c r="J485" i="3"/>
  <c r="G486" i="3"/>
  <c r="I486" i="3"/>
  <c r="J486" i="3"/>
  <c r="G487" i="3"/>
  <c r="I487" i="3"/>
  <c r="J487" i="3"/>
  <c r="G488" i="3"/>
  <c r="I488" i="3"/>
  <c r="J488" i="3"/>
  <c r="G489" i="3"/>
  <c r="I489" i="3"/>
  <c r="J489" i="3"/>
  <c r="G490" i="3"/>
  <c r="I490" i="3"/>
  <c r="J490" i="3"/>
  <c r="G491" i="3"/>
  <c r="I491" i="3"/>
  <c r="J491" i="3"/>
  <c r="G492" i="3"/>
  <c r="I492" i="3"/>
  <c r="J492" i="3"/>
  <c r="G493" i="3"/>
  <c r="I493" i="3"/>
  <c r="J493" i="3"/>
  <c r="G494" i="3"/>
  <c r="I494" i="3"/>
  <c r="J494" i="3"/>
  <c r="G495" i="3"/>
  <c r="I495" i="3"/>
  <c r="J495" i="3"/>
  <c r="G496" i="3"/>
  <c r="I496" i="3"/>
  <c r="J496" i="3"/>
  <c r="G497" i="3"/>
  <c r="I497" i="3"/>
  <c r="J497" i="3"/>
  <c r="G498" i="3"/>
  <c r="I498" i="3"/>
  <c r="J498" i="3"/>
  <c r="G499" i="3"/>
  <c r="I499" i="3"/>
  <c r="J499" i="3"/>
  <c r="G500" i="3"/>
  <c r="I500" i="3"/>
  <c r="J500" i="3"/>
  <c r="G501" i="3"/>
  <c r="I501" i="3"/>
  <c r="J501" i="3"/>
  <c r="G502" i="3"/>
  <c r="I502" i="3"/>
  <c r="J502" i="3"/>
  <c r="G503" i="3"/>
  <c r="I503" i="3"/>
  <c r="J503" i="3"/>
  <c r="G504" i="3"/>
  <c r="I504" i="3"/>
  <c r="J504" i="3"/>
  <c r="G505" i="3"/>
  <c r="I505" i="3"/>
  <c r="J505" i="3"/>
  <c r="G506" i="3"/>
  <c r="I506" i="3"/>
  <c r="J506" i="3"/>
  <c r="G507" i="3"/>
  <c r="I507" i="3"/>
  <c r="J507" i="3"/>
  <c r="G508" i="3"/>
  <c r="I508" i="3"/>
  <c r="J508" i="3"/>
  <c r="G509" i="3"/>
  <c r="I509" i="3"/>
  <c r="J509" i="3"/>
  <c r="G510" i="3"/>
  <c r="I510" i="3"/>
  <c r="J510" i="3"/>
  <c r="G511" i="3"/>
  <c r="I511" i="3"/>
  <c r="J511" i="3"/>
  <c r="G512" i="3"/>
  <c r="I512" i="3"/>
  <c r="J512" i="3"/>
  <c r="G513" i="3"/>
  <c r="I513" i="3"/>
  <c r="J513" i="3"/>
  <c r="G514" i="3"/>
  <c r="I514" i="3"/>
  <c r="J514" i="3"/>
  <c r="G515" i="3"/>
  <c r="I515" i="3"/>
  <c r="J515" i="3"/>
  <c r="G516" i="3"/>
  <c r="I516" i="3"/>
  <c r="J516" i="3"/>
  <c r="G517" i="3"/>
  <c r="I517" i="3"/>
  <c r="J517" i="3"/>
  <c r="G518" i="3"/>
  <c r="I518" i="3"/>
  <c r="J518" i="3"/>
  <c r="G519" i="3"/>
  <c r="I519" i="3"/>
  <c r="J519" i="3"/>
  <c r="G520" i="3"/>
  <c r="I520" i="3"/>
  <c r="J520" i="3"/>
  <c r="G521" i="3"/>
  <c r="I521" i="3"/>
  <c r="J521" i="3"/>
  <c r="G522" i="3"/>
  <c r="I522" i="3"/>
  <c r="J522" i="3"/>
  <c r="G523" i="3"/>
  <c r="I523" i="3"/>
  <c r="J523" i="3"/>
  <c r="G524" i="3"/>
  <c r="I524" i="3"/>
  <c r="J524" i="3"/>
  <c r="G525" i="3"/>
  <c r="I525" i="3"/>
  <c r="J525" i="3"/>
  <c r="G526" i="3"/>
  <c r="I526" i="3"/>
  <c r="J526" i="3"/>
  <c r="G527" i="3"/>
  <c r="I527" i="3"/>
  <c r="J527" i="3"/>
  <c r="G528" i="3"/>
  <c r="I528" i="3"/>
  <c r="J528" i="3"/>
  <c r="G529" i="3"/>
  <c r="I529" i="3"/>
  <c r="J529" i="3"/>
  <c r="G530" i="3"/>
  <c r="I530" i="3"/>
  <c r="J530" i="3"/>
  <c r="G531" i="3"/>
  <c r="I531" i="3"/>
  <c r="J531" i="3"/>
  <c r="G532" i="3"/>
  <c r="I532" i="3"/>
  <c r="J532" i="3"/>
  <c r="G533" i="3"/>
  <c r="I533" i="3"/>
  <c r="J533" i="3"/>
  <c r="G534" i="3"/>
  <c r="I534" i="3"/>
  <c r="J534" i="3"/>
  <c r="G535" i="3"/>
  <c r="I535" i="3"/>
  <c r="J535" i="3"/>
  <c r="G536" i="3"/>
  <c r="I536" i="3"/>
  <c r="J536" i="3"/>
  <c r="G537" i="3"/>
  <c r="I537" i="3"/>
  <c r="J537" i="3"/>
  <c r="G538" i="3"/>
  <c r="I538" i="3"/>
  <c r="J538" i="3"/>
  <c r="G539" i="3"/>
  <c r="I539" i="3"/>
  <c r="J539" i="3"/>
  <c r="G540" i="3"/>
  <c r="I540" i="3"/>
  <c r="J540" i="3"/>
  <c r="G541" i="3"/>
  <c r="I541" i="3"/>
  <c r="J541" i="3"/>
  <c r="G542" i="3"/>
  <c r="I542" i="3"/>
  <c r="J542" i="3"/>
  <c r="G543" i="3"/>
  <c r="I543" i="3"/>
  <c r="J543" i="3"/>
  <c r="G544" i="3"/>
  <c r="I544" i="3"/>
  <c r="J544" i="3"/>
  <c r="G545" i="3"/>
  <c r="I545" i="3"/>
  <c r="J545" i="3"/>
  <c r="G546" i="3"/>
  <c r="I546" i="3"/>
  <c r="J546" i="3"/>
  <c r="G547" i="3"/>
  <c r="I547" i="3"/>
  <c r="J547" i="3"/>
  <c r="G548" i="3"/>
  <c r="I548" i="3"/>
  <c r="J548" i="3"/>
  <c r="G549" i="3"/>
  <c r="I549" i="3"/>
  <c r="J549" i="3"/>
  <c r="G550" i="3"/>
  <c r="I550" i="3"/>
  <c r="J550" i="3"/>
  <c r="G551" i="3"/>
  <c r="I551" i="3"/>
  <c r="J551" i="3"/>
  <c r="G552" i="3"/>
  <c r="I552" i="3"/>
  <c r="J552" i="3"/>
  <c r="G553" i="3"/>
  <c r="I553" i="3"/>
  <c r="J553" i="3"/>
  <c r="G554" i="3"/>
  <c r="I554" i="3"/>
  <c r="J554" i="3"/>
  <c r="G555" i="3"/>
  <c r="I555" i="3"/>
  <c r="J555" i="3"/>
  <c r="G556" i="3"/>
  <c r="I556" i="3"/>
  <c r="J556" i="3"/>
  <c r="G557" i="3"/>
  <c r="I557" i="3"/>
  <c r="J557" i="3"/>
  <c r="G558" i="3"/>
  <c r="I558" i="3"/>
  <c r="J558" i="3"/>
  <c r="G559" i="3"/>
  <c r="I559" i="3"/>
  <c r="J559" i="3"/>
  <c r="G560" i="3"/>
  <c r="I560" i="3"/>
  <c r="J560" i="3"/>
  <c r="G561" i="3"/>
  <c r="I561" i="3"/>
  <c r="J561" i="3"/>
  <c r="G562" i="3"/>
  <c r="I562" i="3"/>
  <c r="J562" i="3"/>
  <c r="G563" i="3"/>
  <c r="I563" i="3"/>
  <c r="J563" i="3"/>
  <c r="G564" i="3"/>
  <c r="I564" i="3"/>
  <c r="J564" i="3"/>
  <c r="G565" i="3"/>
  <c r="I565" i="3"/>
  <c r="J565" i="3"/>
  <c r="G566" i="3"/>
  <c r="I566" i="3"/>
  <c r="J566" i="3"/>
  <c r="G567" i="3"/>
  <c r="I567" i="3"/>
  <c r="J567" i="3"/>
  <c r="G568" i="3"/>
  <c r="I568" i="3"/>
  <c r="J568" i="3"/>
  <c r="G569" i="3"/>
  <c r="I569" i="3"/>
  <c r="J569" i="3"/>
  <c r="G570" i="3"/>
  <c r="I570" i="3"/>
  <c r="J570" i="3"/>
  <c r="G571" i="3"/>
  <c r="I571" i="3"/>
  <c r="J571" i="3"/>
  <c r="G572" i="3"/>
  <c r="I572" i="3"/>
  <c r="J572" i="3"/>
  <c r="G573" i="3"/>
  <c r="I573" i="3"/>
  <c r="J573" i="3"/>
  <c r="G574" i="3"/>
  <c r="I574" i="3"/>
  <c r="J574" i="3"/>
  <c r="G575" i="3"/>
  <c r="I575" i="3"/>
  <c r="J575" i="3"/>
  <c r="G576" i="3"/>
  <c r="I576" i="3"/>
  <c r="J576" i="3"/>
  <c r="G577" i="3"/>
  <c r="I577" i="3"/>
  <c r="J577" i="3"/>
  <c r="G578" i="3"/>
  <c r="I578" i="3"/>
  <c r="J578" i="3"/>
  <c r="G579" i="3"/>
  <c r="I579" i="3"/>
  <c r="J579" i="3"/>
  <c r="G580" i="3"/>
  <c r="I580" i="3"/>
  <c r="J580" i="3"/>
  <c r="G581" i="3"/>
  <c r="I581" i="3"/>
  <c r="J581" i="3"/>
  <c r="G582" i="3"/>
  <c r="I582" i="3"/>
  <c r="J582" i="3"/>
  <c r="G583" i="3"/>
  <c r="I583" i="3"/>
  <c r="J583" i="3"/>
  <c r="G584" i="3"/>
  <c r="I584" i="3"/>
  <c r="J584" i="3"/>
  <c r="G585" i="3"/>
  <c r="I585" i="3"/>
  <c r="J585" i="3"/>
  <c r="G586" i="3"/>
  <c r="I586" i="3"/>
  <c r="J586" i="3"/>
  <c r="G587" i="3"/>
  <c r="I587" i="3"/>
  <c r="J587" i="3"/>
  <c r="G588" i="3"/>
  <c r="I588" i="3"/>
  <c r="J588" i="3"/>
  <c r="G589" i="3"/>
  <c r="I589" i="3"/>
  <c r="J589" i="3"/>
  <c r="G590" i="3"/>
  <c r="I590" i="3"/>
  <c r="J590" i="3"/>
  <c r="G591" i="3"/>
  <c r="I591" i="3"/>
  <c r="J591" i="3"/>
  <c r="G592" i="3"/>
  <c r="I592" i="3"/>
  <c r="J592" i="3"/>
  <c r="G593" i="3"/>
  <c r="I593" i="3"/>
  <c r="J593" i="3"/>
  <c r="G594" i="3"/>
  <c r="I594" i="3"/>
  <c r="J594" i="3"/>
  <c r="G595" i="3"/>
  <c r="I595" i="3"/>
  <c r="J595" i="3"/>
  <c r="G596" i="3"/>
  <c r="I596" i="3"/>
  <c r="J596" i="3"/>
  <c r="G597" i="3"/>
  <c r="I597" i="3"/>
  <c r="J597" i="3"/>
  <c r="G598" i="3"/>
  <c r="I598" i="3"/>
  <c r="J598" i="3"/>
  <c r="G599" i="3"/>
  <c r="I599" i="3"/>
  <c r="J599" i="3"/>
  <c r="G600" i="3"/>
  <c r="I600" i="3"/>
  <c r="J600" i="3"/>
  <c r="G601" i="3"/>
  <c r="I601" i="3"/>
  <c r="J601" i="3"/>
  <c r="G602" i="3"/>
  <c r="I602" i="3"/>
  <c r="J602" i="3"/>
  <c r="G603" i="3"/>
  <c r="I603" i="3"/>
  <c r="J603" i="3"/>
  <c r="G604" i="3"/>
  <c r="I604" i="3"/>
  <c r="J604" i="3"/>
  <c r="G605" i="3"/>
  <c r="I605" i="3"/>
  <c r="J605" i="3"/>
  <c r="G606" i="3"/>
  <c r="I606" i="3"/>
  <c r="J606" i="3"/>
  <c r="G607" i="3"/>
  <c r="I607" i="3"/>
  <c r="J607" i="3"/>
  <c r="G608" i="3"/>
  <c r="I608" i="3"/>
  <c r="J608" i="3"/>
  <c r="G609" i="3"/>
  <c r="I609" i="3"/>
  <c r="J609" i="3"/>
  <c r="G610" i="3"/>
  <c r="I610" i="3"/>
  <c r="J610" i="3"/>
  <c r="G611" i="3"/>
  <c r="I611" i="3"/>
  <c r="J611" i="3"/>
  <c r="G612" i="3"/>
  <c r="I612" i="3"/>
  <c r="J612" i="3"/>
  <c r="G613" i="3"/>
  <c r="I613" i="3"/>
  <c r="J613" i="3"/>
  <c r="G614" i="3"/>
  <c r="I614" i="3"/>
  <c r="J614" i="3"/>
  <c r="G615" i="3"/>
  <c r="I615" i="3"/>
  <c r="J615" i="3"/>
  <c r="G616" i="3"/>
  <c r="I616" i="3"/>
  <c r="J616" i="3"/>
  <c r="G617" i="3"/>
  <c r="I617" i="3"/>
  <c r="J617" i="3"/>
  <c r="G618" i="3"/>
  <c r="I618" i="3"/>
  <c r="J618" i="3"/>
  <c r="G619" i="3"/>
  <c r="I619" i="3"/>
  <c r="J619" i="3"/>
  <c r="G620" i="3"/>
  <c r="I620" i="3"/>
  <c r="J620" i="3"/>
  <c r="G621" i="3"/>
  <c r="I621" i="3"/>
  <c r="J621" i="3"/>
  <c r="G622" i="3"/>
  <c r="I622" i="3"/>
  <c r="J622" i="3"/>
  <c r="G623" i="3"/>
  <c r="I623" i="3"/>
  <c r="J623" i="3"/>
  <c r="G624" i="3"/>
  <c r="I624" i="3"/>
  <c r="J624" i="3"/>
  <c r="G625" i="3"/>
  <c r="I625" i="3"/>
  <c r="J625" i="3"/>
  <c r="G626" i="3"/>
  <c r="I626" i="3"/>
  <c r="J626" i="3"/>
  <c r="G627" i="3"/>
  <c r="I627" i="3"/>
  <c r="J627" i="3"/>
  <c r="G628" i="3"/>
  <c r="I628" i="3"/>
  <c r="J628" i="3"/>
  <c r="G629" i="3"/>
  <c r="I629" i="3"/>
  <c r="J629" i="3"/>
  <c r="G630" i="3"/>
  <c r="I630" i="3"/>
  <c r="J630" i="3"/>
  <c r="G631" i="3"/>
  <c r="I631" i="3"/>
  <c r="J631" i="3"/>
  <c r="G632" i="3"/>
  <c r="I632" i="3"/>
  <c r="J632" i="3"/>
  <c r="G633" i="3"/>
  <c r="I633" i="3"/>
  <c r="J633" i="3"/>
  <c r="G634" i="3"/>
  <c r="I634" i="3"/>
  <c r="J634" i="3"/>
  <c r="G635" i="3"/>
  <c r="I635" i="3"/>
  <c r="J635" i="3"/>
  <c r="G636" i="3"/>
  <c r="I636" i="3"/>
  <c r="J636" i="3"/>
  <c r="G637" i="3"/>
  <c r="I637" i="3"/>
  <c r="J637" i="3"/>
  <c r="G638" i="3"/>
  <c r="I638" i="3"/>
  <c r="J638" i="3"/>
  <c r="G639" i="3"/>
  <c r="I639" i="3"/>
  <c r="J639" i="3"/>
  <c r="G640" i="3"/>
  <c r="I640" i="3"/>
  <c r="J640" i="3"/>
  <c r="G641" i="3"/>
  <c r="I641" i="3"/>
  <c r="J641" i="3"/>
  <c r="G642" i="3"/>
  <c r="I642" i="3"/>
  <c r="J642" i="3"/>
  <c r="G643" i="3"/>
  <c r="I643" i="3"/>
  <c r="J643" i="3"/>
  <c r="G644" i="3"/>
  <c r="I644" i="3"/>
  <c r="J644" i="3"/>
  <c r="G645" i="3"/>
  <c r="I645" i="3"/>
  <c r="J645" i="3"/>
  <c r="G646" i="3"/>
  <c r="I646" i="3"/>
  <c r="J646" i="3"/>
  <c r="G647" i="3"/>
  <c r="I647" i="3"/>
  <c r="J647" i="3"/>
  <c r="G648" i="3"/>
  <c r="I648" i="3"/>
  <c r="J648" i="3"/>
  <c r="G649" i="3"/>
  <c r="I649" i="3"/>
  <c r="J649" i="3"/>
  <c r="G650" i="3"/>
  <c r="I650" i="3"/>
  <c r="J650" i="3"/>
  <c r="G651" i="3"/>
  <c r="I651" i="3"/>
  <c r="J651" i="3"/>
  <c r="G652" i="3"/>
  <c r="I652" i="3"/>
  <c r="J652" i="3"/>
  <c r="G653" i="3"/>
  <c r="I653" i="3"/>
  <c r="J653" i="3"/>
  <c r="G654" i="3"/>
  <c r="I654" i="3"/>
  <c r="J654" i="3"/>
  <c r="G655" i="3"/>
  <c r="I655" i="3"/>
  <c r="J655" i="3"/>
  <c r="G656" i="3"/>
  <c r="I656" i="3"/>
  <c r="J656" i="3"/>
  <c r="G657" i="3"/>
  <c r="I657" i="3"/>
  <c r="J657" i="3"/>
  <c r="G658" i="3"/>
  <c r="I658" i="3"/>
  <c r="J658" i="3"/>
  <c r="G659" i="3"/>
  <c r="I659" i="3"/>
  <c r="J659" i="3"/>
  <c r="G660" i="3"/>
  <c r="I660" i="3"/>
  <c r="J660" i="3"/>
  <c r="G661" i="3"/>
  <c r="I661" i="3"/>
  <c r="J661" i="3"/>
  <c r="G662" i="3"/>
  <c r="I662" i="3"/>
  <c r="J662" i="3"/>
  <c r="G663" i="3"/>
  <c r="I663" i="3"/>
  <c r="J663" i="3"/>
  <c r="G664" i="3"/>
  <c r="I664" i="3"/>
  <c r="J664" i="3"/>
  <c r="G665" i="3"/>
  <c r="I665" i="3"/>
  <c r="J665" i="3"/>
  <c r="G666" i="3"/>
  <c r="I666" i="3"/>
  <c r="J666" i="3"/>
  <c r="G667" i="3"/>
  <c r="I667" i="3"/>
  <c r="J667" i="3"/>
  <c r="G668" i="3"/>
  <c r="I668" i="3"/>
  <c r="J668" i="3"/>
  <c r="G669" i="3"/>
  <c r="I669" i="3"/>
  <c r="J669" i="3"/>
  <c r="G670" i="3"/>
  <c r="I670" i="3"/>
  <c r="J670" i="3"/>
  <c r="G671" i="3"/>
  <c r="I671" i="3"/>
  <c r="J671" i="3"/>
  <c r="G672" i="3"/>
  <c r="I672" i="3"/>
  <c r="J672" i="3"/>
  <c r="G673" i="3"/>
  <c r="I673" i="3"/>
  <c r="J673" i="3"/>
  <c r="G674" i="3"/>
  <c r="I674" i="3"/>
  <c r="J674" i="3"/>
  <c r="G675" i="3"/>
  <c r="I675" i="3"/>
  <c r="J675" i="3"/>
  <c r="G676" i="3"/>
  <c r="I676" i="3"/>
  <c r="J676" i="3"/>
  <c r="G677" i="3"/>
  <c r="I677" i="3"/>
  <c r="J677" i="3"/>
  <c r="G678" i="3"/>
  <c r="I678" i="3"/>
  <c r="J678" i="3"/>
  <c r="G679" i="3"/>
  <c r="I679" i="3"/>
  <c r="J679" i="3"/>
  <c r="G680" i="3"/>
  <c r="I680" i="3"/>
  <c r="J680" i="3"/>
  <c r="G681" i="3"/>
  <c r="I681" i="3"/>
  <c r="J681" i="3"/>
  <c r="G682" i="3"/>
  <c r="I682" i="3"/>
  <c r="J682" i="3"/>
  <c r="G683" i="3"/>
  <c r="I683" i="3"/>
  <c r="J683" i="3"/>
  <c r="G684" i="3"/>
  <c r="I684" i="3"/>
  <c r="J684" i="3"/>
  <c r="G685" i="3"/>
  <c r="I685" i="3"/>
  <c r="J685" i="3"/>
  <c r="G686" i="3"/>
  <c r="I686" i="3"/>
  <c r="J686" i="3"/>
  <c r="G687" i="3"/>
  <c r="I687" i="3"/>
  <c r="J687" i="3"/>
  <c r="G688" i="3"/>
  <c r="I688" i="3"/>
  <c r="J688" i="3"/>
  <c r="G689" i="3"/>
  <c r="I689" i="3"/>
  <c r="J689" i="3"/>
  <c r="G690" i="3"/>
  <c r="I690" i="3"/>
  <c r="J690" i="3"/>
  <c r="G691" i="3"/>
  <c r="I691" i="3"/>
  <c r="J691" i="3"/>
  <c r="G692" i="3"/>
  <c r="I692" i="3"/>
  <c r="J692" i="3"/>
  <c r="G693" i="3"/>
  <c r="I693" i="3"/>
  <c r="J693" i="3"/>
  <c r="G694" i="3"/>
  <c r="I694" i="3"/>
  <c r="J694" i="3"/>
  <c r="G695" i="3"/>
  <c r="I695" i="3"/>
  <c r="J695" i="3"/>
  <c r="G696" i="3"/>
  <c r="I696" i="3"/>
  <c r="J696" i="3"/>
  <c r="G697" i="3"/>
  <c r="I697" i="3"/>
  <c r="J697" i="3"/>
  <c r="G698" i="3"/>
  <c r="I698" i="3"/>
  <c r="J698" i="3"/>
  <c r="G699" i="3"/>
  <c r="I699" i="3"/>
  <c r="J699" i="3"/>
  <c r="G700" i="3"/>
  <c r="I700" i="3"/>
  <c r="J700" i="3"/>
  <c r="G701" i="3"/>
  <c r="I701" i="3"/>
  <c r="J701" i="3"/>
  <c r="G702" i="3"/>
  <c r="I702" i="3"/>
  <c r="J702" i="3"/>
  <c r="G703" i="3"/>
  <c r="I703" i="3"/>
  <c r="J703" i="3"/>
  <c r="G704" i="3"/>
  <c r="I704" i="3"/>
  <c r="J704" i="3"/>
  <c r="G705" i="3"/>
  <c r="I705" i="3"/>
  <c r="J705" i="3"/>
  <c r="G706" i="3"/>
  <c r="I706" i="3"/>
  <c r="J706" i="3"/>
  <c r="G707" i="3"/>
  <c r="I707" i="3"/>
  <c r="J707" i="3"/>
  <c r="G708" i="3"/>
  <c r="I708" i="3"/>
  <c r="J708" i="3"/>
  <c r="G709" i="3"/>
  <c r="I709" i="3"/>
  <c r="J709" i="3"/>
  <c r="G710" i="3"/>
  <c r="I710" i="3"/>
  <c r="J710" i="3"/>
  <c r="G711" i="3"/>
  <c r="I711" i="3"/>
  <c r="J711" i="3"/>
  <c r="G712" i="3"/>
  <c r="I712" i="3"/>
  <c r="J712" i="3"/>
  <c r="G713" i="3"/>
  <c r="I713" i="3"/>
  <c r="J713" i="3"/>
  <c r="G714" i="3"/>
  <c r="I714" i="3"/>
  <c r="J714" i="3"/>
  <c r="G715" i="3"/>
  <c r="I715" i="3"/>
  <c r="J715" i="3"/>
  <c r="G716" i="3"/>
  <c r="I716" i="3"/>
  <c r="J716" i="3"/>
  <c r="G717" i="3"/>
  <c r="I717" i="3"/>
  <c r="J717" i="3"/>
  <c r="G718" i="3"/>
  <c r="I718" i="3"/>
  <c r="J718" i="3"/>
  <c r="G719" i="3"/>
  <c r="I719" i="3"/>
  <c r="J719" i="3"/>
  <c r="G720" i="3"/>
  <c r="I720" i="3"/>
  <c r="J720" i="3"/>
  <c r="G721" i="3"/>
  <c r="I721" i="3"/>
  <c r="J721" i="3"/>
  <c r="G722" i="3"/>
  <c r="I722" i="3"/>
  <c r="J722" i="3"/>
  <c r="G723" i="3"/>
  <c r="I723" i="3"/>
  <c r="J723" i="3"/>
  <c r="G724" i="3"/>
  <c r="I724" i="3"/>
  <c r="J724" i="3"/>
  <c r="G725" i="3"/>
  <c r="I725" i="3"/>
  <c r="J725" i="3"/>
  <c r="G726" i="3"/>
  <c r="I726" i="3"/>
  <c r="J726" i="3"/>
  <c r="G727" i="3"/>
  <c r="I727" i="3"/>
  <c r="J727" i="3"/>
  <c r="G728" i="3"/>
  <c r="I728" i="3"/>
  <c r="J728" i="3"/>
  <c r="G729" i="3"/>
  <c r="I729" i="3"/>
  <c r="J729" i="3"/>
  <c r="G730" i="3"/>
  <c r="I730" i="3"/>
  <c r="J730" i="3"/>
  <c r="G731" i="3"/>
  <c r="I731" i="3"/>
  <c r="J731" i="3"/>
  <c r="G732" i="3"/>
  <c r="I732" i="3"/>
  <c r="J732" i="3"/>
  <c r="G733" i="3"/>
  <c r="I733" i="3"/>
  <c r="J733" i="3"/>
  <c r="G734" i="3"/>
  <c r="I734" i="3"/>
  <c r="J734" i="3"/>
  <c r="G735" i="3"/>
  <c r="I735" i="3"/>
  <c r="J735" i="3"/>
  <c r="G736" i="3"/>
  <c r="I736" i="3"/>
  <c r="J736" i="3"/>
  <c r="G737" i="3"/>
  <c r="I737" i="3"/>
  <c r="J737" i="3"/>
  <c r="G738" i="3"/>
  <c r="I738" i="3"/>
  <c r="J738" i="3"/>
  <c r="G739" i="3"/>
  <c r="I739" i="3"/>
  <c r="J739" i="3"/>
  <c r="G740" i="3"/>
  <c r="I740" i="3"/>
  <c r="J740" i="3"/>
  <c r="G741" i="3"/>
  <c r="I741" i="3"/>
  <c r="J741" i="3"/>
  <c r="G742" i="3"/>
  <c r="I742" i="3"/>
  <c r="J742" i="3"/>
  <c r="G743" i="3"/>
  <c r="I743" i="3"/>
  <c r="J743" i="3"/>
  <c r="G744" i="3"/>
  <c r="I744" i="3"/>
  <c r="J744" i="3"/>
  <c r="G745" i="3"/>
  <c r="I745" i="3"/>
  <c r="J745" i="3"/>
  <c r="G746" i="3"/>
  <c r="I746" i="3"/>
  <c r="J746" i="3"/>
  <c r="G747" i="3"/>
  <c r="I747" i="3"/>
  <c r="J747" i="3"/>
  <c r="G748" i="3"/>
  <c r="I748" i="3"/>
  <c r="J748" i="3"/>
  <c r="G749" i="3"/>
  <c r="I749" i="3"/>
  <c r="J749" i="3"/>
  <c r="G750" i="3"/>
  <c r="I750" i="3"/>
  <c r="J750" i="3"/>
  <c r="G751" i="3"/>
  <c r="I751" i="3"/>
  <c r="J751" i="3"/>
  <c r="G752" i="3"/>
  <c r="I752" i="3"/>
  <c r="J752" i="3"/>
  <c r="G753" i="3"/>
  <c r="I753" i="3"/>
  <c r="J753" i="3"/>
  <c r="G754" i="3"/>
  <c r="I754" i="3"/>
  <c r="J754" i="3"/>
  <c r="G755" i="3"/>
  <c r="I755" i="3"/>
  <c r="J755" i="3"/>
  <c r="G756" i="3"/>
  <c r="I756" i="3"/>
  <c r="J756" i="3"/>
  <c r="G757" i="3"/>
  <c r="I757" i="3"/>
  <c r="J757" i="3"/>
  <c r="G758" i="3"/>
  <c r="I758" i="3"/>
  <c r="J758" i="3"/>
  <c r="G759" i="3"/>
  <c r="I759" i="3"/>
  <c r="J759" i="3"/>
  <c r="G760" i="3"/>
  <c r="I760" i="3"/>
  <c r="J760" i="3"/>
  <c r="G761" i="3"/>
  <c r="I761" i="3"/>
  <c r="J761" i="3"/>
  <c r="G762" i="3"/>
  <c r="I762" i="3"/>
  <c r="J762" i="3"/>
  <c r="G763" i="3"/>
  <c r="I763" i="3"/>
  <c r="J763" i="3"/>
  <c r="G764" i="3"/>
  <c r="I764" i="3"/>
  <c r="J764" i="3"/>
  <c r="G765" i="3"/>
  <c r="I765" i="3"/>
  <c r="J765" i="3"/>
  <c r="G766" i="3"/>
  <c r="I766" i="3"/>
  <c r="J766" i="3"/>
  <c r="G767" i="3"/>
  <c r="I767" i="3"/>
  <c r="J767" i="3"/>
  <c r="G768" i="3"/>
  <c r="I768" i="3"/>
  <c r="J768" i="3"/>
  <c r="G769" i="3"/>
  <c r="I769" i="3"/>
  <c r="J769" i="3"/>
  <c r="G770" i="3"/>
  <c r="I770" i="3"/>
  <c r="J770" i="3"/>
  <c r="G771" i="3"/>
  <c r="I771" i="3"/>
  <c r="J771" i="3"/>
  <c r="G772" i="3"/>
  <c r="I772" i="3"/>
  <c r="J772" i="3"/>
  <c r="G773" i="3"/>
  <c r="I773" i="3"/>
  <c r="J773" i="3"/>
  <c r="G774" i="3"/>
  <c r="I774" i="3"/>
  <c r="J774" i="3"/>
  <c r="G775" i="3"/>
  <c r="I775" i="3"/>
  <c r="J775" i="3"/>
  <c r="G776" i="3"/>
  <c r="I776" i="3"/>
  <c r="J776" i="3"/>
  <c r="G777" i="3"/>
  <c r="I777" i="3"/>
  <c r="J777" i="3"/>
  <c r="G778" i="3"/>
  <c r="I778" i="3"/>
  <c r="J778" i="3"/>
  <c r="G779" i="3"/>
  <c r="I779" i="3"/>
  <c r="J779" i="3"/>
  <c r="G780" i="3"/>
  <c r="I780" i="3"/>
  <c r="J780" i="3"/>
  <c r="G781" i="3"/>
  <c r="I781" i="3"/>
  <c r="J781" i="3"/>
  <c r="G782" i="3"/>
  <c r="I782" i="3"/>
  <c r="J782" i="3"/>
  <c r="G783" i="3"/>
  <c r="I783" i="3"/>
  <c r="J783" i="3"/>
  <c r="G784" i="3"/>
  <c r="I784" i="3"/>
  <c r="J784" i="3"/>
  <c r="G785" i="3"/>
  <c r="I785" i="3"/>
  <c r="J785" i="3"/>
  <c r="G786" i="3"/>
  <c r="I786" i="3"/>
  <c r="J786" i="3"/>
  <c r="G787" i="3"/>
  <c r="I787" i="3"/>
  <c r="J787" i="3"/>
  <c r="G788" i="3"/>
  <c r="I788" i="3"/>
  <c r="J788" i="3"/>
  <c r="G789" i="3"/>
  <c r="I789" i="3"/>
  <c r="J789" i="3"/>
  <c r="G790" i="3"/>
  <c r="I790" i="3"/>
  <c r="J790" i="3"/>
  <c r="G791" i="3"/>
  <c r="I791" i="3"/>
  <c r="J791" i="3"/>
  <c r="G792" i="3"/>
  <c r="I792" i="3"/>
  <c r="J792" i="3"/>
  <c r="G793" i="3"/>
  <c r="I793" i="3"/>
  <c r="J793" i="3"/>
  <c r="G794" i="3"/>
  <c r="I794" i="3"/>
  <c r="J794" i="3"/>
  <c r="G795" i="3"/>
  <c r="I795" i="3"/>
  <c r="J795" i="3"/>
  <c r="G796" i="3"/>
  <c r="I796" i="3"/>
  <c r="J796" i="3"/>
  <c r="G797" i="3"/>
  <c r="I797" i="3"/>
  <c r="J797" i="3"/>
  <c r="G798" i="3"/>
  <c r="I798" i="3"/>
  <c r="J798" i="3"/>
  <c r="G799" i="3"/>
  <c r="I799" i="3"/>
  <c r="J799" i="3"/>
  <c r="G800" i="3"/>
  <c r="I800" i="3"/>
  <c r="J800" i="3"/>
  <c r="G801" i="3"/>
  <c r="I801" i="3"/>
  <c r="J801" i="3"/>
  <c r="G802" i="3"/>
  <c r="I802" i="3"/>
  <c r="J802" i="3"/>
  <c r="G803" i="3"/>
  <c r="I803" i="3"/>
  <c r="J803" i="3"/>
  <c r="G804" i="3"/>
  <c r="I804" i="3"/>
  <c r="J804" i="3"/>
  <c r="G805" i="3"/>
  <c r="I805" i="3"/>
  <c r="J805" i="3"/>
  <c r="G806" i="3"/>
  <c r="I806" i="3"/>
  <c r="J806" i="3"/>
  <c r="G807" i="3"/>
  <c r="I807" i="3"/>
  <c r="J807" i="3"/>
  <c r="G808" i="3"/>
  <c r="I808" i="3"/>
  <c r="J808" i="3"/>
  <c r="G809" i="3"/>
  <c r="I809" i="3"/>
  <c r="J809" i="3"/>
  <c r="G810" i="3"/>
  <c r="I810" i="3"/>
  <c r="J810" i="3"/>
  <c r="G811" i="3"/>
  <c r="I811" i="3"/>
  <c r="J811" i="3"/>
  <c r="G812" i="3"/>
  <c r="I812" i="3"/>
  <c r="J812" i="3"/>
  <c r="G813" i="3"/>
  <c r="I813" i="3"/>
  <c r="J813" i="3"/>
  <c r="G814" i="3"/>
  <c r="I814" i="3"/>
  <c r="J814" i="3"/>
  <c r="G815" i="3"/>
  <c r="I815" i="3"/>
  <c r="J815" i="3"/>
  <c r="G816" i="3"/>
  <c r="I816" i="3"/>
  <c r="J816" i="3"/>
  <c r="G817" i="3"/>
  <c r="I817" i="3"/>
  <c r="J817" i="3"/>
  <c r="G818" i="3"/>
  <c r="I818" i="3"/>
  <c r="J818" i="3"/>
  <c r="G819" i="3"/>
  <c r="I819" i="3"/>
  <c r="J819" i="3"/>
  <c r="G820" i="3"/>
  <c r="I820" i="3"/>
  <c r="J820" i="3"/>
  <c r="G821" i="3"/>
  <c r="I821" i="3"/>
  <c r="J821" i="3"/>
  <c r="G822" i="3"/>
  <c r="I822" i="3"/>
  <c r="J822" i="3"/>
  <c r="G823" i="3"/>
  <c r="I823" i="3"/>
  <c r="J823" i="3"/>
  <c r="G824" i="3"/>
  <c r="I824" i="3"/>
  <c r="J824" i="3"/>
  <c r="G825" i="3"/>
  <c r="I825" i="3"/>
  <c r="J825" i="3"/>
  <c r="G826" i="3"/>
  <c r="I826" i="3"/>
  <c r="J826" i="3"/>
  <c r="G827" i="3"/>
  <c r="I827" i="3"/>
  <c r="J827" i="3"/>
  <c r="G828" i="3"/>
  <c r="I828" i="3"/>
  <c r="J828" i="3"/>
  <c r="G829" i="3"/>
  <c r="I829" i="3"/>
  <c r="J829" i="3"/>
  <c r="G830" i="3"/>
  <c r="I830" i="3"/>
  <c r="J830" i="3"/>
  <c r="G831" i="3"/>
  <c r="I831" i="3"/>
  <c r="J831" i="3"/>
  <c r="G832" i="3"/>
  <c r="I832" i="3"/>
  <c r="J832" i="3"/>
  <c r="G833" i="3"/>
  <c r="I833" i="3"/>
  <c r="J833" i="3"/>
  <c r="G834" i="3"/>
  <c r="I834" i="3"/>
  <c r="J834" i="3"/>
  <c r="G835" i="3"/>
  <c r="I835" i="3"/>
  <c r="J835" i="3"/>
  <c r="G836" i="3"/>
  <c r="I836" i="3"/>
  <c r="J836" i="3"/>
  <c r="G837" i="3"/>
  <c r="I837" i="3"/>
  <c r="J837" i="3"/>
  <c r="G838" i="3"/>
  <c r="I838" i="3"/>
  <c r="J838" i="3"/>
  <c r="G839" i="3"/>
  <c r="I839" i="3"/>
  <c r="J839" i="3"/>
  <c r="G840" i="3"/>
  <c r="I840" i="3"/>
  <c r="J840" i="3"/>
  <c r="G841" i="3"/>
  <c r="I841" i="3"/>
  <c r="J841" i="3"/>
  <c r="G842" i="3"/>
  <c r="I842" i="3"/>
  <c r="J842" i="3"/>
  <c r="G843" i="3"/>
  <c r="I843" i="3"/>
  <c r="J843" i="3"/>
  <c r="G844" i="3"/>
  <c r="I844" i="3"/>
  <c r="J844" i="3"/>
  <c r="G845" i="3"/>
  <c r="I845" i="3"/>
  <c r="J845" i="3"/>
  <c r="G846" i="3"/>
  <c r="I846" i="3"/>
  <c r="J846" i="3"/>
  <c r="G847" i="3"/>
  <c r="I847" i="3"/>
  <c r="J847" i="3"/>
  <c r="G848" i="3"/>
  <c r="I848" i="3"/>
  <c r="J848" i="3"/>
  <c r="G849" i="3"/>
  <c r="I849" i="3"/>
  <c r="J849" i="3"/>
  <c r="G850" i="3"/>
  <c r="I850" i="3"/>
  <c r="J850" i="3"/>
  <c r="G851" i="3"/>
  <c r="I851" i="3"/>
  <c r="J851" i="3"/>
  <c r="G852" i="3"/>
  <c r="I852" i="3"/>
  <c r="J852" i="3"/>
  <c r="G853" i="3"/>
  <c r="I853" i="3"/>
  <c r="J853" i="3"/>
  <c r="G854" i="3"/>
  <c r="I854" i="3"/>
  <c r="J854" i="3"/>
  <c r="G855" i="3"/>
  <c r="I855" i="3"/>
  <c r="J855" i="3"/>
  <c r="G856" i="3"/>
  <c r="I856" i="3"/>
  <c r="J856" i="3"/>
  <c r="G857" i="3"/>
  <c r="I857" i="3"/>
  <c r="J857" i="3"/>
  <c r="G858" i="3"/>
  <c r="I858" i="3"/>
  <c r="J858" i="3"/>
  <c r="G859" i="3"/>
  <c r="I859" i="3"/>
  <c r="J859" i="3"/>
  <c r="G860" i="3"/>
  <c r="I860" i="3"/>
  <c r="J860" i="3"/>
  <c r="G861" i="3"/>
  <c r="I861" i="3"/>
  <c r="J861" i="3"/>
  <c r="G862" i="3"/>
  <c r="I862" i="3"/>
  <c r="J862" i="3"/>
  <c r="G863" i="3"/>
  <c r="I863" i="3"/>
  <c r="J863" i="3"/>
  <c r="G864" i="3"/>
  <c r="I864" i="3"/>
  <c r="J864" i="3"/>
  <c r="G865" i="3"/>
  <c r="I865" i="3"/>
  <c r="J865" i="3"/>
  <c r="G866" i="3"/>
  <c r="I866" i="3"/>
  <c r="J866" i="3"/>
  <c r="G867" i="3"/>
  <c r="I867" i="3"/>
  <c r="J867" i="3"/>
  <c r="G868" i="3"/>
  <c r="I868" i="3"/>
  <c r="J868" i="3"/>
  <c r="G869" i="3"/>
  <c r="I869" i="3"/>
  <c r="J869" i="3"/>
  <c r="G870" i="3"/>
  <c r="I870" i="3"/>
  <c r="J870" i="3"/>
  <c r="G871" i="3"/>
  <c r="I871" i="3"/>
  <c r="J871" i="3"/>
  <c r="G872" i="3"/>
  <c r="I872" i="3"/>
  <c r="J872" i="3"/>
  <c r="G873" i="3"/>
  <c r="I873" i="3"/>
  <c r="J873" i="3"/>
  <c r="G874" i="3"/>
  <c r="I874" i="3"/>
  <c r="J874" i="3"/>
  <c r="G875" i="3"/>
  <c r="I875" i="3"/>
  <c r="J875" i="3"/>
  <c r="G876" i="3"/>
  <c r="I876" i="3"/>
  <c r="J876" i="3"/>
  <c r="G877" i="3"/>
  <c r="I877" i="3"/>
  <c r="J877" i="3"/>
  <c r="G878" i="3"/>
  <c r="I878" i="3"/>
  <c r="J878" i="3"/>
  <c r="G879" i="3"/>
  <c r="I879" i="3"/>
  <c r="J879" i="3"/>
  <c r="G880" i="3"/>
  <c r="I880" i="3"/>
  <c r="J880" i="3"/>
  <c r="G881" i="3"/>
  <c r="I881" i="3"/>
  <c r="J881" i="3"/>
  <c r="G882" i="3"/>
  <c r="I882" i="3"/>
  <c r="J882" i="3"/>
  <c r="G883" i="3"/>
  <c r="I883" i="3"/>
  <c r="J883" i="3"/>
  <c r="G884" i="3"/>
  <c r="I884" i="3"/>
  <c r="J884" i="3"/>
  <c r="G885" i="3"/>
  <c r="I885" i="3"/>
  <c r="J885" i="3"/>
  <c r="G886" i="3"/>
  <c r="I886" i="3"/>
  <c r="J886" i="3"/>
  <c r="G887" i="3"/>
  <c r="I887" i="3"/>
  <c r="J887" i="3"/>
  <c r="G888" i="3"/>
  <c r="I888" i="3"/>
  <c r="J888" i="3"/>
  <c r="G889" i="3"/>
  <c r="I889" i="3"/>
  <c r="J889" i="3"/>
  <c r="G890" i="3"/>
  <c r="I890" i="3"/>
  <c r="J890" i="3"/>
  <c r="G891" i="3"/>
  <c r="I891" i="3"/>
  <c r="J891" i="3"/>
  <c r="G892" i="3"/>
  <c r="I892" i="3"/>
  <c r="J892" i="3"/>
  <c r="G893" i="3"/>
  <c r="I893" i="3"/>
  <c r="J893" i="3"/>
  <c r="G894" i="3"/>
  <c r="I894" i="3"/>
  <c r="J894" i="3"/>
  <c r="G895" i="3"/>
  <c r="I895" i="3"/>
  <c r="J895" i="3"/>
  <c r="G896" i="3"/>
  <c r="I896" i="3"/>
  <c r="J896" i="3"/>
  <c r="G897" i="3"/>
  <c r="I897" i="3"/>
  <c r="J897" i="3"/>
  <c r="G898" i="3"/>
  <c r="I898" i="3"/>
  <c r="J898" i="3"/>
  <c r="G899" i="3"/>
  <c r="I899" i="3"/>
  <c r="J899" i="3"/>
  <c r="G900" i="3"/>
  <c r="I900" i="3"/>
  <c r="J900" i="3"/>
  <c r="G901" i="3"/>
  <c r="I901" i="3"/>
  <c r="J901" i="3"/>
  <c r="G902" i="3"/>
  <c r="I902" i="3"/>
  <c r="J902" i="3"/>
  <c r="G903" i="3"/>
  <c r="I903" i="3"/>
  <c r="J903" i="3"/>
  <c r="G904" i="3"/>
  <c r="I904" i="3"/>
  <c r="J904" i="3"/>
  <c r="G905" i="3"/>
  <c r="I905" i="3"/>
  <c r="J905" i="3"/>
  <c r="G906" i="3"/>
  <c r="I906" i="3"/>
  <c r="J906" i="3"/>
  <c r="G907" i="3"/>
  <c r="I907" i="3"/>
  <c r="J907" i="3"/>
  <c r="G908" i="3"/>
  <c r="I908" i="3"/>
  <c r="J908" i="3"/>
  <c r="G909" i="3"/>
  <c r="I909" i="3"/>
  <c r="J909" i="3"/>
  <c r="G910" i="3"/>
  <c r="I910" i="3"/>
  <c r="J910" i="3"/>
  <c r="G911" i="3"/>
  <c r="I911" i="3"/>
  <c r="J911" i="3"/>
  <c r="G912" i="3"/>
  <c r="I912" i="3"/>
  <c r="J912" i="3"/>
  <c r="G913" i="3"/>
  <c r="I913" i="3"/>
  <c r="J913" i="3"/>
  <c r="G914" i="3"/>
  <c r="I914" i="3"/>
  <c r="J914" i="3"/>
  <c r="G915" i="3"/>
  <c r="I915" i="3"/>
  <c r="J915" i="3"/>
  <c r="G916" i="3"/>
  <c r="I916" i="3"/>
  <c r="J916" i="3"/>
  <c r="G917" i="3"/>
  <c r="I917" i="3"/>
  <c r="J917" i="3"/>
  <c r="G918" i="3"/>
  <c r="I918" i="3"/>
  <c r="J918" i="3"/>
  <c r="G919" i="3"/>
  <c r="I919" i="3"/>
  <c r="J919" i="3"/>
  <c r="G920" i="3"/>
  <c r="I920" i="3"/>
  <c r="J920" i="3"/>
  <c r="G921" i="3"/>
  <c r="I921" i="3"/>
  <c r="J921" i="3"/>
  <c r="G922" i="3"/>
  <c r="I922" i="3"/>
  <c r="J922" i="3"/>
  <c r="G923" i="3"/>
  <c r="I923" i="3"/>
  <c r="J923" i="3"/>
  <c r="G924" i="3"/>
  <c r="I924" i="3"/>
  <c r="J924" i="3"/>
  <c r="G925" i="3"/>
  <c r="I925" i="3"/>
  <c r="J925" i="3"/>
  <c r="G926" i="3"/>
  <c r="I926" i="3"/>
  <c r="J926" i="3"/>
  <c r="G927" i="3"/>
  <c r="I927" i="3"/>
  <c r="J927" i="3"/>
  <c r="G928" i="3"/>
  <c r="I928" i="3"/>
  <c r="J928" i="3"/>
  <c r="G929" i="3"/>
  <c r="I929" i="3"/>
  <c r="J929" i="3"/>
  <c r="G930" i="3"/>
  <c r="I930" i="3"/>
  <c r="J930" i="3"/>
  <c r="G931" i="3"/>
  <c r="I931" i="3"/>
  <c r="J931" i="3"/>
  <c r="G932" i="3"/>
  <c r="I932" i="3"/>
  <c r="J932" i="3"/>
  <c r="G933" i="3"/>
  <c r="I933" i="3"/>
  <c r="J933" i="3"/>
  <c r="G934" i="3"/>
  <c r="I934" i="3"/>
  <c r="J934" i="3"/>
  <c r="G935" i="3"/>
  <c r="I935" i="3"/>
  <c r="J935" i="3"/>
  <c r="G936" i="3"/>
  <c r="I936" i="3"/>
  <c r="J936" i="3"/>
  <c r="G937" i="3"/>
  <c r="I937" i="3"/>
  <c r="J937" i="3"/>
  <c r="G938" i="3"/>
  <c r="I938" i="3"/>
  <c r="J938" i="3"/>
  <c r="G939" i="3"/>
  <c r="I939" i="3"/>
  <c r="J939" i="3"/>
  <c r="G940" i="3"/>
  <c r="I940" i="3"/>
  <c r="J940" i="3"/>
  <c r="G941" i="3"/>
  <c r="I941" i="3"/>
  <c r="J941" i="3"/>
  <c r="G942" i="3"/>
  <c r="I942" i="3"/>
  <c r="J942" i="3"/>
  <c r="G943" i="3"/>
  <c r="I943" i="3"/>
  <c r="J943" i="3"/>
  <c r="G944" i="3"/>
  <c r="I944" i="3"/>
  <c r="J944" i="3"/>
  <c r="G945" i="3"/>
  <c r="I945" i="3"/>
  <c r="J945" i="3"/>
  <c r="G946" i="3"/>
  <c r="I946" i="3"/>
  <c r="J946" i="3"/>
  <c r="G947" i="3"/>
  <c r="I947" i="3"/>
  <c r="J947" i="3"/>
  <c r="G948" i="3"/>
  <c r="I948" i="3"/>
  <c r="J948" i="3"/>
  <c r="G949" i="3"/>
  <c r="I949" i="3"/>
  <c r="J949" i="3"/>
  <c r="G950" i="3"/>
  <c r="I950" i="3"/>
  <c r="J950" i="3"/>
  <c r="G951" i="3"/>
  <c r="I951" i="3"/>
  <c r="J951" i="3"/>
  <c r="G952" i="3"/>
  <c r="I952" i="3"/>
  <c r="J952" i="3"/>
  <c r="G953" i="3"/>
  <c r="I953" i="3"/>
  <c r="J953" i="3"/>
  <c r="G954" i="3"/>
  <c r="I954" i="3"/>
  <c r="J954" i="3"/>
  <c r="G955" i="3"/>
  <c r="I955" i="3"/>
  <c r="J955" i="3"/>
  <c r="G956" i="3"/>
  <c r="I956" i="3"/>
  <c r="J956" i="3"/>
  <c r="G957" i="3"/>
  <c r="I957" i="3"/>
  <c r="J957" i="3"/>
  <c r="G958" i="3"/>
  <c r="I958" i="3"/>
  <c r="J958" i="3"/>
  <c r="G959" i="3"/>
  <c r="I959" i="3"/>
  <c r="J959" i="3"/>
  <c r="G960" i="3"/>
  <c r="I960" i="3"/>
  <c r="J960" i="3"/>
  <c r="G961" i="3"/>
  <c r="I961" i="3"/>
  <c r="J961" i="3"/>
  <c r="G962" i="3"/>
  <c r="I962" i="3"/>
  <c r="J962" i="3"/>
  <c r="G963" i="3"/>
  <c r="I963" i="3"/>
  <c r="J963" i="3"/>
  <c r="G964" i="3"/>
  <c r="I964" i="3"/>
  <c r="J964" i="3"/>
  <c r="G965" i="3"/>
  <c r="I965" i="3"/>
  <c r="J965" i="3"/>
  <c r="G966" i="3"/>
  <c r="I966" i="3"/>
  <c r="J966" i="3"/>
  <c r="G967" i="3"/>
  <c r="I967" i="3"/>
  <c r="J967" i="3"/>
  <c r="G968" i="3"/>
  <c r="I968" i="3"/>
  <c r="J968" i="3"/>
  <c r="G969" i="3"/>
  <c r="I969" i="3"/>
  <c r="J969" i="3"/>
  <c r="G970" i="3"/>
  <c r="I970" i="3"/>
  <c r="J970" i="3"/>
  <c r="G971" i="3"/>
  <c r="I971" i="3"/>
  <c r="J971" i="3"/>
  <c r="G972" i="3"/>
  <c r="I972" i="3"/>
  <c r="J972" i="3"/>
  <c r="G973" i="3"/>
  <c r="I973" i="3"/>
  <c r="J973" i="3"/>
  <c r="G974" i="3"/>
  <c r="I974" i="3"/>
  <c r="J974" i="3"/>
  <c r="G975" i="3"/>
  <c r="I975" i="3"/>
  <c r="J975" i="3"/>
  <c r="G976" i="3"/>
  <c r="I976" i="3"/>
  <c r="J976" i="3"/>
  <c r="G977" i="3"/>
  <c r="I977" i="3"/>
  <c r="J977" i="3"/>
  <c r="G978" i="3"/>
  <c r="I978" i="3"/>
  <c r="J978" i="3"/>
  <c r="G979" i="3"/>
  <c r="I979" i="3"/>
  <c r="J979" i="3"/>
  <c r="G980" i="3"/>
  <c r="I980" i="3"/>
  <c r="J980" i="3"/>
  <c r="G981" i="3"/>
  <c r="I981" i="3"/>
  <c r="J981" i="3"/>
  <c r="G982" i="3"/>
  <c r="I982" i="3"/>
  <c r="J982" i="3"/>
  <c r="G983" i="3"/>
  <c r="I983" i="3"/>
  <c r="J983" i="3"/>
  <c r="G984" i="3"/>
  <c r="I984" i="3"/>
  <c r="J984" i="3"/>
  <c r="G985" i="3"/>
  <c r="I985" i="3"/>
  <c r="J985" i="3"/>
  <c r="G986" i="3"/>
  <c r="I986" i="3"/>
  <c r="J986" i="3"/>
  <c r="G987" i="3"/>
  <c r="I987" i="3"/>
  <c r="J987" i="3"/>
  <c r="G988" i="3"/>
  <c r="I988" i="3"/>
  <c r="J988" i="3"/>
  <c r="G989" i="3"/>
  <c r="I989" i="3"/>
  <c r="J989" i="3"/>
  <c r="G990" i="3"/>
  <c r="I990" i="3"/>
  <c r="J990" i="3"/>
  <c r="G991" i="3"/>
  <c r="I991" i="3"/>
  <c r="J991" i="3"/>
  <c r="G992" i="3"/>
  <c r="I992" i="3"/>
  <c r="J992" i="3"/>
  <c r="G993" i="3"/>
  <c r="I993" i="3"/>
  <c r="J993" i="3"/>
  <c r="G994" i="3"/>
  <c r="I994" i="3"/>
  <c r="J994" i="3"/>
  <c r="G995" i="3"/>
  <c r="I995" i="3"/>
  <c r="J995" i="3"/>
  <c r="G996" i="3"/>
  <c r="I996" i="3"/>
  <c r="J996" i="3"/>
  <c r="G997" i="3"/>
  <c r="I997" i="3"/>
  <c r="J997" i="3"/>
  <c r="G998" i="3"/>
  <c r="I998" i="3"/>
  <c r="J998" i="3"/>
  <c r="G999" i="3"/>
  <c r="I999" i="3"/>
  <c r="J999" i="3"/>
  <c r="G1000" i="3"/>
  <c r="I1000" i="3"/>
  <c r="J10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</calcChain>
</file>

<file path=xl/sharedStrings.xml><?xml version="1.0" encoding="utf-8"?>
<sst xmlns="http://schemas.openxmlformats.org/spreadsheetml/2006/main" count="43" uniqueCount="42">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</sst>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Fill="1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G1000" totalsRowShown="0" headerRowDxfId="44" tableBorderDxfId="43">
  <autoFilter ref="A1:AG1000"/>
  <sortState ref="A2:AG1011">
    <sortCondition ref="A1:A1011"/>
  </sortState>
  <tableColumns count="33">
    <tableColumn id="1" name="Tm." dataDxfId="42"/>
    <tableColumn id="2" name="Scouter Init." dataDxfId="41"/>
    <tableColumn id="3" name="Match Nr." dataDxfId="40"/>
    <tableColumn id="4" name="AUTO Compl." dataDxfId="39"/>
    <tableColumn id="5" name="AUTO Att." dataDxfId="38"/>
    <tableColumn id="6" name="AUTO Def." dataDxfId="37"/>
    <tableColumn id="7" name="Successful Lo. G. S" dataDxfId="36"/>
    <tableColumn id="8" name="Missed Lo. G. S." dataDxfId="35"/>
    <tableColumn id="9" name="Successful Hi. G. S." dataDxfId="34"/>
    <tableColumn id="10" name="Missed Hi. G. S." dataDxfId="33"/>
    <tableColumn id="11" name="Aac. Cat. A Def." dataDxfId="32"/>
    <tableColumn id="12" name="Aac. Cat. B Def." dataDxfId="31"/>
    <tableColumn id="13" name="Aac. Cat. C Def." dataDxfId="30"/>
    <tableColumn id="14" name="Aac. Cat. D Def." dataDxfId="29"/>
    <tableColumn id="15" name="Opp. Cat. A Def." dataDxfId="28"/>
    <tableColumn id="20" name="Cat. A Successful Xings." dataDxfId="27"/>
    <tableColumn id="24" name="Cat. A Att." dataDxfId="26"/>
    <tableColumn id="25" name="Cat. A Asst." dataDxfId="25"/>
    <tableColumn id="16" name="Opp. Cat. B Def." dataDxfId="24"/>
    <tableColumn id="21" name="Cat. B Successful Xings." dataDxfId="23"/>
    <tableColumn id="27" name="Cat. B Att." dataDxfId="22"/>
    <tableColumn id="26" name="Cat. B Asst." dataDxfId="21"/>
    <tableColumn id="17" name="Opp. Cat. C Def." dataDxfId="20"/>
    <tableColumn id="22" name="Cat. C Successful Xings." dataDxfId="19"/>
    <tableColumn id="28" name="Cat. C Att." dataDxfId="18"/>
    <tableColumn id="29" name="Cat. C Asst." dataDxfId="17"/>
    <tableColumn id="18" name="Opp. Cat. D Def." dataDxfId="16"/>
    <tableColumn id="23" name="Cat. D Successful Xings." dataDxfId="15"/>
    <tableColumn id="31" name="Lo. B. Att." dataDxfId="14"/>
    <tableColumn id="32" name="Lo. B. Asst." dataDxfId="13"/>
    <tableColumn id="33" name="Lo. B. Successful Xings." dataDxfId="12"/>
    <tableColumn id="19" name="E. Game Compl." dataDxfId="11"/>
    <tableColumn id="30" name="E. Game Att.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J1000" totalsRowShown="0">
  <autoFilter ref="A1:J1000"/>
  <tableColumns count="10">
    <tableColumn id="1" name="Tm." dataDxfId="9">
      <calculatedColumnFormula>DataTable[[#This Row],[Tm.]]</calculatedColumnFormula>
    </tableColumn>
    <tableColumn id="2" name="Rnd." dataDxfId="8">
      <calculatedColumnFormula>DataTable[[#This Row],[Match Nr.]]</calculatedColumnFormula>
    </tableColumn>
    <tableColumn id="3" name="Lo. G S. R." dataDxfId="7">
      <calculatedColumnFormula>IF(DataTable[[#This Row],[Successful Lo. G. S]]+DataTable[[#This Row],[Missed Lo. G. S.]]=0,0,DataTable[[#This Row],[Successful Lo. G. S]]/(DataTable[[#This Row],[Successful Lo. G. S]]+DataTable[[#This Row],[Missed Lo. G. S.]]))</calculatedColumnFormula>
    </tableColumn>
    <tableColumn id="11" name="Hi. G. S. R." dataDxfId="6">
      <calculatedColumnFormula>IF(DataTable[[#This Row],[Successful Hi. G. S.]]+DataTable[[#This Row],[Missed Hi. G. S.]]=0,0,DataTable[[#This Row],[Successful Hi. G. S.]]/(DataTable[[#This Row],[Successful Hi. G. S.]]+DataTable[[#This Row],[Missed Hi. G. S.]]))</calculatedColumnFormula>
    </tableColumn>
    <tableColumn id="12" name="Shooting S. R." dataDxfId="5">
      <calculatedColumnFormula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calculatedColumnFormula>
    </tableColumn>
    <tableColumn id="14" name="AUTO Pts" dataDxfId="4">
      <calculatedColumnFormula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calculatedColumnFormula>
    </tableColumn>
    <tableColumn id="4" name="Shooting Pts." dataDxfId="3">
      <calculatedColumnFormula>DataTable[[#This Row],[Successful Lo. G. S]]*2+DataTable[[#This Row],[Successful Hi. G. S.]]*10</calculatedColumnFormula>
    </tableColumn>
    <tableColumn id="5" name="Def. Points" dataDxfId="2">
      <calculatedColumnFormula>(DataTable[[#This Row],[Cat. A Successful Xings.]]+DataTable[[#This Row],[Cat. B Successful Xings.]]+DataTable[[#This Row],[Cat. C Successful Xings.]]+DataTable[[#This Row],[Cat. D Successful Xings.]]+DataTable[[#This Row],[Lo. B. Successful Xings.]])*5</calculatedColumnFormula>
    </tableColumn>
    <tableColumn id="6" name="E. Game Pts." dataDxfId="1">
      <calculatedColumnFormula>IF(DataTable[[#This Row],[E. Game Compl.]]="Nothing",0,IF(DataTable[[#This Row],[E. Game Compl.]]="Challenging the Tower",5,IF(DataTable[[#This Row],[E. Game Compl.]]="Scaling the Tower",15,)))</calculatedColumnFormula>
    </tableColumn>
    <tableColumn id="13" name="Pt. Contrib." dataDxfId="0">
      <calculatedColumnFormula>Table2[[#This Row],[AUTO Pts]]+Table2[[#This Row],[Shooting Pts.]]+Table2[[#This Row],[Def. Points]]+Table2[[#This Row],[E. Game Pts.]]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H20" sqref="H20"/>
    </sheetView>
  </sheetViews>
  <sheetFormatPr defaultColWidth="8.85546875" defaultRowHeight="15" x14ac:dyDescent="0.25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000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11.7109375" style="2" bestFit="1" customWidth="1"/>
    <col min="2" max="2" width="13" style="2" bestFit="1" customWidth="1"/>
    <col min="3" max="3" width="11.28515625" style="2" bestFit="1" customWidth="1"/>
    <col min="4" max="4" width="20.85546875" style="2" bestFit="1" customWidth="1"/>
    <col min="5" max="5" width="11.42578125" style="2" bestFit="1" customWidth="1"/>
    <col min="6" max="6" width="11.85546875" style="2" bestFit="1" customWidth="1"/>
    <col min="7" max="7" width="17.42578125" style="2" bestFit="1" customWidth="1"/>
    <col min="8" max="8" width="15.7109375" style="2" bestFit="1" customWidth="1"/>
    <col min="9" max="9" width="17.85546875" style="2" bestFit="1" customWidth="1"/>
    <col min="10" max="12" width="15.42578125" style="2" bestFit="1" customWidth="1"/>
    <col min="13" max="13" width="15.28515625" style="2" bestFit="1" customWidth="1"/>
    <col min="14" max="14" width="15.42578125" style="2" bestFit="1" customWidth="1"/>
    <col min="15" max="15" width="16" style="2" bestFit="1" customWidth="1"/>
    <col min="16" max="16" width="21.42578125" style="2" bestFit="1" customWidth="1"/>
    <col min="17" max="17" width="11.42578125" style="2" bestFit="1" customWidth="1"/>
    <col min="18" max="18" width="12.28515625" style="2" bestFit="1" customWidth="1"/>
    <col min="19" max="19" width="15.85546875" style="2" bestFit="1" customWidth="1"/>
    <col min="20" max="20" width="21.28515625" style="2" bestFit="1" customWidth="1"/>
    <col min="21" max="21" width="11.42578125" style="2" bestFit="1" customWidth="1"/>
    <col min="22" max="22" width="12.28515625" style="2" bestFit="1" customWidth="1"/>
    <col min="23" max="23" width="15.85546875" style="2" bestFit="1" customWidth="1"/>
    <col min="24" max="24" width="21.28515625" style="2" bestFit="1" customWidth="1"/>
    <col min="25" max="25" width="11.42578125" style="2" bestFit="1" customWidth="1"/>
    <col min="26" max="26" width="12.140625" style="2" bestFit="1" customWidth="1"/>
    <col min="27" max="27" width="16" style="2" bestFit="1" customWidth="1"/>
    <col min="28" max="28" width="21.42578125" style="2" bestFit="1" customWidth="1"/>
    <col min="29" max="29" width="11.140625" style="2" bestFit="1" customWidth="1"/>
    <col min="30" max="30" width="12" style="2" bestFit="1" customWidth="1"/>
    <col min="31" max="31" width="21" style="2" bestFit="1" customWidth="1"/>
    <col min="32" max="32" width="15.85546875" style="2" bestFit="1" customWidth="1"/>
    <col min="33" max="33" width="13.28515625" style="1" bestFit="1" customWidth="1"/>
    <col min="34" max="16384" width="8.85546875" style="1"/>
  </cols>
  <sheetData>
    <row r="1" spans="1:33" s="4" customFormat="1" x14ac:dyDescent="0.2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</v>
      </c>
      <c r="L1" s="3" t="s">
        <v>2</v>
      </c>
      <c r="M1" s="3" t="s">
        <v>3</v>
      </c>
      <c r="N1" s="3" t="s">
        <v>4</v>
      </c>
      <c r="O1" s="3" t="s">
        <v>0</v>
      </c>
      <c r="P1" s="3" t="s">
        <v>18</v>
      </c>
      <c r="Q1" s="3" t="s">
        <v>22</v>
      </c>
      <c r="R1" s="3" t="s">
        <v>23</v>
      </c>
      <c r="S1" s="3" t="s">
        <v>5</v>
      </c>
      <c r="T1" s="3" t="s">
        <v>19</v>
      </c>
      <c r="U1" s="3" t="s">
        <v>24</v>
      </c>
      <c r="V1" s="3" t="s">
        <v>25</v>
      </c>
      <c r="W1" s="3" t="s">
        <v>6</v>
      </c>
      <c r="X1" s="3" t="s">
        <v>20</v>
      </c>
      <c r="Y1" s="3" t="s">
        <v>26</v>
      </c>
      <c r="Z1" s="3" t="s">
        <v>27</v>
      </c>
      <c r="AA1" s="3" t="s">
        <v>7</v>
      </c>
      <c r="AB1" s="3" t="s">
        <v>21</v>
      </c>
      <c r="AC1" s="3" t="s">
        <v>31</v>
      </c>
      <c r="AD1" s="6" t="s">
        <v>32</v>
      </c>
      <c r="AE1" s="5" t="s">
        <v>30</v>
      </c>
      <c r="AF1" s="3" t="s">
        <v>28</v>
      </c>
      <c r="AG1" s="5" t="s">
        <v>29</v>
      </c>
    </row>
    <row r="2" spans="1:33" x14ac:dyDescent="0.25">
      <c r="AG2" s="2"/>
    </row>
    <row r="3" spans="1:33" x14ac:dyDescent="0.25">
      <c r="AG3" s="2"/>
    </row>
    <row r="4" spans="1:33" x14ac:dyDescent="0.25">
      <c r="AG4" s="2"/>
    </row>
    <row r="5" spans="1:33" x14ac:dyDescent="0.25">
      <c r="AG5" s="2"/>
    </row>
    <row r="6" spans="1:33" x14ac:dyDescent="0.25">
      <c r="AG6" s="2"/>
    </row>
    <row r="7" spans="1:33" x14ac:dyDescent="0.25">
      <c r="AG7" s="2"/>
    </row>
    <row r="8" spans="1:33" x14ac:dyDescent="0.25">
      <c r="AG8" s="2"/>
    </row>
    <row r="9" spans="1:33" x14ac:dyDescent="0.25">
      <c r="AG9" s="2"/>
    </row>
    <row r="10" spans="1:33" x14ac:dyDescent="0.25">
      <c r="AG10" s="2"/>
    </row>
    <row r="11" spans="1:33" x14ac:dyDescent="0.25">
      <c r="AG11" s="2"/>
    </row>
    <row r="12" spans="1:33" x14ac:dyDescent="0.25">
      <c r="AG12" s="2"/>
    </row>
    <row r="13" spans="1:33" x14ac:dyDescent="0.25">
      <c r="AG13" s="2"/>
    </row>
    <row r="14" spans="1:33" x14ac:dyDescent="0.25">
      <c r="AG14" s="2"/>
    </row>
    <row r="15" spans="1:33" x14ac:dyDescent="0.25">
      <c r="AG15" s="2"/>
    </row>
    <row r="16" spans="1:33" x14ac:dyDescent="0.25">
      <c r="AG16" s="2"/>
    </row>
    <row r="17" spans="33:33" x14ac:dyDescent="0.25">
      <c r="AG17" s="2"/>
    </row>
    <row r="18" spans="33:33" x14ac:dyDescent="0.25">
      <c r="AG18" s="2"/>
    </row>
    <row r="19" spans="33:33" x14ac:dyDescent="0.25">
      <c r="AG19" s="2"/>
    </row>
    <row r="20" spans="33:33" x14ac:dyDescent="0.25">
      <c r="AG20" s="2"/>
    </row>
    <row r="21" spans="33:33" x14ac:dyDescent="0.25">
      <c r="AG21" s="2"/>
    </row>
    <row r="22" spans="33:33" x14ac:dyDescent="0.25">
      <c r="AG22" s="2"/>
    </row>
    <row r="23" spans="33:33" x14ac:dyDescent="0.25">
      <c r="AG23" s="2"/>
    </row>
    <row r="24" spans="33:33" x14ac:dyDescent="0.25">
      <c r="AG24" s="2"/>
    </row>
    <row r="25" spans="33:33" x14ac:dyDescent="0.25">
      <c r="AG25" s="2"/>
    </row>
    <row r="26" spans="33:33" x14ac:dyDescent="0.25">
      <c r="AG26" s="2"/>
    </row>
    <row r="27" spans="33:33" x14ac:dyDescent="0.25">
      <c r="AG27" s="2"/>
    </row>
    <row r="28" spans="33:33" x14ac:dyDescent="0.25">
      <c r="AG28" s="2"/>
    </row>
    <row r="29" spans="33:33" x14ac:dyDescent="0.25">
      <c r="AG29" s="2"/>
    </row>
    <row r="30" spans="33:33" x14ac:dyDescent="0.25">
      <c r="AG30" s="2"/>
    </row>
    <row r="31" spans="33:33" x14ac:dyDescent="0.25">
      <c r="AG31" s="2"/>
    </row>
    <row r="32" spans="33:33" x14ac:dyDescent="0.25">
      <c r="AG32" s="2"/>
    </row>
    <row r="33" spans="33:33" x14ac:dyDescent="0.25">
      <c r="AG33" s="2"/>
    </row>
    <row r="34" spans="33:33" x14ac:dyDescent="0.25">
      <c r="AG34" s="2"/>
    </row>
    <row r="35" spans="33:33" x14ac:dyDescent="0.25">
      <c r="AG35" s="2"/>
    </row>
    <row r="36" spans="33:33" x14ac:dyDescent="0.25">
      <c r="AG36" s="2"/>
    </row>
    <row r="37" spans="33:33" x14ac:dyDescent="0.25">
      <c r="AG37" s="2"/>
    </row>
    <row r="38" spans="33:33" x14ac:dyDescent="0.25">
      <c r="AG38" s="2"/>
    </row>
    <row r="39" spans="33:33" x14ac:dyDescent="0.25">
      <c r="AG39" s="2"/>
    </row>
    <row r="40" spans="33:33" x14ac:dyDescent="0.25">
      <c r="AG40" s="2"/>
    </row>
    <row r="41" spans="33:33" x14ac:dyDescent="0.25">
      <c r="AG41" s="2"/>
    </row>
    <row r="42" spans="33:33" x14ac:dyDescent="0.25">
      <c r="AG42" s="2"/>
    </row>
    <row r="43" spans="33:33" x14ac:dyDescent="0.25">
      <c r="AG43" s="2"/>
    </row>
    <row r="44" spans="33:33" x14ac:dyDescent="0.25">
      <c r="AG44" s="2"/>
    </row>
    <row r="45" spans="33:33" x14ac:dyDescent="0.25">
      <c r="AG45" s="2"/>
    </row>
    <row r="46" spans="33:33" x14ac:dyDescent="0.25">
      <c r="AG46" s="2"/>
    </row>
    <row r="47" spans="33:33" x14ac:dyDescent="0.25">
      <c r="AG47" s="2"/>
    </row>
    <row r="48" spans="33:33" x14ac:dyDescent="0.25">
      <c r="AG48" s="2"/>
    </row>
    <row r="49" spans="33:33" x14ac:dyDescent="0.25">
      <c r="AG49" s="2"/>
    </row>
    <row r="50" spans="33:33" x14ac:dyDescent="0.25">
      <c r="AG50" s="2"/>
    </row>
    <row r="51" spans="33:33" x14ac:dyDescent="0.25">
      <c r="AG51" s="2"/>
    </row>
    <row r="52" spans="33:33" x14ac:dyDescent="0.25">
      <c r="AG52" s="2"/>
    </row>
    <row r="53" spans="33:33" x14ac:dyDescent="0.25">
      <c r="AG53" s="2"/>
    </row>
    <row r="54" spans="33:33" x14ac:dyDescent="0.25">
      <c r="AG54" s="2"/>
    </row>
    <row r="55" spans="33:33" x14ac:dyDescent="0.25">
      <c r="AG55" s="2"/>
    </row>
    <row r="56" spans="33:33" x14ac:dyDescent="0.25">
      <c r="AG56" s="2"/>
    </row>
    <row r="57" spans="33:33" x14ac:dyDescent="0.25">
      <c r="AG57" s="2"/>
    </row>
    <row r="58" spans="33:33" x14ac:dyDescent="0.25">
      <c r="AG58" s="2"/>
    </row>
    <row r="59" spans="33:33" x14ac:dyDescent="0.25">
      <c r="AG59" s="2"/>
    </row>
    <row r="60" spans="33:33" x14ac:dyDescent="0.25">
      <c r="AG60" s="2"/>
    </row>
    <row r="61" spans="33:33" x14ac:dyDescent="0.25">
      <c r="AG61" s="2"/>
    </row>
    <row r="62" spans="33:33" x14ac:dyDescent="0.25">
      <c r="AG62" s="2"/>
    </row>
    <row r="63" spans="33:33" x14ac:dyDescent="0.25">
      <c r="AG63" s="2"/>
    </row>
    <row r="64" spans="33:33" x14ac:dyDescent="0.25">
      <c r="AG64" s="2"/>
    </row>
    <row r="65" spans="33:33" x14ac:dyDescent="0.25">
      <c r="AG65" s="2"/>
    </row>
    <row r="66" spans="33:33" x14ac:dyDescent="0.25">
      <c r="AG66" s="2"/>
    </row>
    <row r="67" spans="33:33" x14ac:dyDescent="0.25">
      <c r="AG67" s="2"/>
    </row>
    <row r="68" spans="33:33" x14ac:dyDescent="0.25">
      <c r="AG68" s="2"/>
    </row>
    <row r="69" spans="33:33" x14ac:dyDescent="0.25">
      <c r="AG69" s="2"/>
    </row>
    <row r="70" spans="33:33" x14ac:dyDescent="0.25">
      <c r="AG70" s="2"/>
    </row>
    <row r="71" spans="33:33" x14ac:dyDescent="0.25">
      <c r="AG71" s="2"/>
    </row>
    <row r="72" spans="33:33" x14ac:dyDescent="0.25">
      <c r="AG72" s="2"/>
    </row>
    <row r="73" spans="33:33" x14ac:dyDescent="0.25">
      <c r="AG73" s="2"/>
    </row>
    <row r="74" spans="33:33" x14ac:dyDescent="0.25">
      <c r="AG74" s="2"/>
    </row>
    <row r="75" spans="33:33" x14ac:dyDescent="0.25">
      <c r="AG75" s="2"/>
    </row>
    <row r="76" spans="33:33" x14ac:dyDescent="0.25">
      <c r="AG76" s="2"/>
    </row>
    <row r="77" spans="33:33" x14ac:dyDescent="0.25">
      <c r="AG77" s="2"/>
    </row>
    <row r="78" spans="33:33" x14ac:dyDescent="0.25">
      <c r="AG78" s="2"/>
    </row>
    <row r="79" spans="33:33" x14ac:dyDescent="0.25">
      <c r="AG79" s="2"/>
    </row>
    <row r="80" spans="33:33" x14ac:dyDescent="0.25">
      <c r="AG80" s="2"/>
    </row>
    <row r="81" spans="33:33" x14ac:dyDescent="0.25">
      <c r="AG81" s="2"/>
    </row>
    <row r="82" spans="33:33" x14ac:dyDescent="0.25">
      <c r="AG82" s="2"/>
    </row>
    <row r="83" spans="33:33" x14ac:dyDescent="0.25">
      <c r="AG83" s="2"/>
    </row>
    <row r="84" spans="33:33" x14ac:dyDescent="0.25">
      <c r="AG84" s="2"/>
    </row>
    <row r="85" spans="33:33" x14ac:dyDescent="0.25">
      <c r="AG85" s="2"/>
    </row>
    <row r="86" spans="33:33" x14ac:dyDescent="0.25">
      <c r="AG86" s="2"/>
    </row>
    <row r="87" spans="33:33" x14ac:dyDescent="0.25">
      <c r="AG87" s="2"/>
    </row>
    <row r="88" spans="33:33" x14ac:dyDescent="0.25">
      <c r="AG88" s="2"/>
    </row>
    <row r="89" spans="33:33" x14ac:dyDescent="0.25">
      <c r="AG89" s="2"/>
    </row>
    <row r="90" spans="33:33" x14ac:dyDescent="0.25">
      <c r="AG90" s="2"/>
    </row>
    <row r="91" spans="33:33" x14ac:dyDescent="0.25">
      <c r="AG91" s="2"/>
    </row>
    <row r="92" spans="33:33" x14ac:dyDescent="0.25">
      <c r="AG92" s="2"/>
    </row>
    <row r="93" spans="33:33" x14ac:dyDescent="0.25">
      <c r="AG93" s="2"/>
    </row>
    <row r="94" spans="33:33" x14ac:dyDescent="0.25">
      <c r="AG94" s="2"/>
    </row>
    <row r="95" spans="33:33" x14ac:dyDescent="0.25">
      <c r="AG95" s="2"/>
    </row>
    <row r="96" spans="33:33" x14ac:dyDescent="0.25">
      <c r="AG96" s="2"/>
    </row>
    <row r="97" spans="33:33" x14ac:dyDescent="0.25">
      <c r="AG97" s="2"/>
    </row>
    <row r="98" spans="33:33" x14ac:dyDescent="0.25">
      <c r="AG98" s="2"/>
    </row>
    <row r="99" spans="33:33" x14ac:dyDescent="0.25">
      <c r="AG99" s="2"/>
    </row>
    <row r="100" spans="33:33" x14ac:dyDescent="0.25">
      <c r="AG100" s="2"/>
    </row>
    <row r="101" spans="33:33" x14ac:dyDescent="0.25">
      <c r="AG101" s="2"/>
    </row>
    <row r="102" spans="33:33" x14ac:dyDescent="0.25">
      <c r="AG102" s="2"/>
    </row>
    <row r="103" spans="33:33" x14ac:dyDescent="0.25">
      <c r="AG103" s="2"/>
    </row>
    <row r="104" spans="33:33" x14ac:dyDescent="0.25">
      <c r="AG104" s="2"/>
    </row>
    <row r="105" spans="33:33" x14ac:dyDescent="0.25">
      <c r="AG105" s="2"/>
    </row>
    <row r="106" spans="33:33" x14ac:dyDescent="0.25">
      <c r="AG106" s="2"/>
    </row>
    <row r="107" spans="33:33" x14ac:dyDescent="0.25">
      <c r="AG107" s="2"/>
    </row>
    <row r="108" spans="33:33" x14ac:dyDescent="0.25">
      <c r="AG108" s="2"/>
    </row>
    <row r="109" spans="33:33" x14ac:dyDescent="0.25">
      <c r="AG109" s="2"/>
    </row>
    <row r="110" spans="33:33" x14ac:dyDescent="0.25">
      <c r="AG110" s="2"/>
    </row>
    <row r="111" spans="33:33" x14ac:dyDescent="0.25">
      <c r="AG111" s="2"/>
    </row>
    <row r="112" spans="33:33" x14ac:dyDescent="0.25">
      <c r="AG112" s="2"/>
    </row>
    <row r="113" spans="33:33" x14ac:dyDescent="0.25">
      <c r="AG113" s="2"/>
    </row>
    <row r="114" spans="33:33" x14ac:dyDescent="0.25">
      <c r="AG114" s="2"/>
    </row>
    <row r="115" spans="33:33" x14ac:dyDescent="0.25">
      <c r="AG115" s="2"/>
    </row>
    <row r="116" spans="33:33" x14ac:dyDescent="0.25">
      <c r="AG116" s="2"/>
    </row>
    <row r="117" spans="33:33" x14ac:dyDescent="0.25">
      <c r="AG117" s="2"/>
    </row>
    <row r="118" spans="33:33" x14ac:dyDescent="0.25">
      <c r="AG118" s="2"/>
    </row>
    <row r="119" spans="33:33" x14ac:dyDescent="0.25">
      <c r="AG119" s="2"/>
    </row>
    <row r="120" spans="33:33" x14ac:dyDescent="0.25">
      <c r="AG120" s="2"/>
    </row>
    <row r="121" spans="33:33" x14ac:dyDescent="0.25">
      <c r="AG121" s="2"/>
    </row>
    <row r="122" spans="33:33" x14ac:dyDescent="0.25">
      <c r="AG122" s="2"/>
    </row>
    <row r="123" spans="33:33" x14ac:dyDescent="0.25">
      <c r="AG123" s="2"/>
    </row>
    <row r="124" spans="33:33" x14ac:dyDescent="0.25">
      <c r="AG124" s="2"/>
    </row>
    <row r="125" spans="33:33" x14ac:dyDescent="0.25">
      <c r="AG125" s="2"/>
    </row>
    <row r="126" spans="33:33" x14ac:dyDescent="0.25">
      <c r="AG126" s="2"/>
    </row>
    <row r="127" spans="33:33" x14ac:dyDescent="0.25">
      <c r="AG127" s="2"/>
    </row>
    <row r="128" spans="33:33" x14ac:dyDescent="0.25">
      <c r="AG128" s="2"/>
    </row>
    <row r="129" spans="33:33" x14ac:dyDescent="0.25">
      <c r="AG129" s="2"/>
    </row>
    <row r="130" spans="33:33" x14ac:dyDescent="0.25">
      <c r="AG130" s="2"/>
    </row>
    <row r="131" spans="33:33" x14ac:dyDescent="0.25">
      <c r="AG131" s="2"/>
    </row>
    <row r="132" spans="33:33" x14ac:dyDescent="0.25">
      <c r="AG132" s="2"/>
    </row>
    <row r="133" spans="33:33" x14ac:dyDescent="0.25">
      <c r="AG133" s="2"/>
    </row>
    <row r="134" spans="33:33" x14ac:dyDescent="0.25">
      <c r="AG134" s="2"/>
    </row>
    <row r="135" spans="33:33" x14ac:dyDescent="0.25">
      <c r="AG135" s="2"/>
    </row>
    <row r="136" spans="33:33" x14ac:dyDescent="0.25">
      <c r="AG136" s="2"/>
    </row>
    <row r="137" spans="33:33" x14ac:dyDescent="0.25">
      <c r="AG137" s="2"/>
    </row>
    <row r="138" spans="33:33" x14ac:dyDescent="0.25">
      <c r="AG138" s="2"/>
    </row>
    <row r="139" spans="33:33" x14ac:dyDescent="0.25">
      <c r="AG139" s="2"/>
    </row>
    <row r="140" spans="33:33" x14ac:dyDescent="0.25">
      <c r="AG140" s="2"/>
    </row>
    <row r="141" spans="33:33" x14ac:dyDescent="0.25">
      <c r="AG141" s="2"/>
    </row>
    <row r="142" spans="33:33" x14ac:dyDescent="0.25">
      <c r="AG142" s="2"/>
    </row>
    <row r="143" spans="33:33" x14ac:dyDescent="0.25">
      <c r="AG143" s="2"/>
    </row>
    <row r="144" spans="33:33" x14ac:dyDescent="0.25">
      <c r="AG144" s="2"/>
    </row>
    <row r="145" spans="33:33" x14ac:dyDescent="0.25">
      <c r="AG145" s="2"/>
    </row>
    <row r="146" spans="33:33" x14ac:dyDescent="0.25">
      <c r="AG146" s="2"/>
    </row>
    <row r="147" spans="33:33" x14ac:dyDescent="0.25">
      <c r="AG147" s="2"/>
    </row>
    <row r="148" spans="33:33" x14ac:dyDescent="0.25">
      <c r="AG148" s="2"/>
    </row>
    <row r="149" spans="33:33" x14ac:dyDescent="0.25">
      <c r="AG149" s="2"/>
    </row>
    <row r="150" spans="33:33" x14ac:dyDescent="0.25">
      <c r="AG150" s="2"/>
    </row>
    <row r="151" spans="33:33" x14ac:dyDescent="0.25">
      <c r="AG151" s="2"/>
    </row>
    <row r="152" spans="33:33" x14ac:dyDescent="0.25">
      <c r="AG152" s="2"/>
    </row>
    <row r="153" spans="33:33" x14ac:dyDescent="0.25">
      <c r="AG153" s="2"/>
    </row>
    <row r="154" spans="33:33" x14ac:dyDescent="0.25">
      <c r="AG154" s="2"/>
    </row>
    <row r="155" spans="33:33" x14ac:dyDescent="0.25">
      <c r="AG155" s="2"/>
    </row>
    <row r="156" spans="33:33" x14ac:dyDescent="0.25">
      <c r="AG156" s="2"/>
    </row>
    <row r="157" spans="33:33" x14ac:dyDescent="0.25">
      <c r="AG157" s="2"/>
    </row>
    <row r="158" spans="33:33" x14ac:dyDescent="0.25">
      <c r="AG158" s="2"/>
    </row>
    <row r="159" spans="33:33" x14ac:dyDescent="0.25">
      <c r="AG159" s="2"/>
    </row>
    <row r="160" spans="33:33" x14ac:dyDescent="0.25">
      <c r="AG160" s="2"/>
    </row>
    <row r="161" spans="33:33" x14ac:dyDescent="0.25">
      <c r="AG161" s="2"/>
    </row>
    <row r="162" spans="33:33" x14ac:dyDescent="0.25">
      <c r="AG162" s="2"/>
    </row>
    <row r="163" spans="33:33" x14ac:dyDescent="0.25">
      <c r="AG163" s="2"/>
    </row>
    <row r="164" spans="33:33" x14ac:dyDescent="0.25">
      <c r="AG164" s="2"/>
    </row>
    <row r="165" spans="33:33" x14ac:dyDescent="0.25">
      <c r="AG165" s="2"/>
    </row>
    <row r="166" spans="33:33" x14ac:dyDescent="0.25">
      <c r="AG166" s="2"/>
    </row>
    <row r="167" spans="33:33" x14ac:dyDescent="0.25">
      <c r="AG167" s="2"/>
    </row>
    <row r="168" spans="33:33" x14ac:dyDescent="0.25">
      <c r="AG168" s="2"/>
    </row>
    <row r="169" spans="33:33" x14ac:dyDescent="0.25">
      <c r="AG169" s="2"/>
    </row>
    <row r="170" spans="33:33" x14ac:dyDescent="0.25">
      <c r="AG170" s="2"/>
    </row>
    <row r="171" spans="33:33" x14ac:dyDescent="0.25">
      <c r="AG171" s="2"/>
    </row>
    <row r="172" spans="33:33" x14ac:dyDescent="0.25">
      <c r="AG172" s="2"/>
    </row>
    <row r="173" spans="33:33" x14ac:dyDescent="0.25">
      <c r="AG173" s="2"/>
    </row>
    <row r="174" spans="33:33" x14ac:dyDescent="0.25">
      <c r="AG174" s="2"/>
    </row>
    <row r="175" spans="33:33" x14ac:dyDescent="0.25">
      <c r="AG175" s="2"/>
    </row>
    <row r="176" spans="33:33" x14ac:dyDescent="0.25">
      <c r="AG176" s="2"/>
    </row>
    <row r="177" spans="33:33" x14ac:dyDescent="0.25">
      <c r="AG177" s="2"/>
    </row>
    <row r="178" spans="33:33" x14ac:dyDescent="0.25">
      <c r="AG178" s="2"/>
    </row>
    <row r="179" spans="33:33" x14ac:dyDescent="0.25">
      <c r="AG179" s="2"/>
    </row>
    <row r="180" spans="33:33" x14ac:dyDescent="0.25">
      <c r="AG180" s="2"/>
    </row>
    <row r="181" spans="33:33" x14ac:dyDescent="0.25">
      <c r="AG181" s="2"/>
    </row>
    <row r="182" spans="33:33" x14ac:dyDescent="0.25">
      <c r="AG182" s="2"/>
    </row>
    <row r="183" spans="33:33" x14ac:dyDescent="0.25">
      <c r="AG183" s="2"/>
    </row>
    <row r="184" spans="33:33" x14ac:dyDescent="0.25">
      <c r="AG184" s="2"/>
    </row>
    <row r="185" spans="33:33" x14ac:dyDescent="0.25">
      <c r="AG185" s="2"/>
    </row>
    <row r="186" spans="33:33" x14ac:dyDescent="0.25">
      <c r="AG186" s="2"/>
    </row>
    <row r="187" spans="33:33" x14ac:dyDescent="0.25">
      <c r="AG187" s="2"/>
    </row>
    <row r="188" spans="33:33" x14ac:dyDescent="0.25">
      <c r="AG188" s="2"/>
    </row>
    <row r="189" spans="33:33" x14ac:dyDescent="0.25">
      <c r="AG189" s="2"/>
    </row>
    <row r="190" spans="33:33" x14ac:dyDescent="0.25">
      <c r="AG190" s="2"/>
    </row>
    <row r="191" spans="33:33" x14ac:dyDescent="0.25">
      <c r="AG191" s="2"/>
    </row>
    <row r="192" spans="33:33" x14ac:dyDescent="0.25">
      <c r="AG192" s="2"/>
    </row>
    <row r="193" spans="33:33" x14ac:dyDescent="0.25">
      <c r="AG193" s="2"/>
    </row>
    <row r="194" spans="33:33" x14ac:dyDescent="0.25">
      <c r="AG194" s="2"/>
    </row>
    <row r="195" spans="33:33" x14ac:dyDescent="0.25">
      <c r="AG195" s="2"/>
    </row>
    <row r="196" spans="33:33" x14ac:dyDescent="0.25">
      <c r="AG196" s="2"/>
    </row>
    <row r="197" spans="33:33" x14ac:dyDescent="0.25">
      <c r="AG197" s="2"/>
    </row>
    <row r="198" spans="33:33" x14ac:dyDescent="0.25">
      <c r="AG198" s="2"/>
    </row>
    <row r="199" spans="33:33" x14ac:dyDescent="0.25">
      <c r="AG199" s="2"/>
    </row>
    <row r="200" spans="33:33" x14ac:dyDescent="0.25">
      <c r="AG200" s="2"/>
    </row>
    <row r="201" spans="33:33" x14ac:dyDescent="0.25">
      <c r="AG201" s="2"/>
    </row>
    <row r="202" spans="33:33" x14ac:dyDescent="0.25">
      <c r="AG202" s="2"/>
    </row>
    <row r="203" spans="33:33" x14ac:dyDescent="0.25">
      <c r="AG203" s="2"/>
    </row>
    <row r="204" spans="33:33" x14ac:dyDescent="0.25">
      <c r="AG204" s="2"/>
    </row>
    <row r="205" spans="33:33" x14ac:dyDescent="0.25">
      <c r="AG205" s="2"/>
    </row>
    <row r="206" spans="33:33" x14ac:dyDescent="0.25">
      <c r="AG206" s="2"/>
    </row>
    <row r="207" spans="33:33" x14ac:dyDescent="0.25">
      <c r="AG207" s="2"/>
    </row>
    <row r="208" spans="33:33" x14ac:dyDescent="0.25">
      <c r="AG208" s="2"/>
    </row>
    <row r="209" spans="33:33" x14ac:dyDescent="0.25">
      <c r="AG209" s="2"/>
    </row>
    <row r="210" spans="33:33" x14ac:dyDescent="0.25">
      <c r="AG210" s="2"/>
    </row>
    <row r="211" spans="33:33" x14ac:dyDescent="0.25">
      <c r="AG211" s="2"/>
    </row>
    <row r="212" spans="33:33" x14ac:dyDescent="0.25">
      <c r="AG212" s="2"/>
    </row>
    <row r="213" spans="33:33" x14ac:dyDescent="0.25">
      <c r="AG213" s="2"/>
    </row>
    <row r="214" spans="33:33" x14ac:dyDescent="0.25">
      <c r="AG214" s="2"/>
    </row>
    <row r="215" spans="33:33" x14ac:dyDescent="0.25">
      <c r="AG215" s="2"/>
    </row>
    <row r="216" spans="33:33" x14ac:dyDescent="0.25">
      <c r="AG216" s="2"/>
    </row>
    <row r="217" spans="33:33" x14ac:dyDescent="0.25">
      <c r="AG217" s="2"/>
    </row>
    <row r="218" spans="33:33" x14ac:dyDescent="0.25">
      <c r="AG218" s="2"/>
    </row>
    <row r="219" spans="33:33" x14ac:dyDescent="0.25">
      <c r="AG219" s="2"/>
    </row>
    <row r="220" spans="33:33" x14ac:dyDescent="0.25">
      <c r="AG220" s="2"/>
    </row>
    <row r="221" spans="33:33" x14ac:dyDescent="0.25">
      <c r="AG221" s="2"/>
    </row>
    <row r="222" spans="33:33" x14ac:dyDescent="0.25">
      <c r="AG222" s="2"/>
    </row>
    <row r="223" spans="33:33" x14ac:dyDescent="0.25">
      <c r="AG223" s="2"/>
    </row>
    <row r="224" spans="33:33" x14ac:dyDescent="0.25">
      <c r="AG224" s="2"/>
    </row>
    <row r="225" spans="33:33" x14ac:dyDescent="0.25">
      <c r="AG225" s="2"/>
    </row>
    <row r="226" spans="33:33" x14ac:dyDescent="0.25">
      <c r="AG226" s="2"/>
    </row>
    <row r="227" spans="33:33" x14ac:dyDescent="0.25">
      <c r="AG227" s="2"/>
    </row>
    <row r="228" spans="33:33" x14ac:dyDescent="0.25">
      <c r="AG228" s="2"/>
    </row>
    <row r="229" spans="33:33" x14ac:dyDescent="0.25">
      <c r="AG229" s="2"/>
    </row>
    <row r="230" spans="33:33" x14ac:dyDescent="0.25">
      <c r="AG230" s="2"/>
    </row>
    <row r="231" spans="33:33" x14ac:dyDescent="0.25">
      <c r="AG231" s="2"/>
    </row>
    <row r="232" spans="33:33" x14ac:dyDescent="0.25">
      <c r="AG232" s="2"/>
    </row>
    <row r="233" spans="33:33" x14ac:dyDescent="0.25">
      <c r="AG233" s="2"/>
    </row>
    <row r="234" spans="33:33" x14ac:dyDescent="0.25">
      <c r="AG234" s="2"/>
    </row>
    <row r="235" spans="33:33" x14ac:dyDescent="0.25">
      <c r="AG235" s="2"/>
    </row>
    <row r="236" spans="33:33" x14ac:dyDescent="0.25">
      <c r="AG236" s="2"/>
    </row>
    <row r="237" spans="33:33" x14ac:dyDescent="0.25">
      <c r="AG237" s="2"/>
    </row>
    <row r="238" spans="33:33" x14ac:dyDescent="0.25">
      <c r="AG238" s="2"/>
    </row>
    <row r="239" spans="33:33" x14ac:dyDescent="0.25">
      <c r="AG239" s="2"/>
    </row>
    <row r="240" spans="33:33" x14ac:dyDescent="0.25">
      <c r="AG240" s="2"/>
    </row>
    <row r="241" spans="33:33" x14ac:dyDescent="0.25">
      <c r="AG241" s="2"/>
    </row>
    <row r="242" spans="33:33" x14ac:dyDescent="0.25">
      <c r="AG242" s="2"/>
    </row>
    <row r="243" spans="33:33" x14ac:dyDescent="0.25">
      <c r="AG243" s="2"/>
    </row>
    <row r="244" spans="33:33" x14ac:dyDescent="0.25">
      <c r="AG244" s="2"/>
    </row>
    <row r="245" spans="33:33" x14ac:dyDescent="0.25">
      <c r="AG245" s="2"/>
    </row>
    <row r="246" spans="33:33" x14ac:dyDescent="0.25">
      <c r="AG246" s="2"/>
    </row>
    <row r="247" spans="33:33" x14ac:dyDescent="0.25">
      <c r="AG247" s="2"/>
    </row>
    <row r="248" spans="33:33" x14ac:dyDescent="0.25">
      <c r="AG248" s="2"/>
    </row>
    <row r="249" spans="33:33" x14ac:dyDescent="0.25">
      <c r="AG249" s="2"/>
    </row>
    <row r="250" spans="33:33" x14ac:dyDescent="0.25">
      <c r="AG250" s="2"/>
    </row>
    <row r="251" spans="33:33" x14ac:dyDescent="0.25">
      <c r="AG251" s="2"/>
    </row>
    <row r="252" spans="33:33" x14ac:dyDescent="0.25">
      <c r="AG252" s="2"/>
    </row>
    <row r="253" spans="33:33" x14ac:dyDescent="0.25">
      <c r="AG253" s="2"/>
    </row>
    <row r="254" spans="33:33" x14ac:dyDescent="0.25">
      <c r="AG254" s="2"/>
    </row>
    <row r="255" spans="33:33" x14ac:dyDescent="0.25">
      <c r="AG255" s="2"/>
    </row>
    <row r="256" spans="33:33" x14ac:dyDescent="0.25">
      <c r="AG256" s="2"/>
    </row>
    <row r="257" spans="33:33" x14ac:dyDescent="0.25">
      <c r="AG257" s="2"/>
    </row>
    <row r="258" spans="33:33" x14ac:dyDescent="0.25">
      <c r="AG258" s="2"/>
    </row>
    <row r="259" spans="33:33" x14ac:dyDescent="0.25">
      <c r="AG259" s="2"/>
    </row>
    <row r="260" spans="33:33" x14ac:dyDescent="0.25">
      <c r="AG260" s="2"/>
    </row>
    <row r="261" spans="33:33" x14ac:dyDescent="0.25">
      <c r="AG261" s="2"/>
    </row>
    <row r="262" spans="33:33" x14ac:dyDescent="0.25">
      <c r="AG262" s="2"/>
    </row>
    <row r="263" spans="33:33" x14ac:dyDescent="0.25">
      <c r="AG263" s="2"/>
    </row>
    <row r="264" spans="33:33" x14ac:dyDescent="0.25">
      <c r="AG264" s="2"/>
    </row>
    <row r="265" spans="33:33" x14ac:dyDescent="0.25">
      <c r="AG265" s="2"/>
    </row>
    <row r="266" spans="33:33" x14ac:dyDescent="0.25">
      <c r="AG266" s="2"/>
    </row>
    <row r="267" spans="33:33" x14ac:dyDescent="0.25">
      <c r="AG267" s="2"/>
    </row>
    <row r="268" spans="33:33" x14ac:dyDescent="0.25">
      <c r="AG268" s="2"/>
    </row>
    <row r="269" spans="33:33" x14ac:dyDescent="0.25">
      <c r="AG269" s="2"/>
    </row>
    <row r="270" spans="33:33" x14ac:dyDescent="0.25">
      <c r="AG270" s="2"/>
    </row>
    <row r="271" spans="33:33" x14ac:dyDescent="0.25">
      <c r="AG271" s="2"/>
    </row>
    <row r="272" spans="33:33" x14ac:dyDescent="0.25">
      <c r="AG272" s="2"/>
    </row>
    <row r="273" spans="33:33" x14ac:dyDescent="0.25">
      <c r="AG273" s="2"/>
    </row>
    <row r="274" spans="33:33" x14ac:dyDescent="0.25">
      <c r="AG274" s="2"/>
    </row>
    <row r="275" spans="33:33" x14ac:dyDescent="0.25">
      <c r="AG275" s="2"/>
    </row>
    <row r="276" spans="33:33" x14ac:dyDescent="0.25">
      <c r="AG276" s="2"/>
    </row>
    <row r="277" spans="33:33" x14ac:dyDescent="0.25">
      <c r="AG277" s="2"/>
    </row>
    <row r="278" spans="33:33" x14ac:dyDescent="0.25">
      <c r="AG278" s="2"/>
    </row>
    <row r="279" spans="33:33" x14ac:dyDescent="0.25">
      <c r="AG279" s="2"/>
    </row>
    <row r="280" spans="33:33" x14ac:dyDescent="0.25">
      <c r="AG280" s="2"/>
    </row>
    <row r="281" spans="33:33" x14ac:dyDescent="0.25">
      <c r="AG281" s="2"/>
    </row>
    <row r="282" spans="33:33" x14ac:dyDescent="0.25">
      <c r="AG282" s="2"/>
    </row>
    <row r="283" spans="33:33" x14ac:dyDescent="0.25">
      <c r="AG283" s="2"/>
    </row>
    <row r="284" spans="33:33" x14ac:dyDescent="0.25">
      <c r="AG284" s="2"/>
    </row>
    <row r="285" spans="33:33" x14ac:dyDescent="0.25">
      <c r="AG285" s="2"/>
    </row>
    <row r="286" spans="33:33" x14ac:dyDescent="0.25">
      <c r="AG286" s="2"/>
    </row>
    <row r="287" spans="33:33" x14ac:dyDescent="0.25">
      <c r="AG287" s="2"/>
    </row>
    <row r="288" spans="33:33" x14ac:dyDescent="0.25">
      <c r="AG288" s="2"/>
    </row>
    <row r="289" spans="33:33" x14ac:dyDescent="0.25">
      <c r="AG289" s="2"/>
    </row>
    <row r="290" spans="33:33" x14ac:dyDescent="0.25">
      <c r="AG290" s="2"/>
    </row>
    <row r="291" spans="33:33" x14ac:dyDescent="0.25">
      <c r="AG291" s="2"/>
    </row>
    <row r="292" spans="33:33" x14ac:dyDescent="0.25">
      <c r="AG292" s="2"/>
    </row>
    <row r="293" spans="33:33" x14ac:dyDescent="0.25">
      <c r="AG293" s="2"/>
    </row>
    <row r="294" spans="33:33" x14ac:dyDescent="0.25">
      <c r="AG294" s="2"/>
    </row>
    <row r="295" spans="33:33" x14ac:dyDescent="0.25">
      <c r="AG295" s="2"/>
    </row>
    <row r="296" spans="33:33" x14ac:dyDescent="0.25">
      <c r="AG296" s="2"/>
    </row>
    <row r="297" spans="33:33" x14ac:dyDescent="0.25">
      <c r="AG297" s="2"/>
    </row>
    <row r="298" spans="33:33" x14ac:dyDescent="0.25">
      <c r="AG298" s="2"/>
    </row>
    <row r="299" spans="33:33" x14ac:dyDescent="0.25">
      <c r="AG299" s="2"/>
    </row>
    <row r="300" spans="33:33" x14ac:dyDescent="0.25">
      <c r="AG300" s="2"/>
    </row>
    <row r="301" spans="33:33" x14ac:dyDescent="0.25">
      <c r="AG301" s="2"/>
    </row>
    <row r="302" spans="33:33" x14ac:dyDescent="0.25">
      <c r="AG302" s="2"/>
    </row>
    <row r="303" spans="33:33" x14ac:dyDescent="0.25">
      <c r="AG303" s="2"/>
    </row>
    <row r="304" spans="33:33" x14ac:dyDescent="0.25">
      <c r="AG304" s="2"/>
    </row>
    <row r="305" spans="33:33" x14ac:dyDescent="0.25">
      <c r="AG305" s="2"/>
    </row>
    <row r="306" spans="33:33" x14ac:dyDescent="0.25">
      <c r="AG306" s="2"/>
    </row>
    <row r="307" spans="33:33" x14ac:dyDescent="0.25">
      <c r="AG307" s="2"/>
    </row>
    <row r="308" spans="33:33" x14ac:dyDescent="0.25">
      <c r="AG308" s="2"/>
    </row>
    <row r="309" spans="33:33" x14ac:dyDescent="0.25">
      <c r="AG309" s="2"/>
    </row>
    <row r="310" spans="33:33" x14ac:dyDescent="0.25">
      <c r="AG310" s="2"/>
    </row>
    <row r="311" spans="33:33" x14ac:dyDescent="0.25">
      <c r="AG311" s="2"/>
    </row>
    <row r="312" spans="33:33" x14ac:dyDescent="0.25">
      <c r="AG312" s="2"/>
    </row>
    <row r="313" spans="33:33" x14ac:dyDescent="0.25">
      <c r="AG313" s="2"/>
    </row>
    <row r="314" spans="33:33" x14ac:dyDescent="0.25">
      <c r="AG314" s="2"/>
    </row>
    <row r="315" spans="33:33" x14ac:dyDescent="0.25">
      <c r="AG315" s="2"/>
    </row>
    <row r="316" spans="33:33" x14ac:dyDescent="0.25">
      <c r="AG316" s="2"/>
    </row>
    <row r="317" spans="33:33" x14ac:dyDescent="0.25">
      <c r="AG317" s="2"/>
    </row>
    <row r="318" spans="33:33" x14ac:dyDescent="0.25">
      <c r="AG318" s="2"/>
    </row>
    <row r="319" spans="33:33" x14ac:dyDescent="0.25">
      <c r="AG319" s="2"/>
    </row>
    <row r="320" spans="33:33" x14ac:dyDescent="0.25">
      <c r="AG320" s="2"/>
    </row>
    <row r="321" spans="33:33" x14ac:dyDescent="0.25">
      <c r="AG321" s="2"/>
    </row>
    <row r="322" spans="33:33" x14ac:dyDescent="0.25">
      <c r="AG322" s="2"/>
    </row>
    <row r="323" spans="33:33" x14ac:dyDescent="0.25">
      <c r="AG323" s="2"/>
    </row>
    <row r="324" spans="33:33" x14ac:dyDescent="0.25">
      <c r="AG324" s="2"/>
    </row>
    <row r="325" spans="33:33" x14ac:dyDescent="0.25">
      <c r="AG325" s="2"/>
    </row>
    <row r="326" spans="33:33" x14ac:dyDescent="0.25">
      <c r="AG326" s="2"/>
    </row>
    <row r="327" spans="33:33" x14ac:dyDescent="0.25">
      <c r="AG327" s="2"/>
    </row>
    <row r="328" spans="33:33" x14ac:dyDescent="0.25">
      <c r="AG328" s="2"/>
    </row>
    <row r="329" spans="33:33" x14ac:dyDescent="0.25">
      <c r="AG329" s="2"/>
    </row>
    <row r="330" spans="33:33" x14ac:dyDescent="0.25">
      <c r="AG330" s="2"/>
    </row>
    <row r="331" spans="33:33" x14ac:dyDescent="0.25">
      <c r="AG331" s="2"/>
    </row>
    <row r="332" spans="33:33" x14ac:dyDescent="0.25">
      <c r="AG332" s="2"/>
    </row>
    <row r="333" spans="33:33" x14ac:dyDescent="0.25">
      <c r="AG333" s="2"/>
    </row>
    <row r="334" spans="33:33" x14ac:dyDescent="0.25">
      <c r="AG334" s="2"/>
    </row>
    <row r="335" spans="33:33" x14ac:dyDescent="0.25">
      <c r="AG335" s="2"/>
    </row>
    <row r="336" spans="33:33" x14ac:dyDescent="0.25">
      <c r="AG336" s="2"/>
    </row>
    <row r="337" spans="33:33" x14ac:dyDescent="0.25">
      <c r="AG337" s="2"/>
    </row>
    <row r="338" spans="33:33" x14ac:dyDescent="0.25">
      <c r="AG338" s="2"/>
    </row>
    <row r="339" spans="33:33" x14ac:dyDescent="0.25">
      <c r="AG339" s="2"/>
    </row>
    <row r="340" spans="33:33" x14ac:dyDescent="0.25">
      <c r="AG340" s="2"/>
    </row>
    <row r="341" spans="33:33" x14ac:dyDescent="0.25">
      <c r="AG341" s="2"/>
    </row>
    <row r="342" spans="33:33" x14ac:dyDescent="0.25">
      <c r="AG342" s="2"/>
    </row>
    <row r="343" spans="33:33" x14ac:dyDescent="0.25">
      <c r="AG343" s="2"/>
    </row>
    <row r="344" spans="33:33" x14ac:dyDescent="0.25">
      <c r="AG344" s="2"/>
    </row>
    <row r="345" spans="33:33" x14ac:dyDescent="0.25">
      <c r="AG345" s="2"/>
    </row>
    <row r="346" spans="33:33" x14ac:dyDescent="0.25">
      <c r="AG346" s="2"/>
    </row>
    <row r="347" spans="33:33" x14ac:dyDescent="0.25">
      <c r="AG347" s="2"/>
    </row>
    <row r="348" spans="33:33" x14ac:dyDescent="0.25">
      <c r="AG348" s="2"/>
    </row>
    <row r="349" spans="33:33" x14ac:dyDescent="0.25">
      <c r="AG349" s="2"/>
    </row>
    <row r="350" spans="33:33" x14ac:dyDescent="0.25">
      <c r="AG350" s="2"/>
    </row>
    <row r="351" spans="33:33" x14ac:dyDescent="0.25">
      <c r="AG351" s="2"/>
    </row>
    <row r="352" spans="33:33" x14ac:dyDescent="0.25">
      <c r="AG352" s="2"/>
    </row>
    <row r="353" spans="33:33" x14ac:dyDescent="0.25">
      <c r="AG353" s="2"/>
    </row>
    <row r="354" spans="33:33" x14ac:dyDescent="0.25">
      <c r="AG354" s="2"/>
    </row>
    <row r="355" spans="33:33" x14ac:dyDescent="0.25">
      <c r="AG355" s="2"/>
    </row>
    <row r="356" spans="33:33" x14ac:dyDescent="0.25">
      <c r="AG356" s="2"/>
    </row>
    <row r="357" spans="33:33" x14ac:dyDescent="0.25">
      <c r="AG357" s="2"/>
    </row>
    <row r="358" spans="33:33" x14ac:dyDescent="0.25">
      <c r="AG358" s="2"/>
    </row>
    <row r="359" spans="33:33" x14ac:dyDescent="0.25">
      <c r="AG359" s="2"/>
    </row>
    <row r="360" spans="33:33" x14ac:dyDescent="0.25">
      <c r="AG360" s="2"/>
    </row>
    <row r="361" spans="33:33" x14ac:dyDescent="0.25">
      <c r="AG361" s="2"/>
    </row>
    <row r="362" spans="33:33" x14ac:dyDescent="0.25">
      <c r="AG362" s="2"/>
    </row>
    <row r="363" spans="33:33" x14ac:dyDescent="0.25">
      <c r="AG363" s="2"/>
    </row>
    <row r="364" spans="33:33" x14ac:dyDescent="0.25">
      <c r="AG364" s="2"/>
    </row>
    <row r="365" spans="33:33" x14ac:dyDescent="0.25">
      <c r="AG365" s="2"/>
    </row>
    <row r="366" spans="33:33" x14ac:dyDescent="0.25">
      <c r="AG366" s="2"/>
    </row>
    <row r="367" spans="33:33" x14ac:dyDescent="0.25">
      <c r="AG367" s="2"/>
    </row>
    <row r="368" spans="33:33" x14ac:dyDescent="0.25">
      <c r="AG368" s="2"/>
    </row>
    <row r="369" spans="33:33" x14ac:dyDescent="0.25">
      <c r="AG369" s="2"/>
    </row>
    <row r="370" spans="33:33" x14ac:dyDescent="0.25">
      <c r="AG370" s="2"/>
    </row>
    <row r="371" spans="33:33" x14ac:dyDescent="0.25">
      <c r="AG371" s="2"/>
    </row>
    <row r="372" spans="33:33" x14ac:dyDescent="0.25">
      <c r="AG372" s="2"/>
    </row>
    <row r="373" spans="33:33" x14ac:dyDescent="0.25">
      <c r="AG373" s="2"/>
    </row>
    <row r="374" spans="33:33" x14ac:dyDescent="0.25">
      <c r="AG374" s="2"/>
    </row>
    <row r="375" spans="33:33" x14ac:dyDescent="0.25">
      <c r="AG375" s="2"/>
    </row>
    <row r="376" spans="33:33" x14ac:dyDescent="0.25">
      <c r="AG376" s="2"/>
    </row>
    <row r="377" spans="33:33" x14ac:dyDescent="0.25">
      <c r="AG377" s="2"/>
    </row>
    <row r="378" spans="33:33" x14ac:dyDescent="0.25">
      <c r="AG378" s="2"/>
    </row>
    <row r="379" spans="33:33" x14ac:dyDescent="0.25">
      <c r="AG379" s="2"/>
    </row>
    <row r="380" spans="33:33" x14ac:dyDescent="0.25">
      <c r="AG380" s="2"/>
    </row>
    <row r="381" spans="33:33" x14ac:dyDescent="0.25">
      <c r="AG381" s="2"/>
    </row>
    <row r="382" spans="33:33" x14ac:dyDescent="0.25">
      <c r="AG382" s="2"/>
    </row>
    <row r="383" spans="33:33" x14ac:dyDescent="0.25">
      <c r="AG383" s="2"/>
    </row>
    <row r="384" spans="33:33" x14ac:dyDescent="0.25">
      <c r="AG384" s="2"/>
    </row>
    <row r="385" spans="33:33" x14ac:dyDescent="0.25">
      <c r="AG385" s="2"/>
    </row>
    <row r="386" spans="33:33" x14ac:dyDescent="0.25">
      <c r="AG386" s="2"/>
    </row>
    <row r="387" spans="33:33" x14ac:dyDescent="0.25">
      <c r="AG387" s="2"/>
    </row>
    <row r="388" spans="33:33" x14ac:dyDescent="0.25">
      <c r="AG388" s="2"/>
    </row>
    <row r="389" spans="33:33" x14ac:dyDescent="0.25">
      <c r="AG389" s="2"/>
    </row>
    <row r="390" spans="33:33" x14ac:dyDescent="0.25">
      <c r="AG390" s="2"/>
    </row>
    <row r="391" spans="33:33" x14ac:dyDescent="0.25">
      <c r="AG391" s="2"/>
    </row>
    <row r="392" spans="33:33" x14ac:dyDescent="0.25">
      <c r="AG392" s="2"/>
    </row>
    <row r="393" spans="33:33" x14ac:dyDescent="0.25">
      <c r="AG393" s="2"/>
    </row>
    <row r="394" spans="33:33" x14ac:dyDescent="0.25">
      <c r="AG394" s="2"/>
    </row>
    <row r="395" spans="33:33" x14ac:dyDescent="0.25">
      <c r="AG395" s="2"/>
    </row>
    <row r="396" spans="33:33" x14ac:dyDescent="0.25">
      <c r="AG396" s="2"/>
    </row>
    <row r="397" spans="33:33" x14ac:dyDescent="0.25">
      <c r="AG397" s="2"/>
    </row>
    <row r="398" spans="33:33" x14ac:dyDescent="0.25">
      <c r="AG398" s="2"/>
    </row>
    <row r="399" spans="33:33" x14ac:dyDescent="0.25">
      <c r="AG399" s="2"/>
    </row>
    <row r="400" spans="33:33" x14ac:dyDescent="0.25">
      <c r="AG400" s="2"/>
    </row>
    <row r="401" spans="33:33" x14ac:dyDescent="0.25">
      <c r="AG401" s="2"/>
    </row>
    <row r="402" spans="33:33" x14ac:dyDescent="0.25">
      <c r="AG402" s="2"/>
    </row>
    <row r="403" spans="33:33" x14ac:dyDescent="0.25">
      <c r="AG403" s="2"/>
    </row>
    <row r="404" spans="33:33" x14ac:dyDescent="0.25">
      <c r="AG404" s="2"/>
    </row>
    <row r="405" spans="33:33" x14ac:dyDescent="0.25">
      <c r="AG405" s="2"/>
    </row>
    <row r="406" spans="33:33" x14ac:dyDescent="0.25">
      <c r="AG406" s="2"/>
    </row>
    <row r="407" spans="33:33" x14ac:dyDescent="0.25">
      <c r="AG407" s="2"/>
    </row>
    <row r="408" spans="33:33" x14ac:dyDescent="0.25">
      <c r="AG408" s="2"/>
    </row>
    <row r="409" spans="33:33" x14ac:dyDescent="0.25">
      <c r="AG409" s="2"/>
    </row>
    <row r="410" spans="33:33" x14ac:dyDescent="0.25">
      <c r="AG410" s="2"/>
    </row>
    <row r="411" spans="33:33" x14ac:dyDescent="0.25">
      <c r="AG411" s="2"/>
    </row>
    <row r="412" spans="33:33" x14ac:dyDescent="0.25">
      <c r="AG412" s="2"/>
    </row>
    <row r="413" spans="33:33" x14ac:dyDescent="0.25">
      <c r="AG413" s="2"/>
    </row>
    <row r="414" spans="33:33" x14ac:dyDescent="0.25">
      <c r="AG414" s="2"/>
    </row>
    <row r="415" spans="33:33" x14ac:dyDescent="0.25">
      <c r="AG415" s="2"/>
    </row>
    <row r="416" spans="33:33" x14ac:dyDescent="0.25">
      <c r="AG416" s="2"/>
    </row>
    <row r="417" spans="33:33" x14ac:dyDescent="0.25">
      <c r="AG417" s="2"/>
    </row>
    <row r="418" spans="33:33" x14ac:dyDescent="0.25">
      <c r="AG418" s="2"/>
    </row>
    <row r="419" spans="33:33" x14ac:dyDescent="0.25">
      <c r="AG419" s="2"/>
    </row>
    <row r="420" spans="33:33" x14ac:dyDescent="0.25">
      <c r="AG420" s="2"/>
    </row>
    <row r="421" spans="33:33" x14ac:dyDescent="0.25">
      <c r="AG421" s="2"/>
    </row>
    <row r="422" spans="33:33" x14ac:dyDescent="0.25">
      <c r="AG422" s="2"/>
    </row>
    <row r="423" spans="33:33" x14ac:dyDescent="0.25">
      <c r="AG423" s="2"/>
    </row>
    <row r="424" spans="33:33" x14ac:dyDescent="0.25">
      <c r="AG424" s="2"/>
    </row>
    <row r="425" spans="33:33" x14ac:dyDescent="0.25">
      <c r="AG425" s="2"/>
    </row>
    <row r="426" spans="33:33" x14ac:dyDescent="0.25">
      <c r="AG426" s="2"/>
    </row>
    <row r="427" spans="33:33" x14ac:dyDescent="0.25">
      <c r="AG427" s="2"/>
    </row>
    <row r="428" spans="33:33" x14ac:dyDescent="0.25">
      <c r="AG428" s="2"/>
    </row>
    <row r="429" spans="33:33" x14ac:dyDescent="0.25">
      <c r="AG429" s="2"/>
    </row>
    <row r="430" spans="33:33" x14ac:dyDescent="0.25">
      <c r="AG430" s="2"/>
    </row>
    <row r="431" spans="33:33" x14ac:dyDescent="0.25">
      <c r="AG431" s="2"/>
    </row>
    <row r="432" spans="33:33" x14ac:dyDescent="0.25">
      <c r="AG432" s="2"/>
    </row>
    <row r="433" spans="33:33" x14ac:dyDescent="0.25">
      <c r="AG433" s="2"/>
    </row>
    <row r="434" spans="33:33" x14ac:dyDescent="0.25">
      <c r="AG434" s="2"/>
    </row>
    <row r="435" spans="33:33" x14ac:dyDescent="0.25">
      <c r="AG435" s="2"/>
    </row>
    <row r="436" spans="33:33" x14ac:dyDescent="0.25">
      <c r="AG436" s="2"/>
    </row>
    <row r="437" spans="33:33" x14ac:dyDescent="0.25">
      <c r="AG437" s="2"/>
    </row>
    <row r="438" spans="33:33" x14ac:dyDescent="0.25">
      <c r="AG438" s="2"/>
    </row>
    <row r="439" spans="33:33" x14ac:dyDescent="0.25">
      <c r="AG439" s="2"/>
    </row>
    <row r="440" spans="33:33" x14ac:dyDescent="0.25">
      <c r="AG440" s="2"/>
    </row>
    <row r="441" spans="33:33" x14ac:dyDescent="0.25">
      <c r="AG441" s="2"/>
    </row>
    <row r="442" spans="33:33" x14ac:dyDescent="0.25">
      <c r="AG442" s="2"/>
    </row>
    <row r="443" spans="33:33" x14ac:dyDescent="0.25">
      <c r="AG443" s="2"/>
    </row>
    <row r="444" spans="33:33" x14ac:dyDescent="0.25">
      <c r="AG444" s="2"/>
    </row>
    <row r="445" spans="33:33" x14ac:dyDescent="0.25">
      <c r="AG445" s="2"/>
    </row>
    <row r="446" spans="33:33" x14ac:dyDescent="0.25">
      <c r="AG446" s="2"/>
    </row>
    <row r="447" spans="33:33" x14ac:dyDescent="0.25">
      <c r="AG447" s="2"/>
    </row>
    <row r="448" spans="33:33" x14ac:dyDescent="0.25">
      <c r="AG448" s="2"/>
    </row>
    <row r="449" spans="33:33" x14ac:dyDescent="0.25">
      <c r="AG449" s="2"/>
    </row>
    <row r="450" spans="33:33" x14ac:dyDescent="0.25">
      <c r="AG450" s="2"/>
    </row>
    <row r="451" spans="33:33" x14ac:dyDescent="0.25">
      <c r="AG451" s="2"/>
    </row>
    <row r="452" spans="33:33" x14ac:dyDescent="0.25">
      <c r="AG452" s="2"/>
    </row>
    <row r="453" spans="33:33" x14ac:dyDescent="0.25">
      <c r="AG453" s="2"/>
    </row>
    <row r="454" spans="33:33" x14ac:dyDescent="0.25">
      <c r="AG454" s="2"/>
    </row>
    <row r="455" spans="33:33" x14ac:dyDescent="0.25">
      <c r="AG455" s="2"/>
    </row>
    <row r="456" spans="33:33" x14ac:dyDescent="0.25">
      <c r="AG456" s="2"/>
    </row>
    <row r="457" spans="33:33" x14ac:dyDescent="0.25">
      <c r="AG457" s="2"/>
    </row>
    <row r="458" spans="33:33" x14ac:dyDescent="0.25">
      <c r="AG458" s="2"/>
    </row>
    <row r="459" spans="33:33" x14ac:dyDescent="0.25">
      <c r="AG459" s="2"/>
    </row>
    <row r="460" spans="33:33" x14ac:dyDescent="0.25">
      <c r="AG460" s="2"/>
    </row>
    <row r="461" spans="33:33" x14ac:dyDescent="0.25">
      <c r="AG461" s="2"/>
    </row>
    <row r="462" spans="33:33" x14ac:dyDescent="0.25">
      <c r="AG462" s="2"/>
    </row>
    <row r="463" spans="33:33" x14ac:dyDescent="0.25">
      <c r="AG463" s="2"/>
    </row>
    <row r="464" spans="33:33" x14ac:dyDescent="0.25">
      <c r="AG464" s="2"/>
    </row>
    <row r="465" spans="33:33" x14ac:dyDescent="0.25">
      <c r="AG465" s="2"/>
    </row>
    <row r="466" spans="33:33" x14ac:dyDescent="0.25">
      <c r="AG466" s="2"/>
    </row>
    <row r="467" spans="33:33" x14ac:dyDescent="0.25">
      <c r="AG467" s="2"/>
    </row>
    <row r="468" spans="33:33" x14ac:dyDescent="0.25">
      <c r="AG468" s="2"/>
    </row>
    <row r="469" spans="33:33" x14ac:dyDescent="0.25">
      <c r="AG469" s="2"/>
    </row>
    <row r="470" spans="33:33" x14ac:dyDescent="0.25">
      <c r="AG470" s="2"/>
    </row>
    <row r="471" spans="33:33" x14ac:dyDescent="0.25">
      <c r="AG471" s="2"/>
    </row>
    <row r="472" spans="33:33" x14ac:dyDescent="0.25">
      <c r="AG472" s="2"/>
    </row>
    <row r="473" spans="33:33" x14ac:dyDescent="0.25">
      <c r="AG473" s="2"/>
    </row>
    <row r="474" spans="33:33" x14ac:dyDescent="0.25">
      <c r="AG474" s="2"/>
    </row>
    <row r="475" spans="33:33" x14ac:dyDescent="0.25">
      <c r="AG475" s="2"/>
    </row>
    <row r="476" spans="33:33" x14ac:dyDescent="0.25">
      <c r="AG476" s="2"/>
    </row>
    <row r="477" spans="33:33" x14ac:dyDescent="0.25">
      <c r="AG477" s="2"/>
    </row>
    <row r="478" spans="33:33" x14ac:dyDescent="0.25">
      <c r="AG478" s="2"/>
    </row>
    <row r="479" spans="33:33" x14ac:dyDescent="0.25">
      <c r="AG479" s="2"/>
    </row>
    <row r="480" spans="33:33" x14ac:dyDescent="0.25">
      <c r="AG480" s="2"/>
    </row>
    <row r="481" spans="33:33" x14ac:dyDescent="0.25">
      <c r="AG481" s="2"/>
    </row>
    <row r="482" spans="33:33" x14ac:dyDescent="0.25">
      <c r="AG482" s="2"/>
    </row>
    <row r="483" spans="33:33" x14ac:dyDescent="0.25">
      <c r="AG483" s="2"/>
    </row>
    <row r="484" spans="33:33" x14ac:dyDescent="0.25">
      <c r="AG484" s="2"/>
    </row>
    <row r="485" spans="33:33" x14ac:dyDescent="0.25">
      <c r="AG485" s="2"/>
    </row>
    <row r="486" spans="33:33" x14ac:dyDescent="0.25">
      <c r="AG486" s="2"/>
    </row>
    <row r="487" spans="33:33" x14ac:dyDescent="0.25">
      <c r="AG487" s="2"/>
    </row>
    <row r="488" spans="33:33" x14ac:dyDescent="0.25">
      <c r="AG488" s="2"/>
    </row>
    <row r="489" spans="33:33" x14ac:dyDescent="0.25">
      <c r="AG489" s="2"/>
    </row>
    <row r="490" spans="33:33" x14ac:dyDescent="0.25">
      <c r="AG490" s="2"/>
    </row>
    <row r="491" spans="33:33" x14ac:dyDescent="0.25">
      <c r="AG491" s="2"/>
    </row>
    <row r="492" spans="33:33" x14ac:dyDescent="0.25">
      <c r="AG492" s="2"/>
    </row>
    <row r="493" spans="33:33" x14ac:dyDescent="0.25">
      <c r="AG493" s="2"/>
    </row>
    <row r="494" spans="33:33" x14ac:dyDescent="0.25">
      <c r="AG494" s="2"/>
    </row>
    <row r="495" spans="33:33" x14ac:dyDescent="0.25">
      <c r="AG495" s="2"/>
    </row>
    <row r="496" spans="33:33" x14ac:dyDescent="0.25">
      <c r="AG496" s="2"/>
    </row>
    <row r="497" spans="33:33" x14ac:dyDescent="0.25">
      <c r="AG497" s="2"/>
    </row>
    <row r="498" spans="33:33" x14ac:dyDescent="0.25">
      <c r="AG498" s="2"/>
    </row>
    <row r="499" spans="33:33" x14ac:dyDescent="0.25">
      <c r="AG499" s="2"/>
    </row>
    <row r="500" spans="33:33" x14ac:dyDescent="0.25">
      <c r="AG500" s="2"/>
    </row>
    <row r="501" spans="33:33" x14ac:dyDescent="0.25">
      <c r="AG501" s="2"/>
    </row>
    <row r="502" spans="33:33" x14ac:dyDescent="0.25">
      <c r="AG502" s="2"/>
    </row>
    <row r="503" spans="33:33" x14ac:dyDescent="0.25">
      <c r="AG503" s="2"/>
    </row>
    <row r="504" spans="33:33" x14ac:dyDescent="0.25">
      <c r="AG504" s="2"/>
    </row>
    <row r="505" spans="33:33" x14ac:dyDescent="0.25">
      <c r="AG505" s="2"/>
    </row>
    <row r="506" spans="33:33" x14ac:dyDescent="0.25">
      <c r="AG506" s="2"/>
    </row>
    <row r="507" spans="33:33" x14ac:dyDescent="0.25">
      <c r="AG507" s="2"/>
    </row>
    <row r="508" spans="33:33" x14ac:dyDescent="0.25">
      <c r="AG508" s="2"/>
    </row>
    <row r="509" spans="33:33" x14ac:dyDescent="0.25">
      <c r="AG509" s="2"/>
    </row>
    <row r="510" spans="33:33" x14ac:dyDescent="0.25">
      <c r="AG510" s="2"/>
    </row>
    <row r="511" spans="33:33" x14ac:dyDescent="0.25">
      <c r="AG511" s="2"/>
    </row>
    <row r="512" spans="33:33" x14ac:dyDescent="0.25">
      <c r="AG512" s="2"/>
    </row>
    <row r="513" spans="33:33" x14ac:dyDescent="0.25">
      <c r="AG513" s="2"/>
    </row>
    <row r="514" spans="33:33" x14ac:dyDescent="0.25">
      <c r="AG514" s="2"/>
    </row>
    <row r="515" spans="33:33" x14ac:dyDescent="0.25">
      <c r="AG515" s="2"/>
    </row>
    <row r="516" spans="33:33" x14ac:dyDescent="0.25">
      <c r="AG516" s="2"/>
    </row>
    <row r="517" spans="33:33" x14ac:dyDescent="0.25">
      <c r="AG517" s="2"/>
    </row>
    <row r="518" spans="33:33" x14ac:dyDescent="0.25">
      <c r="AG518" s="2"/>
    </row>
    <row r="519" spans="33:33" x14ac:dyDescent="0.25">
      <c r="AG519" s="2"/>
    </row>
    <row r="520" spans="33:33" x14ac:dyDescent="0.25">
      <c r="AG520" s="2"/>
    </row>
    <row r="521" spans="33:33" x14ac:dyDescent="0.25">
      <c r="AG521" s="2"/>
    </row>
    <row r="522" spans="33:33" x14ac:dyDescent="0.25">
      <c r="AG522" s="2"/>
    </row>
    <row r="523" spans="33:33" x14ac:dyDescent="0.25">
      <c r="AG523" s="2"/>
    </row>
    <row r="524" spans="33:33" x14ac:dyDescent="0.25">
      <c r="AG524" s="2"/>
    </row>
    <row r="525" spans="33:33" x14ac:dyDescent="0.25">
      <c r="AG525" s="2"/>
    </row>
    <row r="526" spans="33:33" x14ac:dyDescent="0.25">
      <c r="AG526" s="2"/>
    </row>
    <row r="527" spans="33:33" x14ac:dyDescent="0.25">
      <c r="AG527" s="2"/>
    </row>
    <row r="528" spans="33:33" x14ac:dyDescent="0.25">
      <c r="AG528" s="2"/>
    </row>
    <row r="529" spans="33:33" x14ac:dyDescent="0.25">
      <c r="AG529" s="2"/>
    </row>
    <row r="530" spans="33:33" x14ac:dyDescent="0.25">
      <c r="AG530" s="2"/>
    </row>
    <row r="531" spans="33:33" x14ac:dyDescent="0.25">
      <c r="AG531" s="2"/>
    </row>
    <row r="532" spans="33:33" x14ac:dyDescent="0.25">
      <c r="AG532" s="2"/>
    </row>
    <row r="533" spans="33:33" x14ac:dyDescent="0.25">
      <c r="AG533" s="2"/>
    </row>
    <row r="534" spans="33:33" x14ac:dyDescent="0.25">
      <c r="AG534" s="2"/>
    </row>
    <row r="535" spans="33:33" x14ac:dyDescent="0.25">
      <c r="AG535" s="2"/>
    </row>
    <row r="536" spans="33:33" x14ac:dyDescent="0.25">
      <c r="AG536" s="2"/>
    </row>
    <row r="537" spans="33:33" x14ac:dyDescent="0.25">
      <c r="AG537" s="2"/>
    </row>
    <row r="538" spans="33:33" x14ac:dyDescent="0.25">
      <c r="AG538" s="2"/>
    </row>
    <row r="539" spans="33:33" x14ac:dyDescent="0.25">
      <c r="AG539" s="2"/>
    </row>
    <row r="540" spans="33:33" x14ac:dyDescent="0.25">
      <c r="AG540" s="2"/>
    </row>
    <row r="541" spans="33:33" x14ac:dyDescent="0.25">
      <c r="AG541" s="2"/>
    </row>
    <row r="542" spans="33:33" x14ac:dyDescent="0.25">
      <c r="AG542" s="2"/>
    </row>
    <row r="543" spans="33:33" x14ac:dyDescent="0.25">
      <c r="AG543" s="2"/>
    </row>
    <row r="544" spans="33:33" x14ac:dyDescent="0.25">
      <c r="AG544" s="2"/>
    </row>
    <row r="545" spans="33:33" x14ac:dyDescent="0.25">
      <c r="AG545" s="2"/>
    </row>
    <row r="546" spans="33:33" x14ac:dyDescent="0.25">
      <c r="AG546" s="2"/>
    </row>
    <row r="547" spans="33:33" x14ac:dyDescent="0.25">
      <c r="AG547" s="2"/>
    </row>
    <row r="548" spans="33:33" x14ac:dyDescent="0.25">
      <c r="AG548" s="2"/>
    </row>
    <row r="549" spans="33:33" x14ac:dyDescent="0.25">
      <c r="AG549" s="2"/>
    </row>
    <row r="550" spans="33:33" x14ac:dyDescent="0.25">
      <c r="AG550" s="2"/>
    </row>
    <row r="551" spans="33:33" x14ac:dyDescent="0.25">
      <c r="AG551" s="2"/>
    </row>
    <row r="552" spans="33:33" x14ac:dyDescent="0.25">
      <c r="AG552" s="2"/>
    </row>
    <row r="553" spans="33:33" x14ac:dyDescent="0.25">
      <c r="AG553" s="2"/>
    </row>
    <row r="554" spans="33:33" x14ac:dyDescent="0.25">
      <c r="AG554" s="2"/>
    </row>
    <row r="555" spans="33:33" x14ac:dyDescent="0.25">
      <c r="AG555" s="2"/>
    </row>
    <row r="556" spans="33:33" x14ac:dyDescent="0.25">
      <c r="AG556" s="2"/>
    </row>
    <row r="557" spans="33:33" x14ac:dyDescent="0.25">
      <c r="AG557" s="2"/>
    </row>
    <row r="558" spans="33:33" x14ac:dyDescent="0.25">
      <c r="AG558" s="2"/>
    </row>
    <row r="559" spans="33:33" x14ac:dyDescent="0.25">
      <c r="AG559" s="2"/>
    </row>
    <row r="560" spans="33:33" x14ac:dyDescent="0.25">
      <c r="AG560" s="2"/>
    </row>
    <row r="561" spans="33:33" x14ac:dyDescent="0.25">
      <c r="AG561" s="2"/>
    </row>
    <row r="562" spans="33:33" x14ac:dyDescent="0.25">
      <c r="AG562" s="2"/>
    </row>
    <row r="563" spans="33:33" x14ac:dyDescent="0.25">
      <c r="AG563" s="2"/>
    </row>
    <row r="564" spans="33:33" x14ac:dyDescent="0.25">
      <c r="AG564" s="2"/>
    </row>
    <row r="565" spans="33:33" x14ac:dyDescent="0.25">
      <c r="AG565" s="2"/>
    </row>
    <row r="566" spans="33:33" x14ac:dyDescent="0.25">
      <c r="AG566" s="2"/>
    </row>
    <row r="567" spans="33:33" x14ac:dyDescent="0.25">
      <c r="AG567" s="2"/>
    </row>
    <row r="568" spans="33:33" x14ac:dyDescent="0.25">
      <c r="AG568" s="2"/>
    </row>
    <row r="569" spans="33:33" x14ac:dyDescent="0.25">
      <c r="AG569" s="2"/>
    </row>
    <row r="570" spans="33:33" x14ac:dyDescent="0.25">
      <c r="AG570" s="2"/>
    </row>
    <row r="571" spans="33:33" x14ac:dyDescent="0.25">
      <c r="AG571" s="2"/>
    </row>
    <row r="572" spans="33:33" x14ac:dyDescent="0.25">
      <c r="AG572" s="2"/>
    </row>
    <row r="573" spans="33:33" x14ac:dyDescent="0.25">
      <c r="AG573" s="2"/>
    </row>
    <row r="574" spans="33:33" x14ac:dyDescent="0.25">
      <c r="AG574" s="2"/>
    </row>
    <row r="575" spans="33:33" x14ac:dyDescent="0.25">
      <c r="AG575" s="2"/>
    </row>
    <row r="576" spans="33:33" x14ac:dyDescent="0.25">
      <c r="AG576" s="2"/>
    </row>
    <row r="577" spans="33:33" x14ac:dyDescent="0.25">
      <c r="AG577" s="2"/>
    </row>
    <row r="578" spans="33:33" x14ac:dyDescent="0.25">
      <c r="AG578" s="2"/>
    </row>
    <row r="579" spans="33:33" x14ac:dyDescent="0.25">
      <c r="AG579" s="2"/>
    </row>
    <row r="580" spans="33:33" x14ac:dyDescent="0.25">
      <c r="AG580" s="2"/>
    </row>
    <row r="581" spans="33:33" x14ac:dyDescent="0.25">
      <c r="AG581" s="2"/>
    </row>
    <row r="582" spans="33:33" x14ac:dyDescent="0.25">
      <c r="AG582" s="2"/>
    </row>
    <row r="583" spans="33:33" x14ac:dyDescent="0.25">
      <c r="AG583" s="2"/>
    </row>
    <row r="584" spans="33:33" x14ac:dyDescent="0.25">
      <c r="AG584" s="2"/>
    </row>
    <row r="585" spans="33:33" x14ac:dyDescent="0.25">
      <c r="AG585" s="2"/>
    </row>
    <row r="586" spans="33:33" x14ac:dyDescent="0.25">
      <c r="AG586" s="2"/>
    </row>
    <row r="587" spans="33:33" x14ac:dyDescent="0.25">
      <c r="AG587" s="2"/>
    </row>
    <row r="588" spans="33:33" x14ac:dyDescent="0.25">
      <c r="AG588" s="2"/>
    </row>
    <row r="589" spans="33:33" x14ac:dyDescent="0.25">
      <c r="AG589" s="2"/>
    </row>
    <row r="590" spans="33:33" x14ac:dyDescent="0.25">
      <c r="AG590" s="2"/>
    </row>
    <row r="591" spans="33:33" x14ac:dyDescent="0.25">
      <c r="AG591" s="2"/>
    </row>
    <row r="592" spans="33:33" x14ac:dyDescent="0.25">
      <c r="AG592" s="2"/>
    </row>
    <row r="593" spans="33:33" x14ac:dyDescent="0.25">
      <c r="AG593" s="2"/>
    </row>
    <row r="594" spans="33:33" x14ac:dyDescent="0.25">
      <c r="AG594" s="2"/>
    </row>
    <row r="595" spans="33:33" x14ac:dyDescent="0.25">
      <c r="AG595" s="2"/>
    </row>
    <row r="596" spans="33:33" x14ac:dyDescent="0.25">
      <c r="AG596" s="2"/>
    </row>
    <row r="597" spans="33:33" x14ac:dyDescent="0.25">
      <c r="AG597" s="2"/>
    </row>
    <row r="598" spans="33:33" x14ac:dyDescent="0.25">
      <c r="AG598" s="2"/>
    </row>
    <row r="599" spans="33:33" x14ac:dyDescent="0.25">
      <c r="AG599" s="2"/>
    </row>
    <row r="600" spans="33:33" x14ac:dyDescent="0.25">
      <c r="AG600" s="2"/>
    </row>
    <row r="601" spans="33:33" x14ac:dyDescent="0.25">
      <c r="AG601" s="2"/>
    </row>
    <row r="602" spans="33:33" x14ac:dyDescent="0.25">
      <c r="AG602" s="2"/>
    </row>
    <row r="603" spans="33:33" x14ac:dyDescent="0.25">
      <c r="AG603" s="2"/>
    </row>
    <row r="604" spans="33:33" x14ac:dyDescent="0.25">
      <c r="AG604" s="2"/>
    </row>
    <row r="605" spans="33:33" x14ac:dyDescent="0.25">
      <c r="AG605" s="2"/>
    </row>
    <row r="606" spans="33:33" x14ac:dyDescent="0.25">
      <c r="AG606" s="2"/>
    </row>
    <row r="607" spans="33:33" x14ac:dyDescent="0.25">
      <c r="AG607" s="2"/>
    </row>
    <row r="608" spans="33:33" x14ac:dyDescent="0.25">
      <c r="AG608" s="2"/>
    </row>
    <row r="609" spans="33:33" x14ac:dyDescent="0.25">
      <c r="AG609" s="2"/>
    </row>
    <row r="610" spans="33:33" x14ac:dyDescent="0.25">
      <c r="AG610" s="2"/>
    </row>
    <row r="611" spans="33:33" x14ac:dyDescent="0.25">
      <c r="AG611" s="2"/>
    </row>
    <row r="612" spans="33:33" x14ac:dyDescent="0.25">
      <c r="AG612" s="2"/>
    </row>
    <row r="613" spans="33:33" x14ac:dyDescent="0.25">
      <c r="AG613" s="2"/>
    </row>
    <row r="614" spans="33:33" x14ac:dyDescent="0.25">
      <c r="AG614" s="2"/>
    </row>
    <row r="615" spans="33:33" x14ac:dyDescent="0.25">
      <c r="AG615" s="2"/>
    </row>
    <row r="616" spans="33:33" x14ac:dyDescent="0.25">
      <c r="AG616" s="2"/>
    </row>
    <row r="617" spans="33:33" x14ac:dyDescent="0.25">
      <c r="AG617" s="2"/>
    </row>
    <row r="618" spans="33:33" x14ac:dyDescent="0.25">
      <c r="AG618" s="2"/>
    </row>
    <row r="619" spans="33:33" x14ac:dyDescent="0.25">
      <c r="AG619" s="2"/>
    </row>
    <row r="620" spans="33:33" x14ac:dyDescent="0.25">
      <c r="AG620" s="2"/>
    </row>
    <row r="621" spans="33:33" x14ac:dyDescent="0.25">
      <c r="AG621" s="2"/>
    </row>
    <row r="622" spans="33:33" x14ac:dyDescent="0.25">
      <c r="AG622" s="2"/>
    </row>
    <row r="623" spans="33:33" x14ac:dyDescent="0.25">
      <c r="AG623" s="2"/>
    </row>
    <row r="624" spans="33:33" x14ac:dyDescent="0.25">
      <c r="AG624" s="2"/>
    </row>
    <row r="625" spans="33:33" x14ac:dyDescent="0.25">
      <c r="AG625" s="2"/>
    </row>
    <row r="626" spans="33:33" x14ac:dyDescent="0.25">
      <c r="AG626" s="2"/>
    </row>
    <row r="627" spans="33:33" x14ac:dyDescent="0.25">
      <c r="AG627" s="2"/>
    </row>
    <row r="628" spans="33:33" x14ac:dyDescent="0.25">
      <c r="AG628" s="2"/>
    </row>
    <row r="629" spans="33:33" x14ac:dyDescent="0.25">
      <c r="AG629" s="2"/>
    </row>
    <row r="630" spans="33:33" x14ac:dyDescent="0.25">
      <c r="AG630" s="2"/>
    </row>
    <row r="631" spans="33:33" x14ac:dyDescent="0.25">
      <c r="AG631" s="2"/>
    </row>
    <row r="632" spans="33:33" x14ac:dyDescent="0.25">
      <c r="AG632" s="2"/>
    </row>
    <row r="633" spans="33:33" x14ac:dyDescent="0.25">
      <c r="AG633" s="2"/>
    </row>
    <row r="634" spans="33:33" x14ac:dyDescent="0.25">
      <c r="AG634" s="2"/>
    </row>
    <row r="635" spans="33:33" x14ac:dyDescent="0.25">
      <c r="AG635" s="2"/>
    </row>
    <row r="636" spans="33:33" x14ac:dyDescent="0.25">
      <c r="AG636" s="2"/>
    </row>
    <row r="637" spans="33:33" x14ac:dyDescent="0.25">
      <c r="AG637" s="2"/>
    </row>
    <row r="638" spans="33:33" x14ac:dyDescent="0.25">
      <c r="AG638" s="2"/>
    </row>
    <row r="639" spans="33:33" x14ac:dyDescent="0.25">
      <c r="AG639" s="2"/>
    </row>
    <row r="640" spans="33:33" x14ac:dyDescent="0.25">
      <c r="AG640" s="2"/>
    </row>
    <row r="641" spans="33:33" x14ac:dyDescent="0.25">
      <c r="AG641" s="2"/>
    </row>
    <row r="642" spans="33:33" x14ac:dyDescent="0.25">
      <c r="AG642" s="2"/>
    </row>
    <row r="643" spans="33:33" x14ac:dyDescent="0.25">
      <c r="AG643" s="2"/>
    </row>
    <row r="644" spans="33:33" x14ac:dyDescent="0.25">
      <c r="AG644" s="2"/>
    </row>
    <row r="645" spans="33:33" x14ac:dyDescent="0.25">
      <c r="AG645" s="2"/>
    </row>
    <row r="646" spans="33:33" x14ac:dyDescent="0.25">
      <c r="AG646" s="2"/>
    </row>
    <row r="647" spans="33:33" x14ac:dyDescent="0.25">
      <c r="AG647" s="2"/>
    </row>
    <row r="648" spans="33:33" x14ac:dyDescent="0.25">
      <c r="AG648" s="2"/>
    </row>
    <row r="649" spans="33:33" x14ac:dyDescent="0.25">
      <c r="AG649" s="2"/>
    </row>
    <row r="650" spans="33:33" x14ac:dyDescent="0.25">
      <c r="AG650" s="2"/>
    </row>
    <row r="651" spans="33:33" x14ac:dyDescent="0.25">
      <c r="AG651" s="2"/>
    </row>
    <row r="652" spans="33:33" x14ac:dyDescent="0.25">
      <c r="AG652" s="2"/>
    </row>
    <row r="653" spans="33:33" x14ac:dyDescent="0.25">
      <c r="AG653" s="2"/>
    </row>
    <row r="654" spans="33:33" x14ac:dyDescent="0.25">
      <c r="AG654" s="2"/>
    </row>
    <row r="655" spans="33:33" x14ac:dyDescent="0.25">
      <c r="AG655" s="2"/>
    </row>
    <row r="656" spans="33:33" x14ac:dyDescent="0.25">
      <c r="AG656" s="2"/>
    </row>
    <row r="657" spans="33:33" x14ac:dyDescent="0.25">
      <c r="AG657" s="2"/>
    </row>
    <row r="658" spans="33:33" x14ac:dyDescent="0.25">
      <c r="AG658" s="2"/>
    </row>
    <row r="659" spans="33:33" x14ac:dyDescent="0.25">
      <c r="AG659" s="2"/>
    </row>
    <row r="660" spans="33:33" x14ac:dyDescent="0.25">
      <c r="AG660" s="2"/>
    </row>
    <row r="661" spans="33:33" x14ac:dyDescent="0.25">
      <c r="AG661" s="2"/>
    </row>
    <row r="662" spans="33:33" x14ac:dyDescent="0.25">
      <c r="AG662" s="2"/>
    </row>
    <row r="663" spans="33:33" x14ac:dyDescent="0.25">
      <c r="AG663" s="2"/>
    </row>
    <row r="664" spans="33:33" x14ac:dyDescent="0.25">
      <c r="AG664" s="2"/>
    </row>
    <row r="665" spans="33:33" x14ac:dyDescent="0.25">
      <c r="AG665" s="2"/>
    </row>
    <row r="666" spans="33:33" x14ac:dyDescent="0.25">
      <c r="AG666" s="2"/>
    </row>
    <row r="667" spans="33:33" x14ac:dyDescent="0.25">
      <c r="AG667" s="2"/>
    </row>
    <row r="668" spans="33:33" x14ac:dyDescent="0.25">
      <c r="AG668" s="2"/>
    </row>
    <row r="669" spans="33:33" x14ac:dyDescent="0.25">
      <c r="AG669" s="2"/>
    </row>
    <row r="670" spans="33:33" x14ac:dyDescent="0.25">
      <c r="AG670" s="2"/>
    </row>
    <row r="671" spans="33:33" x14ac:dyDescent="0.25">
      <c r="AG671" s="2"/>
    </row>
    <row r="672" spans="33:33" x14ac:dyDescent="0.25">
      <c r="AG672" s="2"/>
    </row>
    <row r="673" spans="33:33" x14ac:dyDescent="0.25">
      <c r="AG673" s="2"/>
    </row>
    <row r="674" spans="33:33" x14ac:dyDescent="0.25">
      <c r="AG674" s="2"/>
    </row>
    <row r="675" spans="33:33" x14ac:dyDescent="0.25">
      <c r="AG675" s="2"/>
    </row>
    <row r="676" spans="33:33" x14ac:dyDescent="0.25">
      <c r="AG676" s="2"/>
    </row>
    <row r="677" spans="33:33" x14ac:dyDescent="0.25">
      <c r="AG677" s="2"/>
    </row>
    <row r="678" spans="33:33" x14ac:dyDescent="0.25">
      <c r="AG678" s="2"/>
    </row>
    <row r="679" spans="33:33" x14ac:dyDescent="0.25">
      <c r="AG679" s="2"/>
    </row>
    <row r="680" spans="33:33" x14ac:dyDescent="0.25">
      <c r="AG680" s="2"/>
    </row>
    <row r="681" spans="33:33" x14ac:dyDescent="0.25">
      <c r="AG681" s="2"/>
    </row>
    <row r="682" spans="33:33" x14ac:dyDescent="0.25">
      <c r="AG682" s="2"/>
    </row>
    <row r="683" spans="33:33" x14ac:dyDescent="0.25">
      <c r="AG683" s="2"/>
    </row>
    <row r="684" spans="33:33" x14ac:dyDescent="0.25">
      <c r="AG684" s="2"/>
    </row>
    <row r="685" spans="33:33" x14ac:dyDescent="0.25">
      <c r="AG685" s="2"/>
    </row>
    <row r="686" spans="33:33" x14ac:dyDescent="0.25">
      <c r="AG686" s="2"/>
    </row>
    <row r="687" spans="33:33" x14ac:dyDescent="0.25">
      <c r="AG687" s="2"/>
    </row>
    <row r="688" spans="33:33" x14ac:dyDescent="0.25">
      <c r="AG688" s="2"/>
    </row>
    <row r="689" spans="33:33" x14ac:dyDescent="0.25">
      <c r="AG689" s="2"/>
    </row>
    <row r="690" spans="33:33" x14ac:dyDescent="0.25">
      <c r="AG690" s="2"/>
    </row>
    <row r="691" spans="33:33" x14ac:dyDescent="0.25">
      <c r="AG691" s="2"/>
    </row>
    <row r="692" spans="33:33" x14ac:dyDescent="0.25">
      <c r="AG692" s="2"/>
    </row>
    <row r="693" spans="33:33" x14ac:dyDescent="0.25">
      <c r="AG693" s="2"/>
    </row>
    <row r="694" spans="33:33" x14ac:dyDescent="0.25">
      <c r="AG694" s="2"/>
    </row>
    <row r="695" spans="33:33" x14ac:dyDescent="0.25">
      <c r="AG695" s="2"/>
    </row>
    <row r="696" spans="33:33" x14ac:dyDescent="0.25">
      <c r="AG696" s="2"/>
    </row>
    <row r="697" spans="33:33" x14ac:dyDescent="0.25">
      <c r="AG697" s="2"/>
    </row>
    <row r="698" spans="33:33" x14ac:dyDescent="0.25">
      <c r="AG698" s="2"/>
    </row>
    <row r="699" spans="33:33" x14ac:dyDescent="0.25">
      <c r="AG699" s="2"/>
    </row>
    <row r="700" spans="33:33" x14ac:dyDescent="0.25">
      <c r="AG700" s="2"/>
    </row>
    <row r="701" spans="33:33" x14ac:dyDescent="0.25">
      <c r="AG701" s="2"/>
    </row>
    <row r="702" spans="33:33" x14ac:dyDescent="0.25">
      <c r="AG702" s="2"/>
    </row>
    <row r="703" spans="33:33" x14ac:dyDescent="0.25">
      <c r="AG703" s="2"/>
    </row>
    <row r="704" spans="33:33" x14ac:dyDescent="0.25">
      <c r="AG704" s="2"/>
    </row>
    <row r="705" spans="33:33" x14ac:dyDescent="0.25">
      <c r="AG705" s="2"/>
    </row>
    <row r="706" spans="33:33" x14ac:dyDescent="0.25">
      <c r="AG706" s="2"/>
    </row>
    <row r="707" spans="33:33" x14ac:dyDescent="0.25">
      <c r="AG707" s="2"/>
    </row>
    <row r="708" spans="33:33" x14ac:dyDescent="0.25">
      <c r="AG708" s="2"/>
    </row>
    <row r="709" spans="33:33" x14ac:dyDescent="0.25">
      <c r="AG709" s="2"/>
    </row>
    <row r="710" spans="33:33" x14ac:dyDescent="0.25">
      <c r="AG710" s="2"/>
    </row>
    <row r="711" spans="33:33" x14ac:dyDescent="0.25">
      <c r="AG711" s="2"/>
    </row>
    <row r="712" spans="33:33" x14ac:dyDescent="0.25">
      <c r="AG712" s="2"/>
    </row>
    <row r="713" spans="33:33" x14ac:dyDescent="0.25">
      <c r="AG713" s="2"/>
    </row>
    <row r="714" spans="33:33" x14ac:dyDescent="0.25">
      <c r="AG714" s="2"/>
    </row>
    <row r="715" spans="33:33" x14ac:dyDescent="0.25">
      <c r="AG715" s="2"/>
    </row>
    <row r="716" spans="33:33" x14ac:dyDescent="0.25">
      <c r="AG716" s="2"/>
    </row>
    <row r="717" spans="33:33" x14ac:dyDescent="0.25">
      <c r="AG717" s="2"/>
    </row>
    <row r="718" spans="33:33" x14ac:dyDescent="0.25">
      <c r="AG718" s="2"/>
    </row>
    <row r="719" spans="33:33" x14ac:dyDescent="0.25">
      <c r="AG719" s="2"/>
    </row>
    <row r="720" spans="33:33" x14ac:dyDescent="0.25">
      <c r="AG720" s="2"/>
    </row>
    <row r="721" spans="33:33" x14ac:dyDescent="0.25">
      <c r="AG721" s="2"/>
    </row>
    <row r="722" spans="33:33" x14ac:dyDescent="0.25">
      <c r="AG722" s="2"/>
    </row>
    <row r="723" spans="33:33" x14ac:dyDescent="0.25">
      <c r="AG723" s="2"/>
    </row>
    <row r="724" spans="33:33" x14ac:dyDescent="0.25">
      <c r="AG724" s="2"/>
    </row>
    <row r="725" spans="33:33" x14ac:dyDescent="0.25">
      <c r="AG725" s="2"/>
    </row>
    <row r="726" spans="33:33" x14ac:dyDescent="0.25">
      <c r="AG726" s="2"/>
    </row>
    <row r="727" spans="33:33" x14ac:dyDescent="0.25">
      <c r="AG727" s="2"/>
    </row>
    <row r="728" spans="33:33" x14ac:dyDescent="0.25">
      <c r="AG728" s="2"/>
    </row>
    <row r="729" spans="33:33" x14ac:dyDescent="0.25">
      <c r="AG729" s="2"/>
    </row>
    <row r="730" spans="33:33" x14ac:dyDescent="0.25">
      <c r="AG730" s="2"/>
    </row>
    <row r="731" spans="33:33" x14ac:dyDescent="0.25">
      <c r="AG731" s="2"/>
    </row>
    <row r="732" spans="33:33" x14ac:dyDescent="0.25">
      <c r="AG732" s="2"/>
    </row>
    <row r="733" spans="33:33" x14ac:dyDescent="0.25">
      <c r="AG733" s="2"/>
    </row>
    <row r="734" spans="33:33" x14ac:dyDescent="0.25">
      <c r="AG734" s="2"/>
    </row>
    <row r="735" spans="33:33" x14ac:dyDescent="0.25">
      <c r="AG735" s="2"/>
    </row>
    <row r="736" spans="33:33" x14ac:dyDescent="0.25">
      <c r="AG736" s="2"/>
    </row>
    <row r="737" spans="33:33" x14ac:dyDescent="0.25">
      <c r="AG737" s="2"/>
    </row>
    <row r="738" spans="33:33" x14ac:dyDescent="0.25">
      <c r="AG738" s="2"/>
    </row>
    <row r="739" spans="33:33" x14ac:dyDescent="0.25">
      <c r="AG739" s="2"/>
    </row>
    <row r="740" spans="33:33" x14ac:dyDescent="0.25">
      <c r="AG740" s="2"/>
    </row>
    <row r="741" spans="33:33" x14ac:dyDescent="0.25">
      <c r="AG741" s="2"/>
    </row>
    <row r="742" spans="33:33" x14ac:dyDescent="0.25">
      <c r="AG742" s="2"/>
    </row>
    <row r="743" spans="33:33" x14ac:dyDescent="0.25">
      <c r="AG743" s="2"/>
    </row>
    <row r="744" spans="33:33" x14ac:dyDescent="0.25">
      <c r="AG744" s="2"/>
    </row>
    <row r="745" spans="33:33" x14ac:dyDescent="0.25">
      <c r="AG745" s="2"/>
    </row>
    <row r="746" spans="33:33" x14ac:dyDescent="0.25">
      <c r="AG746" s="2"/>
    </row>
    <row r="747" spans="33:33" x14ac:dyDescent="0.25">
      <c r="AG747" s="2"/>
    </row>
    <row r="748" spans="33:33" x14ac:dyDescent="0.25">
      <c r="AG748" s="2"/>
    </row>
    <row r="749" spans="33:33" x14ac:dyDescent="0.25">
      <c r="AG749" s="2"/>
    </row>
    <row r="750" spans="33:33" x14ac:dyDescent="0.25">
      <c r="AG750" s="2"/>
    </row>
    <row r="751" spans="33:33" x14ac:dyDescent="0.25">
      <c r="AG751" s="2"/>
    </row>
    <row r="752" spans="33:33" x14ac:dyDescent="0.25">
      <c r="AG752" s="2"/>
    </row>
    <row r="753" spans="33:33" x14ac:dyDescent="0.25">
      <c r="AG753" s="2"/>
    </row>
    <row r="754" spans="33:33" x14ac:dyDescent="0.25">
      <c r="AG754" s="2"/>
    </row>
    <row r="755" spans="33:33" x14ac:dyDescent="0.25">
      <c r="AG755" s="2"/>
    </row>
    <row r="756" spans="33:33" x14ac:dyDescent="0.25">
      <c r="AG756" s="2"/>
    </row>
    <row r="757" spans="33:33" x14ac:dyDescent="0.25">
      <c r="AG757" s="2"/>
    </row>
    <row r="758" spans="33:33" x14ac:dyDescent="0.25">
      <c r="AG758" s="2"/>
    </row>
    <row r="759" spans="33:33" x14ac:dyDescent="0.25">
      <c r="AG759" s="2"/>
    </row>
    <row r="760" spans="33:33" x14ac:dyDescent="0.25">
      <c r="AG760" s="2"/>
    </row>
    <row r="761" spans="33:33" x14ac:dyDescent="0.25">
      <c r="AG761" s="2"/>
    </row>
    <row r="762" spans="33:33" x14ac:dyDescent="0.25">
      <c r="AG762" s="2"/>
    </row>
    <row r="763" spans="33:33" x14ac:dyDescent="0.25">
      <c r="AG763" s="2"/>
    </row>
    <row r="764" spans="33:33" x14ac:dyDescent="0.25">
      <c r="AG764" s="2"/>
    </row>
    <row r="765" spans="33:33" x14ac:dyDescent="0.25">
      <c r="AG765" s="2"/>
    </row>
    <row r="766" spans="33:33" x14ac:dyDescent="0.25">
      <c r="AG766" s="2"/>
    </row>
    <row r="767" spans="33:33" x14ac:dyDescent="0.25">
      <c r="AG767" s="2"/>
    </row>
    <row r="768" spans="33:33" x14ac:dyDescent="0.25">
      <c r="AG768" s="2"/>
    </row>
    <row r="769" spans="33:33" x14ac:dyDescent="0.25">
      <c r="AG769" s="2"/>
    </row>
    <row r="770" spans="33:33" x14ac:dyDescent="0.25">
      <c r="AG770" s="2"/>
    </row>
    <row r="771" spans="33:33" x14ac:dyDescent="0.25">
      <c r="AG771" s="2"/>
    </row>
    <row r="772" spans="33:33" x14ac:dyDescent="0.25">
      <c r="AG772" s="2"/>
    </row>
    <row r="773" spans="33:33" x14ac:dyDescent="0.25">
      <c r="AG773" s="2"/>
    </row>
    <row r="774" spans="33:33" x14ac:dyDescent="0.25">
      <c r="AG774" s="2"/>
    </row>
    <row r="775" spans="33:33" x14ac:dyDescent="0.25">
      <c r="AG775" s="2"/>
    </row>
    <row r="776" spans="33:33" x14ac:dyDescent="0.25">
      <c r="AG776" s="2"/>
    </row>
    <row r="777" spans="33:33" x14ac:dyDescent="0.25">
      <c r="AG777" s="2"/>
    </row>
    <row r="778" spans="33:33" x14ac:dyDescent="0.25">
      <c r="AG778" s="2"/>
    </row>
    <row r="779" spans="33:33" x14ac:dyDescent="0.25">
      <c r="AG779" s="2"/>
    </row>
    <row r="780" spans="33:33" x14ac:dyDescent="0.25">
      <c r="AG780" s="2"/>
    </row>
    <row r="781" spans="33:33" x14ac:dyDescent="0.25">
      <c r="AG781" s="2"/>
    </row>
    <row r="782" spans="33:33" x14ac:dyDescent="0.25">
      <c r="AG782" s="2"/>
    </row>
    <row r="783" spans="33:33" x14ac:dyDescent="0.25">
      <c r="AG783" s="2"/>
    </row>
    <row r="784" spans="33:33" x14ac:dyDescent="0.25">
      <c r="AG784" s="2"/>
    </row>
    <row r="785" spans="33:33" x14ac:dyDescent="0.25">
      <c r="AG785" s="2"/>
    </row>
    <row r="786" spans="33:33" x14ac:dyDescent="0.25">
      <c r="AG786" s="2"/>
    </row>
    <row r="787" spans="33:33" x14ac:dyDescent="0.25">
      <c r="AG787" s="2"/>
    </row>
    <row r="788" spans="33:33" x14ac:dyDescent="0.25">
      <c r="AG788" s="2"/>
    </row>
    <row r="789" spans="33:33" x14ac:dyDescent="0.25">
      <c r="AG789" s="2"/>
    </row>
    <row r="790" spans="33:33" x14ac:dyDescent="0.25">
      <c r="AG790" s="2"/>
    </row>
    <row r="791" spans="33:33" x14ac:dyDescent="0.25">
      <c r="AG791" s="2"/>
    </row>
    <row r="792" spans="33:33" x14ac:dyDescent="0.25">
      <c r="AG792" s="2"/>
    </row>
    <row r="793" spans="33:33" x14ac:dyDescent="0.25">
      <c r="AG793" s="2"/>
    </row>
    <row r="794" spans="33:33" x14ac:dyDescent="0.25">
      <c r="AG794" s="2"/>
    </row>
    <row r="795" spans="33:33" x14ac:dyDescent="0.25">
      <c r="AG795" s="2"/>
    </row>
    <row r="796" spans="33:33" x14ac:dyDescent="0.25">
      <c r="AG796" s="2"/>
    </row>
    <row r="797" spans="33:33" x14ac:dyDescent="0.25">
      <c r="AG797" s="2"/>
    </row>
    <row r="798" spans="33:33" x14ac:dyDescent="0.25">
      <c r="AG798" s="2"/>
    </row>
    <row r="799" spans="33:33" x14ac:dyDescent="0.25">
      <c r="AG799" s="2"/>
    </row>
    <row r="800" spans="33:33" x14ac:dyDescent="0.25">
      <c r="AG800" s="2"/>
    </row>
    <row r="801" spans="33:33" x14ac:dyDescent="0.25">
      <c r="AG801" s="2"/>
    </row>
    <row r="802" spans="33:33" x14ac:dyDescent="0.25">
      <c r="AG802" s="2"/>
    </row>
    <row r="803" spans="33:33" x14ac:dyDescent="0.25">
      <c r="AG803" s="2"/>
    </row>
    <row r="804" spans="33:33" x14ac:dyDescent="0.25">
      <c r="AG804" s="2"/>
    </row>
    <row r="805" spans="33:33" x14ac:dyDescent="0.25">
      <c r="AG805" s="2"/>
    </row>
    <row r="806" spans="33:33" x14ac:dyDescent="0.25">
      <c r="AG806" s="2"/>
    </row>
    <row r="807" spans="33:33" x14ac:dyDescent="0.25">
      <c r="AG807" s="2"/>
    </row>
    <row r="808" spans="33:33" x14ac:dyDescent="0.25">
      <c r="AG808" s="2"/>
    </row>
    <row r="809" spans="33:33" x14ac:dyDescent="0.25">
      <c r="AG809" s="2"/>
    </row>
    <row r="810" spans="33:33" x14ac:dyDescent="0.25">
      <c r="AG810" s="2"/>
    </row>
    <row r="811" spans="33:33" x14ac:dyDescent="0.25">
      <c r="AG811" s="2"/>
    </row>
    <row r="812" spans="33:33" x14ac:dyDescent="0.25">
      <c r="AG812" s="2"/>
    </row>
    <row r="813" spans="33:33" x14ac:dyDescent="0.25">
      <c r="AG813" s="2"/>
    </row>
    <row r="814" spans="33:33" x14ac:dyDescent="0.25">
      <c r="AG814" s="2"/>
    </row>
    <row r="815" spans="33:33" x14ac:dyDescent="0.25">
      <c r="AG815" s="2"/>
    </row>
    <row r="816" spans="33:33" x14ac:dyDescent="0.25">
      <c r="AG816" s="2"/>
    </row>
    <row r="817" spans="33:33" x14ac:dyDescent="0.25">
      <c r="AG817" s="2"/>
    </row>
    <row r="818" spans="33:33" x14ac:dyDescent="0.25">
      <c r="AG818" s="2"/>
    </row>
    <row r="819" spans="33:33" x14ac:dyDescent="0.25">
      <c r="AG819" s="2"/>
    </row>
    <row r="820" spans="33:33" x14ac:dyDescent="0.25">
      <c r="AG820" s="2"/>
    </row>
    <row r="821" spans="33:33" x14ac:dyDescent="0.25">
      <c r="AG821" s="2"/>
    </row>
    <row r="822" spans="33:33" x14ac:dyDescent="0.25">
      <c r="AG822" s="2"/>
    </row>
    <row r="823" spans="33:33" x14ac:dyDescent="0.25">
      <c r="AG823" s="2"/>
    </row>
    <row r="824" spans="33:33" x14ac:dyDescent="0.25">
      <c r="AG824" s="2"/>
    </row>
    <row r="825" spans="33:33" x14ac:dyDescent="0.25">
      <c r="AG825" s="2"/>
    </row>
    <row r="826" spans="33:33" x14ac:dyDescent="0.25">
      <c r="AG826" s="2"/>
    </row>
    <row r="827" spans="33:33" x14ac:dyDescent="0.25">
      <c r="AG827" s="2"/>
    </row>
    <row r="828" spans="33:33" x14ac:dyDescent="0.25">
      <c r="AG828" s="2"/>
    </row>
    <row r="829" spans="33:33" x14ac:dyDescent="0.25">
      <c r="AG829" s="2"/>
    </row>
    <row r="830" spans="33:33" x14ac:dyDescent="0.25">
      <c r="AG830" s="2"/>
    </row>
    <row r="831" spans="33:33" x14ac:dyDescent="0.25">
      <c r="AG831" s="2"/>
    </row>
    <row r="832" spans="33:33" x14ac:dyDescent="0.25">
      <c r="AG832" s="2"/>
    </row>
    <row r="833" spans="33:33" x14ac:dyDescent="0.25">
      <c r="AG833" s="2"/>
    </row>
    <row r="834" spans="33:33" x14ac:dyDescent="0.25">
      <c r="AG834" s="2"/>
    </row>
    <row r="835" spans="33:33" x14ac:dyDescent="0.25">
      <c r="AG835" s="2"/>
    </row>
    <row r="836" spans="33:33" x14ac:dyDescent="0.25">
      <c r="AG836" s="2"/>
    </row>
    <row r="837" spans="33:33" x14ac:dyDescent="0.25">
      <c r="AG837" s="2"/>
    </row>
    <row r="838" spans="33:33" x14ac:dyDescent="0.25">
      <c r="AG838" s="2"/>
    </row>
    <row r="839" spans="33:33" x14ac:dyDescent="0.25">
      <c r="AG839" s="2"/>
    </row>
    <row r="840" spans="33:33" x14ac:dyDescent="0.25">
      <c r="AG840" s="2"/>
    </row>
    <row r="841" spans="33:33" x14ac:dyDescent="0.25">
      <c r="AG841" s="2"/>
    </row>
    <row r="842" spans="33:33" x14ac:dyDescent="0.25">
      <c r="AG842" s="2"/>
    </row>
    <row r="843" spans="33:33" x14ac:dyDescent="0.25">
      <c r="AG843" s="2"/>
    </row>
    <row r="844" spans="33:33" x14ac:dyDescent="0.25">
      <c r="AG844" s="2"/>
    </row>
    <row r="845" spans="33:33" x14ac:dyDescent="0.25">
      <c r="AG845" s="2"/>
    </row>
    <row r="846" spans="33:33" x14ac:dyDescent="0.25">
      <c r="AG846" s="2"/>
    </row>
    <row r="847" spans="33:33" x14ac:dyDescent="0.25">
      <c r="AG847" s="2"/>
    </row>
    <row r="848" spans="33:33" x14ac:dyDescent="0.25">
      <c r="AG848" s="2"/>
    </row>
    <row r="849" spans="33:33" x14ac:dyDescent="0.25">
      <c r="AG849" s="2"/>
    </row>
    <row r="850" spans="33:33" x14ac:dyDescent="0.25">
      <c r="AG850" s="2"/>
    </row>
    <row r="851" spans="33:33" x14ac:dyDescent="0.25">
      <c r="AG851" s="2"/>
    </row>
    <row r="852" spans="33:33" x14ac:dyDescent="0.25">
      <c r="AG852" s="2"/>
    </row>
    <row r="853" spans="33:33" x14ac:dyDescent="0.25">
      <c r="AG853" s="2"/>
    </row>
    <row r="854" spans="33:33" x14ac:dyDescent="0.25">
      <c r="AG854" s="2"/>
    </row>
    <row r="855" spans="33:33" x14ac:dyDescent="0.25">
      <c r="AG855" s="2"/>
    </row>
    <row r="856" spans="33:33" x14ac:dyDescent="0.25">
      <c r="AG856" s="2"/>
    </row>
    <row r="857" spans="33:33" x14ac:dyDescent="0.25">
      <c r="AG857" s="2"/>
    </row>
    <row r="858" spans="33:33" x14ac:dyDescent="0.25">
      <c r="AG858" s="2"/>
    </row>
    <row r="859" spans="33:33" x14ac:dyDescent="0.25">
      <c r="AG859" s="2"/>
    </row>
    <row r="860" spans="33:33" x14ac:dyDescent="0.25">
      <c r="AG860" s="2"/>
    </row>
    <row r="861" spans="33:33" x14ac:dyDescent="0.25">
      <c r="AG861" s="2"/>
    </row>
    <row r="862" spans="33:33" x14ac:dyDescent="0.25">
      <c r="AG862" s="2"/>
    </row>
    <row r="863" spans="33:33" x14ac:dyDescent="0.25">
      <c r="AG863" s="2"/>
    </row>
    <row r="864" spans="33:33" x14ac:dyDescent="0.25">
      <c r="AG864" s="2"/>
    </row>
    <row r="865" spans="33:33" x14ac:dyDescent="0.25">
      <c r="AG865" s="2"/>
    </row>
    <row r="866" spans="33:33" x14ac:dyDescent="0.25">
      <c r="AG866" s="2"/>
    </row>
    <row r="867" spans="33:33" x14ac:dyDescent="0.25">
      <c r="AG867" s="2"/>
    </row>
    <row r="868" spans="33:33" x14ac:dyDescent="0.25">
      <c r="AG868" s="2"/>
    </row>
    <row r="869" spans="33:33" x14ac:dyDescent="0.25">
      <c r="AG869" s="2"/>
    </row>
    <row r="870" spans="33:33" x14ac:dyDescent="0.25">
      <c r="AG870" s="2"/>
    </row>
    <row r="871" spans="33:33" x14ac:dyDescent="0.25">
      <c r="AG871" s="2"/>
    </row>
    <row r="872" spans="33:33" x14ac:dyDescent="0.25">
      <c r="AG872" s="2"/>
    </row>
    <row r="873" spans="33:33" x14ac:dyDescent="0.25">
      <c r="AG873" s="2"/>
    </row>
    <row r="874" spans="33:33" x14ac:dyDescent="0.25">
      <c r="AG874" s="2"/>
    </row>
    <row r="875" spans="33:33" x14ac:dyDescent="0.25">
      <c r="AG875" s="2"/>
    </row>
    <row r="876" spans="33:33" x14ac:dyDescent="0.25">
      <c r="AG876" s="2"/>
    </row>
    <row r="877" spans="33:33" x14ac:dyDescent="0.25">
      <c r="AG877" s="2"/>
    </row>
    <row r="878" spans="33:33" x14ac:dyDescent="0.25">
      <c r="AG878" s="2"/>
    </row>
    <row r="879" spans="33:33" x14ac:dyDescent="0.25">
      <c r="AG879" s="2"/>
    </row>
    <row r="880" spans="33:33" x14ac:dyDescent="0.25">
      <c r="AG880" s="2"/>
    </row>
    <row r="881" spans="33:33" x14ac:dyDescent="0.25">
      <c r="AG881" s="2"/>
    </row>
    <row r="882" spans="33:33" x14ac:dyDescent="0.25">
      <c r="AG882" s="2"/>
    </row>
    <row r="883" spans="33:33" x14ac:dyDescent="0.25">
      <c r="AG883" s="2"/>
    </row>
    <row r="884" spans="33:33" x14ac:dyDescent="0.25">
      <c r="AG884" s="2"/>
    </row>
    <row r="885" spans="33:33" x14ac:dyDescent="0.25">
      <c r="AG885" s="2"/>
    </row>
    <row r="886" spans="33:33" x14ac:dyDescent="0.25">
      <c r="AG886" s="2"/>
    </row>
    <row r="887" spans="33:33" x14ac:dyDescent="0.25">
      <c r="AG887" s="2"/>
    </row>
    <row r="888" spans="33:33" x14ac:dyDescent="0.25">
      <c r="AG888" s="2"/>
    </row>
    <row r="889" spans="33:33" x14ac:dyDescent="0.25">
      <c r="AG889" s="2"/>
    </row>
    <row r="890" spans="33:33" x14ac:dyDescent="0.25">
      <c r="AG890" s="2"/>
    </row>
    <row r="891" spans="33:33" x14ac:dyDescent="0.25">
      <c r="AG891" s="2"/>
    </row>
    <row r="892" spans="33:33" x14ac:dyDescent="0.25">
      <c r="AG892" s="2"/>
    </row>
    <row r="893" spans="33:33" x14ac:dyDescent="0.25">
      <c r="AG893" s="2"/>
    </row>
    <row r="894" spans="33:33" x14ac:dyDescent="0.25">
      <c r="AG894" s="2"/>
    </row>
    <row r="895" spans="33:33" x14ac:dyDescent="0.25">
      <c r="AG895" s="2"/>
    </row>
    <row r="896" spans="33:33" x14ac:dyDescent="0.25">
      <c r="AG896" s="2"/>
    </row>
    <row r="897" spans="33:33" x14ac:dyDescent="0.25">
      <c r="AG897" s="2"/>
    </row>
    <row r="898" spans="33:33" x14ac:dyDescent="0.25">
      <c r="AG898" s="2"/>
    </row>
    <row r="899" spans="33:33" x14ac:dyDescent="0.25">
      <c r="AG899" s="2"/>
    </row>
    <row r="900" spans="33:33" x14ac:dyDescent="0.25">
      <c r="AG900" s="2"/>
    </row>
    <row r="901" spans="33:33" x14ac:dyDescent="0.25">
      <c r="AG901" s="2"/>
    </row>
    <row r="902" spans="33:33" x14ac:dyDescent="0.25">
      <c r="AG902" s="2"/>
    </row>
    <row r="903" spans="33:33" x14ac:dyDescent="0.25">
      <c r="AG903" s="2"/>
    </row>
    <row r="904" spans="33:33" x14ac:dyDescent="0.25">
      <c r="AG904" s="2"/>
    </row>
    <row r="905" spans="33:33" x14ac:dyDescent="0.25">
      <c r="AG905" s="2"/>
    </row>
    <row r="906" spans="33:33" x14ac:dyDescent="0.25">
      <c r="AG906" s="2"/>
    </row>
    <row r="907" spans="33:33" x14ac:dyDescent="0.25">
      <c r="AG907" s="2"/>
    </row>
    <row r="908" spans="33:33" x14ac:dyDescent="0.25">
      <c r="AG908" s="2"/>
    </row>
    <row r="909" spans="33:33" x14ac:dyDescent="0.25">
      <c r="AG909" s="2"/>
    </row>
    <row r="910" spans="33:33" x14ac:dyDescent="0.25">
      <c r="AG910" s="2"/>
    </row>
    <row r="911" spans="33:33" x14ac:dyDescent="0.25">
      <c r="AG911" s="2"/>
    </row>
    <row r="912" spans="33:33" x14ac:dyDescent="0.25">
      <c r="AG912" s="2"/>
    </row>
    <row r="913" spans="33:33" x14ac:dyDescent="0.25">
      <c r="AG913" s="2"/>
    </row>
    <row r="914" spans="33:33" x14ac:dyDescent="0.25">
      <c r="AG914" s="2"/>
    </row>
    <row r="915" spans="33:33" x14ac:dyDescent="0.25">
      <c r="AG915" s="2"/>
    </row>
    <row r="916" spans="33:33" x14ac:dyDescent="0.25">
      <c r="AG916" s="2"/>
    </row>
    <row r="917" spans="33:33" x14ac:dyDescent="0.25">
      <c r="AG917" s="2"/>
    </row>
    <row r="918" spans="33:33" x14ac:dyDescent="0.25">
      <c r="AG918" s="2"/>
    </row>
    <row r="919" spans="33:33" x14ac:dyDescent="0.25">
      <c r="AG919" s="2"/>
    </row>
    <row r="920" spans="33:33" x14ac:dyDescent="0.25">
      <c r="AG920" s="2"/>
    </row>
    <row r="921" spans="33:33" x14ac:dyDescent="0.25">
      <c r="AG921" s="2"/>
    </row>
    <row r="922" spans="33:33" x14ac:dyDescent="0.25">
      <c r="AG922" s="2"/>
    </row>
    <row r="923" spans="33:33" x14ac:dyDescent="0.25">
      <c r="AG923" s="2"/>
    </row>
    <row r="924" spans="33:33" x14ac:dyDescent="0.25">
      <c r="AG924" s="2"/>
    </row>
    <row r="925" spans="33:33" x14ac:dyDescent="0.25">
      <c r="AG925" s="2"/>
    </row>
    <row r="926" spans="33:33" x14ac:dyDescent="0.25">
      <c r="AG926" s="2"/>
    </row>
    <row r="927" spans="33:33" x14ac:dyDescent="0.25">
      <c r="AG927" s="2"/>
    </row>
    <row r="928" spans="33:33" x14ac:dyDescent="0.25">
      <c r="AG928" s="2"/>
    </row>
    <row r="929" spans="33:33" x14ac:dyDescent="0.25">
      <c r="AG929" s="2"/>
    </row>
    <row r="930" spans="33:33" x14ac:dyDescent="0.25">
      <c r="AG930" s="2"/>
    </row>
    <row r="931" spans="33:33" x14ac:dyDescent="0.25">
      <c r="AG931" s="2"/>
    </row>
    <row r="932" spans="33:33" x14ac:dyDescent="0.25">
      <c r="AG932" s="2"/>
    </row>
    <row r="933" spans="33:33" x14ac:dyDescent="0.25">
      <c r="AG933" s="2"/>
    </row>
    <row r="934" spans="33:33" x14ac:dyDescent="0.25">
      <c r="AG934" s="2"/>
    </row>
    <row r="935" spans="33:33" x14ac:dyDescent="0.25">
      <c r="AG935" s="2"/>
    </row>
    <row r="936" spans="33:33" x14ac:dyDescent="0.25">
      <c r="AG936" s="2"/>
    </row>
    <row r="937" spans="33:33" x14ac:dyDescent="0.25">
      <c r="AG937" s="2"/>
    </row>
    <row r="938" spans="33:33" x14ac:dyDescent="0.25">
      <c r="AG938" s="2"/>
    </row>
    <row r="939" spans="33:33" x14ac:dyDescent="0.25">
      <c r="AG939" s="2"/>
    </row>
    <row r="940" spans="33:33" x14ac:dyDescent="0.25">
      <c r="AG940" s="2"/>
    </row>
    <row r="941" spans="33:33" x14ac:dyDescent="0.25">
      <c r="AG941" s="2"/>
    </row>
    <row r="942" spans="33:33" x14ac:dyDescent="0.25">
      <c r="AG942" s="2"/>
    </row>
    <row r="943" spans="33:33" x14ac:dyDescent="0.25">
      <c r="AG943" s="2"/>
    </row>
    <row r="944" spans="33:33" x14ac:dyDescent="0.25">
      <c r="AG944" s="2"/>
    </row>
    <row r="945" spans="33:33" x14ac:dyDescent="0.25">
      <c r="AG945" s="2"/>
    </row>
    <row r="946" spans="33:33" x14ac:dyDescent="0.25">
      <c r="AG946" s="2"/>
    </row>
    <row r="947" spans="33:33" x14ac:dyDescent="0.25">
      <c r="AG947" s="2"/>
    </row>
    <row r="948" spans="33:33" x14ac:dyDescent="0.25">
      <c r="AG948" s="2"/>
    </row>
    <row r="949" spans="33:33" x14ac:dyDescent="0.25">
      <c r="AG949" s="2"/>
    </row>
    <row r="950" spans="33:33" x14ac:dyDescent="0.25">
      <c r="AG950" s="2"/>
    </row>
    <row r="951" spans="33:33" x14ac:dyDescent="0.25">
      <c r="AG951" s="2"/>
    </row>
    <row r="952" spans="33:33" x14ac:dyDescent="0.25">
      <c r="AG952" s="2"/>
    </row>
    <row r="953" spans="33:33" x14ac:dyDescent="0.25">
      <c r="AG953" s="2"/>
    </row>
    <row r="954" spans="33:33" x14ac:dyDescent="0.25">
      <c r="AG954" s="2"/>
    </row>
    <row r="955" spans="33:33" x14ac:dyDescent="0.25">
      <c r="AG955" s="2"/>
    </row>
    <row r="956" spans="33:33" x14ac:dyDescent="0.25">
      <c r="AG956" s="2"/>
    </row>
    <row r="957" spans="33:33" x14ac:dyDescent="0.25">
      <c r="AG957" s="2"/>
    </row>
    <row r="958" spans="33:33" x14ac:dyDescent="0.25">
      <c r="AG958" s="2"/>
    </row>
    <row r="959" spans="33:33" x14ac:dyDescent="0.25">
      <c r="AG959" s="2"/>
    </row>
    <row r="960" spans="33:33" x14ac:dyDescent="0.25">
      <c r="AG960" s="2"/>
    </row>
    <row r="961" spans="33:33" x14ac:dyDescent="0.25">
      <c r="AG961" s="2"/>
    </row>
    <row r="962" spans="33:33" x14ac:dyDescent="0.25">
      <c r="AG962" s="2"/>
    </row>
    <row r="963" spans="33:33" x14ac:dyDescent="0.25">
      <c r="AG963" s="2"/>
    </row>
    <row r="964" spans="33:33" x14ac:dyDescent="0.25">
      <c r="AG964" s="2"/>
    </row>
    <row r="965" spans="33:33" x14ac:dyDescent="0.25">
      <c r="AG965" s="2"/>
    </row>
    <row r="966" spans="33:33" x14ac:dyDescent="0.25">
      <c r="AG966" s="2"/>
    </row>
    <row r="967" spans="33:33" x14ac:dyDescent="0.25">
      <c r="AG967" s="2"/>
    </row>
    <row r="968" spans="33:33" x14ac:dyDescent="0.25">
      <c r="AG968" s="2"/>
    </row>
    <row r="969" spans="33:33" x14ac:dyDescent="0.25">
      <c r="AG969" s="2"/>
    </row>
    <row r="970" spans="33:33" x14ac:dyDescent="0.25">
      <c r="AG970" s="2"/>
    </row>
    <row r="971" spans="33:33" x14ac:dyDescent="0.25">
      <c r="AG971" s="2"/>
    </row>
    <row r="972" spans="33:33" x14ac:dyDescent="0.25">
      <c r="AG972" s="2"/>
    </row>
    <row r="973" spans="33:33" x14ac:dyDescent="0.25">
      <c r="AG973" s="2"/>
    </row>
    <row r="974" spans="33:33" x14ac:dyDescent="0.25">
      <c r="AG974" s="2"/>
    </row>
    <row r="975" spans="33:33" x14ac:dyDescent="0.25">
      <c r="AG975" s="2"/>
    </row>
    <row r="976" spans="33:33" x14ac:dyDescent="0.25">
      <c r="AG976" s="2"/>
    </row>
    <row r="977" spans="33:33" x14ac:dyDescent="0.25">
      <c r="AG977" s="2"/>
    </row>
    <row r="978" spans="33:33" x14ac:dyDescent="0.25">
      <c r="AG978" s="2"/>
    </row>
    <row r="979" spans="33:33" x14ac:dyDescent="0.25">
      <c r="AG979" s="2"/>
    </row>
    <row r="980" spans="33:33" x14ac:dyDescent="0.25">
      <c r="AG980" s="2"/>
    </row>
    <row r="981" spans="33:33" x14ac:dyDescent="0.25">
      <c r="AG981" s="2"/>
    </row>
    <row r="982" spans="33:33" x14ac:dyDescent="0.25">
      <c r="AG982" s="2"/>
    </row>
    <row r="983" spans="33:33" x14ac:dyDescent="0.25">
      <c r="AG983" s="2"/>
    </row>
    <row r="984" spans="33:33" x14ac:dyDescent="0.25">
      <c r="AG984" s="2"/>
    </row>
    <row r="985" spans="33:33" x14ac:dyDescent="0.25">
      <c r="AG985" s="2"/>
    </row>
    <row r="986" spans="33:33" x14ac:dyDescent="0.25">
      <c r="AG986" s="2"/>
    </row>
    <row r="987" spans="33:33" x14ac:dyDescent="0.25">
      <c r="AG987" s="2"/>
    </row>
    <row r="988" spans="33:33" x14ac:dyDescent="0.25">
      <c r="AG988" s="2"/>
    </row>
    <row r="989" spans="33:33" x14ac:dyDescent="0.25">
      <c r="AG989" s="2"/>
    </row>
    <row r="990" spans="33:33" x14ac:dyDescent="0.25">
      <c r="AG990" s="2"/>
    </row>
    <row r="991" spans="33:33" x14ac:dyDescent="0.25">
      <c r="AG991" s="2"/>
    </row>
    <row r="992" spans="33:33" x14ac:dyDescent="0.25">
      <c r="AG992" s="2"/>
    </row>
    <row r="993" spans="33:33" x14ac:dyDescent="0.25">
      <c r="AG993" s="2"/>
    </row>
    <row r="994" spans="33:33" x14ac:dyDescent="0.25">
      <c r="AG994" s="2"/>
    </row>
    <row r="995" spans="33:33" x14ac:dyDescent="0.25">
      <c r="AG995" s="2"/>
    </row>
    <row r="996" spans="33:33" x14ac:dyDescent="0.25">
      <c r="AG996" s="2"/>
    </row>
    <row r="997" spans="33:33" x14ac:dyDescent="0.25">
      <c r="AG997" s="2"/>
    </row>
    <row r="998" spans="33:33" x14ac:dyDescent="0.25">
      <c r="AG998" s="2"/>
    </row>
    <row r="999" spans="33:33" x14ac:dyDescent="0.25">
      <c r="AG999" s="2"/>
    </row>
    <row r="1000" spans="33:33" x14ac:dyDescent="0.25">
      <c r="AG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"/>
  <sheetViews>
    <sheetView workbookViewId="0">
      <selection activeCell="Q28" sqref="Q28"/>
    </sheetView>
  </sheetViews>
  <sheetFormatPr defaultColWidth="11.42578125" defaultRowHeight="15" x14ac:dyDescent="0.25"/>
  <cols>
    <col min="1" max="2" width="7.42578125" bestFit="1" customWidth="1"/>
    <col min="3" max="3" width="11.28515625" bestFit="1" customWidth="1"/>
    <col min="4" max="4" width="11.7109375" bestFit="1" customWidth="1"/>
    <col min="5" max="5" width="14.140625" bestFit="1" customWidth="1"/>
    <col min="6" max="6" width="11" bestFit="1" customWidth="1"/>
    <col min="7" max="7" width="13.85546875" bestFit="1" customWidth="1"/>
    <col min="8" max="8" width="12" bestFit="1" customWidth="1"/>
    <col min="9" max="9" width="12" customWidth="1"/>
    <col min="10" max="10" width="12.28515625" bestFit="1" customWidth="1"/>
  </cols>
  <sheetData>
    <row r="1" spans="1:10" x14ac:dyDescent="0.25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</row>
    <row r="2" spans="1:10" x14ac:dyDescent="0.25">
      <c r="A2">
        <f>DataTable[[#This Row],[Tm.]]</f>
        <v>0</v>
      </c>
      <c r="B2">
        <f>DataTable[[#This Row],[Match Nr.]]</f>
        <v>0</v>
      </c>
      <c r="C2" s="7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" s="7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" s="7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">
        <f>DataTable[[#This Row],[Successful Lo. G. S]]*2+DataTable[[#This Row],[Successful Hi. G. S.]]*10</f>
        <v>0</v>
      </c>
      <c r="H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">
        <f>IF(DataTable[[#This Row],[E. Game Compl.]]="Nothing",0,IF(DataTable[[#This Row],[E. Game Compl.]]="Challenging the Tower",5,IF(DataTable[[#This Row],[E. Game Compl.]]="Scaling the Tower",15,)))</f>
        <v>0</v>
      </c>
      <c r="J2">
        <f>Table2[[#This Row],[AUTO Pts]]+Table2[[#This Row],[Shooting Pts.]]+Table2[[#This Row],[Def. Points]]+Table2[[#This Row],[E. Game Pts.]]</f>
        <v>0</v>
      </c>
    </row>
    <row r="3" spans="1:10" x14ac:dyDescent="0.25">
      <c r="A3">
        <f>DataTable[[#This Row],[Tm.]]</f>
        <v>0</v>
      </c>
      <c r="B3">
        <f>DataTable[[#This Row],[Match Nr.]]</f>
        <v>0</v>
      </c>
      <c r="C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">
        <f>DataTable[[#This Row],[Successful Lo. G. S]]*2+DataTable[[#This Row],[Successful Hi. G. S.]]*10</f>
        <v>0</v>
      </c>
      <c r="H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">
        <f>IF(DataTable[[#This Row],[E. Game Compl.]]="Nothing",0,IF(DataTable[[#This Row],[E. Game Compl.]]="Challenging the Tower",5,IF(DataTable[[#This Row],[E. Game Compl.]]="Scaling the Tower",15,)))</f>
        <v>0</v>
      </c>
      <c r="J3">
        <f>Table2[[#This Row],[AUTO Pts]]+Table2[[#This Row],[Shooting Pts.]]+Table2[[#This Row],[Def. Points]]+Table2[[#This Row],[E. Game Pts.]]</f>
        <v>0</v>
      </c>
    </row>
    <row r="4" spans="1:10" x14ac:dyDescent="0.25">
      <c r="A4">
        <f>DataTable[[#This Row],[Tm.]]</f>
        <v>0</v>
      </c>
      <c r="B4">
        <f>DataTable[[#This Row],[Match Nr.]]</f>
        <v>0</v>
      </c>
      <c r="C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">
        <f>DataTable[[#This Row],[Successful Lo. G. S]]*2+DataTable[[#This Row],[Successful Hi. G. S.]]*10</f>
        <v>0</v>
      </c>
      <c r="H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">
        <f>IF(DataTable[[#This Row],[E. Game Compl.]]="Nothing",0,IF(DataTable[[#This Row],[E. Game Compl.]]="Challenging the Tower",5,IF(DataTable[[#This Row],[E. Game Compl.]]="Scaling the Tower",15,)))</f>
        <v>0</v>
      </c>
      <c r="J4">
        <f>Table2[[#This Row],[AUTO Pts]]+Table2[[#This Row],[Shooting Pts.]]+Table2[[#This Row],[Def. Points]]+Table2[[#This Row],[E. Game Pts.]]</f>
        <v>0</v>
      </c>
    </row>
    <row r="5" spans="1:10" x14ac:dyDescent="0.25">
      <c r="A5">
        <f>DataTable[[#This Row],[Tm.]]</f>
        <v>0</v>
      </c>
      <c r="B5">
        <f>DataTable[[#This Row],[Match Nr.]]</f>
        <v>0</v>
      </c>
      <c r="C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">
        <f>DataTable[[#This Row],[Successful Lo. G. S]]*2+DataTable[[#This Row],[Successful Hi. G. S.]]*10</f>
        <v>0</v>
      </c>
      <c r="H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">
        <f>IF(DataTable[[#This Row],[E. Game Compl.]]="Nothing",0,IF(DataTable[[#This Row],[E. Game Compl.]]="Challenging the Tower",5,IF(DataTable[[#This Row],[E. Game Compl.]]="Scaling the Tower",15,)))</f>
        <v>0</v>
      </c>
      <c r="J5">
        <f>Table2[[#This Row],[AUTO Pts]]+Table2[[#This Row],[Shooting Pts.]]+Table2[[#This Row],[Def. Points]]+Table2[[#This Row],[E. Game Pts.]]</f>
        <v>0</v>
      </c>
    </row>
    <row r="6" spans="1:10" x14ac:dyDescent="0.25">
      <c r="A6">
        <f>DataTable[[#This Row],[Tm.]]</f>
        <v>0</v>
      </c>
      <c r="B6">
        <f>DataTable[[#This Row],[Match Nr.]]</f>
        <v>0</v>
      </c>
      <c r="C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">
        <f>DataTable[[#This Row],[Successful Lo. G. S]]*2+DataTable[[#This Row],[Successful Hi. G. S.]]*10</f>
        <v>0</v>
      </c>
      <c r="H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">
        <f>IF(DataTable[[#This Row],[E. Game Compl.]]="Nothing",0,IF(DataTable[[#This Row],[E. Game Compl.]]="Challenging the Tower",5,IF(DataTable[[#This Row],[E. Game Compl.]]="Scaling the Tower",15,)))</f>
        <v>0</v>
      </c>
      <c r="J6">
        <f>Table2[[#This Row],[AUTO Pts]]+Table2[[#This Row],[Shooting Pts.]]+Table2[[#This Row],[Def. Points]]+Table2[[#This Row],[E. Game Pts.]]</f>
        <v>0</v>
      </c>
    </row>
    <row r="7" spans="1:10" x14ac:dyDescent="0.25">
      <c r="A7">
        <f>DataTable[[#This Row],[Tm.]]</f>
        <v>0</v>
      </c>
      <c r="B7">
        <f>DataTable[[#This Row],[Match Nr.]]</f>
        <v>0</v>
      </c>
      <c r="C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">
        <f>DataTable[[#This Row],[Successful Lo. G. S]]*2+DataTable[[#This Row],[Successful Hi. G. S.]]*10</f>
        <v>0</v>
      </c>
      <c r="H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">
        <f>IF(DataTable[[#This Row],[E. Game Compl.]]="Nothing",0,IF(DataTable[[#This Row],[E. Game Compl.]]="Challenging the Tower",5,IF(DataTable[[#This Row],[E. Game Compl.]]="Scaling the Tower",15,)))</f>
        <v>0</v>
      </c>
      <c r="J7">
        <f>Table2[[#This Row],[AUTO Pts]]+Table2[[#This Row],[Shooting Pts.]]+Table2[[#This Row],[Def. Points]]+Table2[[#This Row],[E. Game Pts.]]</f>
        <v>0</v>
      </c>
    </row>
    <row r="8" spans="1:10" x14ac:dyDescent="0.25">
      <c r="A8">
        <f>DataTable[[#This Row],[Tm.]]</f>
        <v>0</v>
      </c>
      <c r="B8">
        <f>DataTable[[#This Row],[Match Nr.]]</f>
        <v>0</v>
      </c>
      <c r="C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">
        <f>DataTable[[#This Row],[Successful Lo. G. S]]*2+DataTable[[#This Row],[Successful Hi. G. S.]]*10</f>
        <v>0</v>
      </c>
      <c r="H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">
        <f>IF(DataTable[[#This Row],[E. Game Compl.]]="Nothing",0,IF(DataTable[[#This Row],[E. Game Compl.]]="Challenging the Tower",5,IF(DataTable[[#This Row],[E. Game Compl.]]="Scaling the Tower",15,)))</f>
        <v>0</v>
      </c>
      <c r="J8">
        <f>Table2[[#This Row],[AUTO Pts]]+Table2[[#This Row],[Shooting Pts.]]+Table2[[#This Row],[Def. Points]]+Table2[[#This Row],[E. Game Pts.]]</f>
        <v>0</v>
      </c>
    </row>
    <row r="9" spans="1:10" x14ac:dyDescent="0.25">
      <c r="A9">
        <f>DataTable[[#This Row],[Tm.]]</f>
        <v>0</v>
      </c>
      <c r="B9">
        <f>DataTable[[#This Row],[Match Nr.]]</f>
        <v>0</v>
      </c>
      <c r="C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">
        <f>DataTable[[#This Row],[Successful Lo. G. S]]*2+DataTable[[#This Row],[Successful Hi. G. S.]]*10</f>
        <v>0</v>
      </c>
      <c r="H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">
        <f>IF(DataTable[[#This Row],[E. Game Compl.]]="Nothing",0,IF(DataTable[[#This Row],[E. Game Compl.]]="Challenging the Tower",5,IF(DataTable[[#This Row],[E. Game Compl.]]="Scaling the Tower",15,)))</f>
        <v>0</v>
      </c>
      <c r="J9">
        <f>Table2[[#This Row],[AUTO Pts]]+Table2[[#This Row],[Shooting Pts.]]+Table2[[#This Row],[Def. Points]]+Table2[[#This Row],[E. Game Pts.]]</f>
        <v>0</v>
      </c>
    </row>
    <row r="10" spans="1:10" x14ac:dyDescent="0.25">
      <c r="A10">
        <f>DataTable[[#This Row],[Tm.]]</f>
        <v>0</v>
      </c>
      <c r="B10">
        <f>DataTable[[#This Row],[Match Nr.]]</f>
        <v>0</v>
      </c>
      <c r="C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">
        <f>DataTable[[#This Row],[Successful Lo. G. S]]*2+DataTable[[#This Row],[Successful Hi. G. S.]]*10</f>
        <v>0</v>
      </c>
      <c r="H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">
        <f>IF(DataTable[[#This Row],[E. Game Compl.]]="Nothing",0,IF(DataTable[[#This Row],[E. Game Compl.]]="Challenging the Tower",5,IF(DataTable[[#This Row],[E. Game Compl.]]="Scaling the Tower",15,)))</f>
        <v>0</v>
      </c>
      <c r="J10">
        <f>Table2[[#This Row],[AUTO Pts]]+Table2[[#This Row],[Shooting Pts.]]+Table2[[#This Row],[Def. Points]]+Table2[[#This Row],[E. Game Pts.]]</f>
        <v>0</v>
      </c>
    </row>
    <row r="11" spans="1:10" x14ac:dyDescent="0.25">
      <c r="A11">
        <f>DataTable[[#This Row],[Tm.]]</f>
        <v>0</v>
      </c>
      <c r="B11">
        <f>DataTable[[#This Row],[Match Nr.]]</f>
        <v>0</v>
      </c>
      <c r="C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">
        <f>DataTable[[#This Row],[Successful Lo. G. S]]*2+DataTable[[#This Row],[Successful Hi. G. S.]]*10</f>
        <v>0</v>
      </c>
      <c r="H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">
        <f>IF(DataTable[[#This Row],[E. Game Compl.]]="Nothing",0,IF(DataTable[[#This Row],[E. Game Compl.]]="Challenging the Tower",5,IF(DataTable[[#This Row],[E. Game Compl.]]="Scaling the Tower",15,)))</f>
        <v>0</v>
      </c>
      <c r="J11">
        <f>Table2[[#This Row],[AUTO Pts]]+Table2[[#This Row],[Shooting Pts.]]+Table2[[#This Row],[Def. Points]]+Table2[[#This Row],[E. Game Pts.]]</f>
        <v>0</v>
      </c>
    </row>
    <row r="12" spans="1:10" x14ac:dyDescent="0.25">
      <c r="A12">
        <f>DataTable[[#This Row],[Tm.]]</f>
        <v>0</v>
      </c>
      <c r="B12">
        <f>DataTable[[#This Row],[Match Nr.]]</f>
        <v>0</v>
      </c>
      <c r="C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">
        <f>DataTable[[#This Row],[Successful Lo. G. S]]*2+DataTable[[#This Row],[Successful Hi. G. S.]]*10</f>
        <v>0</v>
      </c>
      <c r="H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">
        <f>IF(DataTable[[#This Row],[E. Game Compl.]]="Nothing",0,IF(DataTable[[#This Row],[E. Game Compl.]]="Challenging the Tower",5,IF(DataTable[[#This Row],[E. Game Compl.]]="Scaling the Tower",15,)))</f>
        <v>0</v>
      </c>
      <c r="J12">
        <f>Table2[[#This Row],[AUTO Pts]]+Table2[[#This Row],[Shooting Pts.]]+Table2[[#This Row],[Def. Points]]+Table2[[#This Row],[E. Game Pts.]]</f>
        <v>0</v>
      </c>
    </row>
    <row r="13" spans="1:10" x14ac:dyDescent="0.25">
      <c r="A13">
        <f>DataTable[[#This Row],[Tm.]]</f>
        <v>0</v>
      </c>
      <c r="B13">
        <f>DataTable[[#This Row],[Match Nr.]]</f>
        <v>0</v>
      </c>
      <c r="C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">
        <f>DataTable[[#This Row],[Successful Lo. G. S]]*2+DataTable[[#This Row],[Successful Hi. G. S.]]*10</f>
        <v>0</v>
      </c>
      <c r="H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">
        <f>IF(DataTable[[#This Row],[E. Game Compl.]]="Nothing",0,IF(DataTable[[#This Row],[E. Game Compl.]]="Challenging the Tower",5,IF(DataTable[[#This Row],[E. Game Compl.]]="Scaling the Tower",15,)))</f>
        <v>0</v>
      </c>
      <c r="J13">
        <f>Table2[[#This Row],[AUTO Pts]]+Table2[[#This Row],[Shooting Pts.]]+Table2[[#This Row],[Def. Points]]+Table2[[#This Row],[E. Game Pts.]]</f>
        <v>0</v>
      </c>
    </row>
    <row r="14" spans="1:10" x14ac:dyDescent="0.25">
      <c r="A14">
        <f>DataTable[[#This Row],[Tm.]]</f>
        <v>0</v>
      </c>
      <c r="B14">
        <f>DataTable[[#This Row],[Match Nr.]]</f>
        <v>0</v>
      </c>
      <c r="C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">
        <f>DataTable[[#This Row],[Successful Lo. G. S]]*2+DataTable[[#This Row],[Successful Hi. G. S.]]*10</f>
        <v>0</v>
      </c>
      <c r="H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">
        <f>IF(DataTable[[#This Row],[E. Game Compl.]]="Nothing",0,IF(DataTable[[#This Row],[E. Game Compl.]]="Challenging the Tower",5,IF(DataTable[[#This Row],[E. Game Compl.]]="Scaling the Tower",15,)))</f>
        <v>0</v>
      </c>
      <c r="J14">
        <f>Table2[[#This Row],[AUTO Pts]]+Table2[[#This Row],[Shooting Pts.]]+Table2[[#This Row],[Def. Points]]+Table2[[#This Row],[E. Game Pts.]]</f>
        <v>0</v>
      </c>
    </row>
    <row r="15" spans="1:10" x14ac:dyDescent="0.25">
      <c r="A15">
        <f>DataTable[[#This Row],[Tm.]]</f>
        <v>0</v>
      </c>
      <c r="B15">
        <f>DataTable[[#This Row],[Match Nr.]]</f>
        <v>0</v>
      </c>
      <c r="C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">
        <f>DataTable[[#This Row],[Successful Lo. G. S]]*2+DataTable[[#This Row],[Successful Hi. G. S.]]*10</f>
        <v>0</v>
      </c>
      <c r="H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">
        <f>IF(DataTable[[#This Row],[E. Game Compl.]]="Nothing",0,IF(DataTable[[#This Row],[E. Game Compl.]]="Challenging the Tower",5,IF(DataTable[[#This Row],[E. Game Compl.]]="Scaling the Tower",15,)))</f>
        <v>0</v>
      </c>
      <c r="J15">
        <f>Table2[[#This Row],[AUTO Pts]]+Table2[[#This Row],[Shooting Pts.]]+Table2[[#This Row],[Def. Points]]+Table2[[#This Row],[E. Game Pts.]]</f>
        <v>0</v>
      </c>
    </row>
    <row r="16" spans="1:10" x14ac:dyDescent="0.25">
      <c r="A16">
        <f>DataTable[[#This Row],[Tm.]]</f>
        <v>0</v>
      </c>
      <c r="B16">
        <f>DataTable[[#This Row],[Match Nr.]]</f>
        <v>0</v>
      </c>
      <c r="C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">
        <f>DataTable[[#This Row],[Successful Lo. G. S]]*2+DataTable[[#This Row],[Successful Hi. G. S.]]*10</f>
        <v>0</v>
      </c>
      <c r="H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">
        <f>IF(DataTable[[#This Row],[E. Game Compl.]]="Nothing",0,IF(DataTable[[#This Row],[E. Game Compl.]]="Challenging the Tower",5,IF(DataTable[[#This Row],[E. Game Compl.]]="Scaling the Tower",15,)))</f>
        <v>0</v>
      </c>
      <c r="J16">
        <f>Table2[[#This Row],[AUTO Pts]]+Table2[[#This Row],[Shooting Pts.]]+Table2[[#This Row],[Def. Points]]+Table2[[#This Row],[E. Game Pts.]]</f>
        <v>0</v>
      </c>
    </row>
    <row r="17" spans="1:10" x14ac:dyDescent="0.25">
      <c r="A17">
        <f>DataTable[[#This Row],[Tm.]]</f>
        <v>0</v>
      </c>
      <c r="B17">
        <f>DataTable[[#This Row],[Match Nr.]]</f>
        <v>0</v>
      </c>
      <c r="C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">
        <f>DataTable[[#This Row],[Successful Lo. G. S]]*2+DataTable[[#This Row],[Successful Hi. G. S.]]*10</f>
        <v>0</v>
      </c>
      <c r="H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">
        <f>IF(DataTable[[#This Row],[E. Game Compl.]]="Nothing",0,IF(DataTable[[#This Row],[E. Game Compl.]]="Challenging the Tower",5,IF(DataTable[[#This Row],[E. Game Compl.]]="Scaling the Tower",15,)))</f>
        <v>0</v>
      </c>
      <c r="J17">
        <f>Table2[[#This Row],[AUTO Pts]]+Table2[[#This Row],[Shooting Pts.]]+Table2[[#This Row],[Def. Points]]+Table2[[#This Row],[E. Game Pts.]]</f>
        <v>0</v>
      </c>
    </row>
    <row r="18" spans="1:10" x14ac:dyDescent="0.25">
      <c r="A18">
        <f>DataTable[[#This Row],[Tm.]]</f>
        <v>0</v>
      </c>
      <c r="B18">
        <f>DataTable[[#This Row],[Match Nr.]]</f>
        <v>0</v>
      </c>
      <c r="C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">
        <f>DataTable[[#This Row],[Successful Lo. G. S]]*2+DataTable[[#This Row],[Successful Hi. G. S.]]*10</f>
        <v>0</v>
      </c>
      <c r="H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">
        <f>IF(DataTable[[#This Row],[E. Game Compl.]]="Nothing",0,IF(DataTable[[#This Row],[E. Game Compl.]]="Challenging the Tower",5,IF(DataTable[[#This Row],[E. Game Compl.]]="Scaling the Tower",15,)))</f>
        <v>0</v>
      </c>
      <c r="J18">
        <f>Table2[[#This Row],[AUTO Pts]]+Table2[[#This Row],[Shooting Pts.]]+Table2[[#This Row],[Def. Points]]+Table2[[#This Row],[E. Game Pts.]]</f>
        <v>0</v>
      </c>
    </row>
    <row r="19" spans="1:10" x14ac:dyDescent="0.25">
      <c r="A19">
        <f>DataTable[[#This Row],[Tm.]]</f>
        <v>0</v>
      </c>
      <c r="B19">
        <f>DataTable[[#This Row],[Match Nr.]]</f>
        <v>0</v>
      </c>
      <c r="C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">
        <f>DataTable[[#This Row],[Successful Lo. G. S]]*2+DataTable[[#This Row],[Successful Hi. G. S.]]*10</f>
        <v>0</v>
      </c>
      <c r="H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">
        <f>IF(DataTable[[#This Row],[E. Game Compl.]]="Nothing",0,IF(DataTable[[#This Row],[E. Game Compl.]]="Challenging the Tower",5,IF(DataTable[[#This Row],[E. Game Compl.]]="Scaling the Tower",15,)))</f>
        <v>0</v>
      </c>
      <c r="J19">
        <f>Table2[[#This Row],[AUTO Pts]]+Table2[[#This Row],[Shooting Pts.]]+Table2[[#This Row],[Def. Points]]+Table2[[#This Row],[E. Game Pts.]]</f>
        <v>0</v>
      </c>
    </row>
    <row r="20" spans="1:10" x14ac:dyDescent="0.25">
      <c r="A20">
        <f>DataTable[[#This Row],[Tm.]]</f>
        <v>0</v>
      </c>
      <c r="B20">
        <f>DataTable[[#This Row],[Match Nr.]]</f>
        <v>0</v>
      </c>
      <c r="C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">
        <f>DataTable[[#This Row],[Successful Lo. G. S]]*2+DataTable[[#This Row],[Successful Hi. G. S.]]*10</f>
        <v>0</v>
      </c>
      <c r="H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">
        <f>IF(DataTable[[#This Row],[E. Game Compl.]]="Nothing",0,IF(DataTable[[#This Row],[E. Game Compl.]]="Challenging the Tower",5,IF(DataTable[[#This Row],[E. Game Compl.]]="Scaling the Tower",15,)))</f>
        <v>0</v>
      </c>
      <c r="J20">
        <f>Table2[[#This Row],[AUTO Pts]]+Table2[[#This Row],[Shooting Pts.]]+Table2[[#This Row],[Def. Points]]+Table2[[#This Row],[E. Game Pts.]]</f>
        <v>0</v>
      </c>
    </row>
    <row r="21" spans="1:10" x14ac:dyDescent="0.25">
      <c r="A21">
        <f>DataTable[[#This Row],[Tm.]]</f>
        <v>0</v>
      </c>
      <c r="B21">
        <f>DataTable[[#This Row],[Match Nr.]]</f>
        <v>0</v>
      </c>
      <c r="C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">
        <f>DataTable[[#This Row],[Successful Lo. G. S]]*2+DataTable[[#This Row],[Successful Hi. G. S.]]*10</f>
        <v>0</v>
      </c>
      <c r="H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">
        <f>IF(DataTable[[#This Row],[E. Game Compl.]]="Nothing",0,IF(DataTable[[#This Row],[E. Game Compl.]]="Challenging the Tower",5,IF(DataTable[[#This Row],[E. Game Compl.]]="Scaling the Tower",15,)))</f>
        <v>0</v>
      </c>
      <c r="J21">
        <f>Table2[[#This Row],[AUTO Pts]]+Table2[[#This Row],[Shooting Pts.]]+Table2[[#This Row],[Def. Points]]+Table2[[#This Row],[E. Game Pts.]]</f>
        <v>0</v>
      </c>
    </row>
    <row r="22" spans="1:10" x14ac:dyDescent="0.25">
      <c r="A22">
        <f>DataTable[[#This Row],[Tm.]]</f>
        <v>0</v>
      </c>
      <c r="B22">
        <f>DataTable[[#This Row],[Match Nr.]]</f>
        <v>0</v>
      </c>
      <c r="C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">
        <f>DataTable[[#This Row],[Successful Lo. G. S]]*2+DataTable[[#This Row],[Successful Hi. G. S.]]*10</f>
        <v>0</v>
      </c>
      <c r="H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">
        <f>IF(DataTable[[#This Row],[E. Game Compl.]]="Nothing",0,IF(DataTable[[#This Row],[E. Game Compl.]]="Challenging the Tower",5,IF(DataTable[[#This Row],[E. Game Compl.]]="Scaling the Tower",15,)))</f>
        <v>0</v>
      </c>
      <c r="J22">
        <f>Table2[[#This Row],[AUTO Pts]]+Table2[[#This Row],[Shooting Pts.]]+Table2[[#This Row],[Def. Points]]+Table2[[#This Row],[E. Game Pts.]]</f>
        <v>0</v>
      </c>
    </row>
    <row r="23" spans="1:10" x14ac:dyDescent="0.25">
      <c r="A23">
        <f>DataTable[[#This Row],[Tm.]]</f>
        <v>0</v>
      </c>
      <c r="B23">
        <f>DataTable[[#This Row],[Match Nr.]]</f>
        <v>0</v>
      </c>
      <c r="C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">
        <f>DataTable[[#This Row],[Successful Lo. G. S]]*2+DataTable[[#This Row],[Successful Hi. G. S.]]*10</f>
        <v>0</v>
      </c>
      <c r="H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">
        <f>IF(DataTable[[#This Row],[E. Game Compl.]]="Nothing",0,IF(DataTable[[#This Row],[E. Game Compl.]]="Challenging the Tower",5,IF(DataTable[[#This Row],[E. Game Compl.]]="Scaling the Tower",15,)))</f>
        <v>0</v>
      </c>
      <c r="J23">
        <f>Table2[[#This Row],[AUTO Pts]]+Table2[[#This Row],[Shooting Pts.]]+Table2[[#This Row],[Def. Points]]+Table2[[#This Row],[E. Game Pts.]]</f>
        <v>0</v>
      </c>
    </row>
    <row r="24" spans="1:10" x14ac:dyDescent="0.25">
      <c r="A24">
        <f>DataTable[[#This Row],[Tm.]]</f>
        <v>0</v>
      </c>
      <c r="B24">
        <f>DataTable[[#This Row],[Match Nr.]]</f>
        <v>0</v>
      </c>
      <c r="C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">
        <f>DataTable[[#This Row],[Successful Lo. G. S]]*2+DataTable[[#This Row],[Successful Hi. G. S.]]*10</f>
        <v>0</v>
      </c>
      <c r="H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">
        <f>IF(DataTable[[#This Row],[E. Game Compl.]]="Nothing",0,IF(DataTable[[#This Row],[E. Game Compl.]]="Challenging the Tower",5,IF(DataTable[[#This Row],[E. Game Compl.]]="Scaling the Tower",15,)))</f>
        <v>0</v>
      </c>
      <c r="J24">
        <f>Table2[[#This Row],[AUTO Pts]]+Table2[[#This Row],[Shooting Pts.]]+Table2[[#This Row],[Def. Points]]+Table2[[#This Row],[E. Game Pts.]]</f>
        <v>0</v>
      </c>
    </row>
    <row r="25" spans="1:10" x14ac:dyDescent="0.25">
      <c r="A25">
        <f>DataTable[[#This Row],[Tm.]]</f>
        <v>0</v>
      </c>
      <c r="B25">
        <f>DataTable[[#This Row],[Match Nr.]]</f>
        <v>0</v>
      </c>
      <c r="C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">
        <f>DataTable[[#This Row],[Successful Lo. G. S]]*2+DataTable[[#This Row],[Successful Hi. G. S.]]*10</f>
        <v>0</v>
      </c>
      <c r="H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">
        <f>IF(DataTable[[#This Row],[E. Game Compl.]]="Nothing",0,IF(DataTable[[#This Row],[E. Game Compl.]]="Challenging the Tower",5,IF(DataTable[[#This Row],[E. Game Compl.]]="Scaling the Tower",15,)))</f>
        <v>0</v>
      </c>
      <c r="J25">
        <f>Table2[[#This Row],[AUTO Pts]]+Table2[[#This Row],[Shooting Pts.]]+Table2[[#This Row],[Def. Points]]+Table2[[#This Row],[E. Game Pts.]]</f>
        <v>0</v>
      </c>
    </row>
    <row r="26" spans="1:10" x14ac:dyDescent="0.25">
      <c r="A26">
        <f>DataTable[[#This Row],[Tm.]]</f>
        <v>0</v>
      </c>
      <c r="B26">
        <f>DataTable[[#This Row],[Match Nr.]]</f>
        <v>0</v>
      </c>
      <c r="C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">
        <f>DataTable[[#This Row],[Successful Lo. G. S]]*2+DataTable[[#This Row],[Successful Hi. G. S.]]*10</f>
        <v>0</v>
      </c>
      <c r="H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">
        <f>IF(DataTable[[#This Row],[E. Game Compl.]]="Nothing",0,IF(DataTable[[#This Row],[E. Game Compl.]]="Challenging the Tower",5,IF(DataTable[[#This Row],[E. Game Compl.]]="Scaling the Tower",15,)))</f>
        <v>0</v>
      </c>
      <c r="J26">
        <f>Table2[[#This Row],[AUTO Pts]]+Table2[[#This Row],[Shooting Pts.]]+Table2[[#This Row],[Def. Points]]+Table2[[#This Row],[E. Game Pts.]]</f>
        <v>0</v>
      </c>
    </row>
    <row r="27" spans="1:10" x14ac:dyDescent="0.25">
      <c r="A27">
        <f>DataTable[[#This Row],[Tm.]]</f>
        <v>0</v>
      </c>
      <c r="B27">
        <f>DataTable[[#This Row],[Match Nr.]]</f>
        <v>0</v>
      </c>
      <c r="C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">
        <f>DataTable[[#This Row],[Successful Lo. G. S]]*2+DataTable[[#This Row],[Successful Hi. G. S.]]*10</f>
        <v>0</v>
      </c>
      <c r="H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">
        <f>IF(DataTable[[#This Row],[E. Game Compl.]]="Nothing",0,IF(DataTable[[#This Row],[E. Game Compl.]]="Challenging the Tower",5,IF(DataTable[[#This Row],[E. Game Compl.]]="Scaling the Tower",15,)))</f>
        <v>0</v>
      </c>
      <c r="J27">
        <f>Table2[[#This Row],[AUTO Pts]]+Table2[[#This Row],[Shooting Pts.]]+Table2[[#This Row],[Def. Points]]+Table2[[#This Row],[E. Game Pts.]]</f>
        <v>0</v>
      </c>
    </row>
    <row r="28" spans="1:10" x14ac:dyDescent="0.25">
      <c r="A28">
        <f>DataTable[[#This Row],[Tm.]]</f>
        <v>0</v>
      </c>
      <c r="B28">
        <f>DataTable[[#This Row],[Match Nr.]]</f>
        <v>0</v>
      </c>
      <c r="C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">
        <f>DataTable[[#This Row],[Successful Lo. G. S]]*2+DataTable[[#This Row],[Successful Hi. G. S.]]*10</f>
        <v>0</v>
      </c>
      <c r="H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">
        <f>IF(DataTable[[#This Row],[E. Game Compl.]]="Nothing",0,IF(DataTable[[#This Row],[E. Game Compl.]]="Challenging the Tower",5,IF(DataTable[[#This Row],[E. Game Compl.]]="Scaling the Tower",15,)))</f>
        <v>0</v>
      </c>
      <c r="J28">
        <f>Table2[[#This Row],[AUTO Pts]]+Table2[[#This Row],[Shooting Pts.]]+Table2[[#This Row],[Def. Points]]+Table2[[#This Row],[E. Game Pts.]]</f>
        <v>0</v>
      </c>
    </row>
    <row r="29" spans="1:10" x14ac:dyDescent="0.25">
      <c r="A29">
        <f>DataTable[[#This Row],[Tm.]]</f>
        <v>0</v>
      </c>
      <c r="B29">
        <f>DataTable[[#This Row],[Match Nr.]]</f>
        <v>0</v>
      </c>
      <c r="C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">
        <f>DataTable[[#This Row],[Successful Lo. G. S]]*2+DataTable[[#This Row],[Successful Hi. G. S.]]*10</f>
        <v>0</v>
      </c>
      <c r="H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">
        <f>IF(DataTable[[#This Row],[E. Game Compl.]]="Nothing",0,IF(DataTable[[#This Row],[E. Game Compl.]]="Challenging the Tower",5,IF(DataTable[[#This Row],[E. Game Compl.]]="Scaling the Tower",15,)))</f>
        <v>0</v>
      </c>
      <c r="J29">
        <f>Table2[[#This Row],[AUTO Pts]]+Table2[[#This Row],[Shooting Pts.]]+Table2[[#This Row],[Def. Points]]+Table2[[#This Row],[E. Game Pts.]]</f>
        <v>0</v>
      </c>
    </row>
    <row r="30" spans="1:10" x14ac:dyDescent="0.25">
      <c r="A30">
        <f>DataTable[[#This Row],[Tm.]]</f>
        <v>0</v>
      </c>
      <c r="B30">
        <f>DataTable[[#This Row],[Match Nr.]]</f>
        <v>0</v>
      </c>
      <c r="C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">
        <f>DataTable[[#This Row],[Successful Lo. G. S]]*2+DataTable[[#This Row],[Successful Hi. G. S.]]*10</f>
        <v>0</v>
      </c>
      <c r="H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">
        <f>IF(DataTable[[#This Row],[E. Game Compl.]]="Nothing",0,IF(DataTable[[#This Row],[E. Game Compl.]]="Challenging the Tower",5,IF(DataTable[[#This Row],[E. Game Compl.]]="Scaling the Tower",15,)))</f>
        <v>0</v>
      </c>
      <c r="J30">
        <f>Table2[[#This Row],[AUTO Pts]]+Table2[[#This Row],[Shooting Pts.]]+Table2[[#This Row],[Def. Points]]+Table2[[#This Row],[E. Game Pts.]]</f>
        <v>0</v>
      </c>
    </row>
    <row r="31" spans="1:10" x14ac:dyDescent="0.25">
      <c r="A31">
        <f>DataTable[[#This Row],[Tm.]]</f>
        <v>0</v>
      </c>
      <c r="B31">
        <f>DataTable[[#This Row],[Match Nr.]]</f>
        <v>0</v>
      </c>
      <c r="C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">
        <f>DataTable[[#This Row],[Successful Lo. G. S]]*2+DataTable[[#This Row],[Successful Hi. G. S.]]*10</f>
        <v>0</v>
      </c>
      <c r="H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">
        <f>IF(DataTable[[#This Row],[E. Game Compl.]]="Nothing",0,IF(DataTable[[#This Row],[E. Game Compl.]]="Challenging the Tower",5,IF(DataTable[[#This Row],[E. Game Compl.]]="Scaling the Tower",15,)))</f>
        <v>0</v>
      </c>
      <c r="J31">
        <f>Table2[[#This Row],[AUTO Pts]]+Table2[[#This Row],[Shooting Pts.]]+Table2[[#This Row],[Def. Points]]+Table2[[#This Row],[E. Game Pts.]]</f>
        <v>0</v>
      </c>
    </row>
    <row r="32" spans="1:10" x14ac:dyDescent="0.25">
      <c r="A32">
        <f>DataTable[[#This Row],[Tm.]]</f>
        <v>0</v>
      </c>
      <c r="B32">
        <f>DataTable[[#This Row],[Match Nr.]]</f>
        <v>0</v>
      </c>
      <c r="C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">
        <f>DataTable[[#This Row],[Successful Lo. G. S]]*2+DataTable[[#This Row],[Successful Hi. G. S.]]*10</f>
        <v>0</v>
      </c>
      <c r="H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">
        <f>IF(DataTable[[#This Row],[E. Game Compl.]]="Nothing",0,IF(DataTable[[#This Row],[E. Game Compl.]]="Challenging the Tower",5,IF(DataTable[[#This Row],[E. Game Compl.]]="Scaling the Tower",15,)))</f>
        <v>0</v>
      </c>
      <c r="J32">
        <f>Table2[[#This Row],[AUTO Pts]]+Table2[[#This Row],[Shooting Pts.]]+Table2[[#This Row],[Def. Points]]+Table2[[#This Row],[E. Game Pts.]]</f>
        <v>0</v>
      </c>
    </row>
    <row r="33" spans="1:10" x14ac:dyDescent="0.25">
      <c r="A33">
        <f>DataTable[[#This Row],[Tm.]]</f>
        <v>0</v>
      </c>
      <c r="B33">
        <f>DataTable[[#This Row],[Match Nr.]]</f>
        <v>0</v>
      </c>
      <c r="C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">
        <f>DataTable[[#This Row],[Successful Lo. G. S]]*2+DataTable[[#This Row],[Successful Hi. G. S.]]*10</f>
        <v>0</v>
      </c>
      <c r="H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">
        <f>IF(DataTable[[#This Row],[E. Game Compl.]]="Nothing",0,IF(DataTable[[#This Row],[E. Game Compl.]]="Challenging the Tower",5,IF(DataTable[[#This Row],[E. Game Compl.]]="Scaling the Tower",15,)))</f>
        <v>0</v>
      </c>
      <c r="J33">
        <f>Table2[[#This Row],[AUTO Pts]]+Table2[[#This Row],[Shooting Pts.]]+Table2[[#This Row],[Def. Points]]+Table2[[#This Row],[E. Game Pts.]]</f>
        <v>0</v>
      </c>
    </row>
    <row r="34" spans="1:10" x14ac:dyDescent="0.25">
      <c r="A34">
        <f>DataTable[[#This Row],[Tm.]]</f>
        <v>0</v>
      </c>
      <c r="B34">
        <f>DataTable[[#This Row],[Match Nr.]]</f>
        <v>0</v>
      </c>
      <c r="C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">
        <f>DataTable[[#This Row],[Successful Lo. G. S]]*2+DataTable[[#This Row],[Successful Hi. G. S.]]*10</f>
        <v>0</v>
      </c>
      <c r="H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">
        <f>IF(DataTable[[#This Row],[E. Game Compl.]]="Nothing",0,IF(DataTable[[#This Row],[E. Game Compl.]]="Challenging the Tower",5,IF(DataTable[[#This Row],[E. Game Compl.]]="Scaling the Tower",15,)))</f>
        <v>0</v>
      </c>
      <c r="J34">
        <f>Table2[[#This Row],[AUTO Pts]]+Table2[[#This Row],[Shooting Pts.]]+Table2[[#This Row],[Def. Points]]+Table2[[#This Row],[E. Game Pts.]]</f>
        <v>0</v>
      </c>
    </row>
    <row r="35" spans="1:10" x14ac:dyDescent="0.25">
      <c r="A35">
        <f>DataTable[[#This Row],[Tm.]]</f>
        <v>0</v>
      </c>
      <c r="B35">
        <f>DataTable[[#This Row],[Match Nr.]]</f>
        <v>0</v>
      </c>
      <c r="C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">
        <f>DataTable[[#This Row],[Successful Lo. G. S]]*2+DataTable[[#This Row],[Successful Hi. G. S.]]*10</f>
        <v>0</v>
      </c>
      <c r="H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">
        <f>IF(DataTable[[#This Row],[E. Game Compl.]]="Nothing",0,IF(DataTable[[#This Row],[E. Game Compl.]]="Challenging the Tower",5,IF(DataTable[[#This Row],[E. Game Compl.]]="Scaling the Tower",15,)))</f>
        <v>0</v>
      </c>
      <c r="J35">
        <f>Table2[[#This Row],[AUTO Pts]]+Table2[[#This Row],[Shooting Pts.]]+Table2[[#This Row],[Def. Points]]+Table2[[#This Row],[E. Game Pts.]]</f>
        <v>0</v>
      </c>
    </row>
    <row r="36" spans="1:10" x14ac:dyDescent="0.25">
      <c r="A36">
        <f>DataTable[[#This Row],[Tm.]]</f>
        <v>0</v>
      </c>
      <c r="B36">
        <f>DataTable[[#This Row],[Match Nr.]]</f>
        <v>0</v>
      </c>
      <c r="C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">
        <f>DataTable[[#This Row],[Successful Lo. G. S]]*2+DataTable[[#This Row],[Successful Hi. G. S.]]*10</f>
        <v>0</v>
      </c>
      <c r="H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">
        <f>IF(DataTable[[#This Row],[E. Game Compl.]]="Nothing",0,IF(DataTable[[#This Row],[E. Game Compl.]]="Challenging the Tower",5,IF(DataTable[[#This Row],[E. Game Compl.]]="Scaling the Tower",15,)))</f>
        <v>0</v>
      </c>
      <c r="J36">
        <f>Table2[[#This Row],[AUTO Pts]]+Table2[[#This Row],[Shooting Pts.]]+Table2[[#This Row],[Def. Points]]+Table2[[#This Row],[E. Game Pts.]]</f>
        <v>0</v>
      </c>
    </row>
    <row r="37" spans="1:10" x14ac:dyDescent="0.25">
      <c r="A37">
        <f>DataTable[[#This Row],[Tm.]]</f>
        <v>0</v>
      </c>
      <c r="B37">
        <f>DataTable[[#This Row],[Match Nr.]]</f>
        <v>0</v>
      </c>
      <c r="C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">
        <f>DataTable[[#This Row],[Successful Lo. G. S]]*2+DataTable[[#This Row],[Successful Hi. G. S.]]*10</f>
        <v>0</v>
      </c>
      <c r="H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">
        <f>IF(DataTable[[#This Row],[E. Game Compl.]]="Nothing",0,IF(DataTable[[#This Row],[E. Game Compl.]]="Challenging the Tower",5,IF(DataTable[[#This Row],[E. Game Compl.]]="Scaling the Tower",15,)))</f>
        <v>0</v>
      </c>
      <c r="J37">
        <f>Table2[[#This Row],[AUTO Pts]]+Table2[[#This Row],[Shooting Pts.]]+Table2[[#This Row],[Def. Points]]+Table2[[#This Row],[E. Game Pts.]]</f>
        <v>0</v>
      </c>
    </row>
    <row r="38" spans="1:10" x14ac:dyDescent="0.25">
      <c r="A38">
        <f>DataTable[[#This Row],[Tm.]]</f>
        <v>0</v>
      </c>
      <c r="B38">
        <f>DataTable[[#This Row],[Match Nr.]]</f>
        <v>0</v>
      </c>
      <c r="C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">
        <f>DataTable[[#This Row],[Successful Lo. G. S]]*2+DataTable[[#This Row],[Successful Hi. G. S.]]*10</f>
        <v>0</v>
      </c>
      <c r="H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">
        <f>IF(DataTable[[#This Row],[E. Game Compl.]]="Nothing",0,IF(DataTable[[#This Row],[E. Game Compl.]]="Challenging the Tower",5,IF(DataTable[[#This Row],[E. Game Compl.]]="Scaling the Tower",15,)))</f>
        <v>0</v>
      </c>
      <c r="J38">
        <f>Table2[[#This Row],[AUTO Pts]]+Table2[[#This Row],[Shooting Pts.]]+Table2[[#This Row],[Def. Points]]+Table2[[#This Row],[E. Game Pts.]]</f>
        <v>0</v>
      </c>
    </row>
    <row r="39" spans="1:10" x14ac:dyDescent="0.25">
      <c r="A39">
        <f>DataTable[[#This Row],[Tm.]]</f>
        <v>0</v>
      </c>
      <c r="B39">
        <f>DataTable[[#This Row],[Match Nr.]]</f>
        <v>0</v>
      </c>
      <c r="C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">
        <f>DataTable[[#This Row],[Successful Lo. G. S]]*2+DataTable[[#This Row],[Successful Hi. G. S.]]*10</f>
        <v>0</v>
      </c>
      <c r="H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">
        <f>IF(DataTable[[#This Row],[E. Game Compl.]]="Nothing",0,IF(DataTable[[#This Row],[E. Game Compl.]]="Challenging the Tower",5,IF(DataTable[[#This Row],[E. Game Compl.]]="Scaling the Tower",15,)))</f>
        <v>0</v>
      </c>
      <c r="J39">
        <f>Table2[[#This Row],[AUTO Pts]]+Table2[[#This Row],[Shooting Pts.]]+Table2[[#This Row],[Def. Points]]+Table2[[#This Row],[E. Game Pts.]]</f>
        <v>0</v>
      </c>
    </row>
    <row r="40" spans="1:10" x14ac:dyDescent="0.25">
      <c r="A40">
        <f>DataTable[[#This Row],[Tm.]]</f>
        <v>0</v>
      </c>
      <c r="B40">
        <f>DataTable[[#This Row],[Match Nr.]]</f>
        <v>0</v>
      </c>
      <c r="C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">
        <f>DataTable[[#This Row],[Successful Lo. G. S]]*2+DataTable[[#This Row],[Successful Hi. G. S.]]*10</f>
        <v>0</v>
      </c>
      <c r="H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">
        <f>IF(DataTable[[#This Row],[E. Game Compl.]]="Nothing",0,IF(DataTable[[#This Row],[E. Game Compl.]]="Challenging the Tower",5,IF(DataTable[[#This Row],[E. Game Compl.]]="Scaling the Tower",15,)))</f>
        <v>0</v>
      </c>
      <c r="J40">
        <f>Table2[[#This Row],[AUTO Pts]]+Table2[[#This Row],[Shooting Pts.]]+Table2[[#This Row],[Def. Points]]+Table2[[#This Row],[E. Game Pts.]]</f>
        <v>0</v>
      </c>
    </row>
    <row r="41" spans="1:10" x14ac:dyDescent="0.25">
      <c r="A41">
        <f>DataTable[[#This Row],[Tm.]]</f>
        <v>0</v>
      </c>
      <c r="B41">
        <f>DataTable[[#This Row],[Match Nr.]]</f>
        <v>0</v>
      </c>
      <c r="C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">
        <f>DataTable[[#This Row],[Successful Lo. G. S]]*2+DataTable[[#This Row],[Successful Hi. G. S.]]*10</f>
        <v>0</v>
      </c>
      <c r="H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">
        <f>IF(DataTable[[#This Row],[E. Game Compl.]]="Nothing",0,IF(DataTable[[#This Row],[E. Game Compl.]]="Challenging the Tower",5,IF(DataTable[[#This Row],[E. Game Compl.]]="Scaling the Tower",15,)))</f>
        <v>0</v>
      </c>
      <c r="J41">
        <f>Table2[[#This Row],[AUTO Pts]]+Table2[[#This Row],[Shooting Pts.]]+Table2[[#This Row],[Def. Points]]+Table2[[#This Row],[E. Game Pts.]]</f>
        <v>0</v>
      </c>
    </row>
    <row r="42" spans="1:10" x14ac:dyDescent="0.25">
      <c r="A42">
        <f>DataTable[[#This Row],[Tm.]]</f>
        <v>0</v>
      </c>
      <c r="B42">
        <f>DataTable[[#This Row],[Match Nr.]]</f>
        <v>0</v>
      </c>
      <c r="C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">
        <f>DataTable[[#This Row],[Successful Lo. G. S]]*2+DataTable[[#This Row],[Successful Hi. G. S.]]*10</f>
        <v>0</v>
      </c>
      <c r="H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">
        <f>IF(DataTable[[#This Row],[E. Game Compl.]]="Nothing",0,IF(DataTable[[#This Row],[E. Game Compl.]]="Challenging the Tower",5,IF(DataTable[[#This Row],[E. Game Compl.]]="Scaling the Tower",15,)))</f>
        <v>0</v>
      </c>
      <c r="J42">
        <f>Table2[[#This Row],[AUTO Pts]]+Table2[[#This Row],[Shooting Pts.]]+Table2[[#This Row],[Def. Points]]+Table2[[#This Row],[E. Game Pts.]]</f>
        <v>0</v>
      </c>
    </row>
    <row r="43" spans="1:10" x14ac:dyDescent="0.25">
      <c r="A43">
        <f>DataTable[[#This Row],[Tm.]]</f>
        <v>0</v>
      </c>
      <c r="B43">
        <f>DataTable[[#This Row],[Match Nr.]]</f>
        <v>0</v>
      </c>
      <c r="C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">
        <f>DataTable[[#This Row],[Successful Lo. G. S]]*2+DataTable[[#This Row],[Successful Hi. G. S.]]*10</f>
        <v>0</v>
      </c>
      <c r="H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">
        <f>IF(DataTable[[#This Row],[E. Game Compl.]]="Nothing",0,IF(DataTable[[#This Row],[E. Game Compl.]]="Challenging the Tower",5,IF(DataTable[[#This Row],[E. Game Compl.]]="Scaling the Tower",15,)))</f>
        <v>0</v>
      </c>
      <c r="J43">
        <f>Table2[[#This Row],[AUTO Pts]]+Table2[[#This Row],[Shooting Pts.]]+Table2[[#This Row],[Def. Points]]+Table2[[#This Row],[E. Game Pts.]]</f>
        <v>0</v>
      </c>
    </row>
    <row r="44" spans="1:10" x14ac:dyDescent="0.25">
      <c r="A44">
        <f>DataTable[[#This Row],[Tm.]]</f>
        <v>0</v>
      </c>
      <c r="B44">
        <f>DataTable[[#This Row],[Match Nr.]]</f>
        <v>0</v>
      </c>
      <c r="C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">
        <f>DataTable[[#This Row],[Successful Lo. G. S]]*2+DataTable[[#This Row],[Successful Hi. G. S.]]*10</f>
        <v>0</v>
      </c>
      <c r="H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">
        <f>IF(DataTable[[#This Row],[E. Game Compl.]]="Nothing",0,IF(DataTable[[#This Row],[E. Game Compl.]]="Challenging the Tower",5,IF(DataTable[[#This Row],[E. Game Compl.]]="Scaling the Tower",15,)))</f>
        <v>0</v>
      </c>
      <c r="J44">
        <f>Table2[[#This Row],[AUTO Pts]]+Table2[[#This Row],[Shooting Pts.]]+Table2[[#This Row],[Def. Points]]+Table2[[#This Row],[E. Game Pts.]]</f>
        <v>0</v>
      </c>
    </row>
    <row r="45" spans="1:10" x14ac:dyDescent="0.25">
      <c r="A45">
        <f>DataTable[[#This Row],[Tm.]]</f>
        <v>0</v>
      </c>
      <c r="B45">
        <f>DataTable[[#This Row],[Match Nr.]]</f>
        <v>0</v>
      </c>
      <c r="C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">
        <f>DataTable[[#This Row],[Successful Lo. G. S]]*2+DataTable[[#This Row],[Successful Hi. G. S.]]*10</f>
        <v>0</v>
      </c>
      <c r="H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">
        <f>IF(DataTable[[#This Row],[E. Game Compl.]]="Nothing",0,IF(DataTable[[#This Row],[E. Game Compl.]]="Challenging the Tower",5,IF(DataTable[[#This Row],[E. Game Compl.]]="Scaling the Tower",15,)))</f>
        <v>0</v>
      </c>
      <c r="J45">
        <f>Table2[[#This Row],[AUTO Pts]]+Table2[[#This Row],[Shooting Pts.]]+Table2[[#This Row],[Def. Points]]+Table2[[#This Row],[E. Game Pts.]]</f>
        <v>0</v>
      </c>
    </row>
    <row r="46" spans="1:10" x14ac:dyDescent="0.25">
      <c r="A46">
        <f>DataTable[[#This Row],[Tm.]]</f>
        <v>0</v>
      </c>
      <c r="B46">
        <f>DataTable[[#This Row],[Match Nr.]]</f>
        <v>0</v>
      </c>
      <c r="C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">
        <f>DataTable[[#This Row],[Successful Lo. G. S]]*2+DataTable[[#This Row],[Successful Hi. G. S.]]*10</f>
        <v>0</v>
      </c>
      <c r="H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">
        <f>IF(DataTable[[#This Row],[E. Game Compl.]]="Nothing",0,IF(DataTable[[#This Row],[E. Game Compl.]]="Challenging the Tower",5,IF(DataTable[[#This Row],[E. Game Compl.]]="Scaling the Tower",15,)))</f>
        <v>0</v>
      </c>
      <c r="J46">
        <f>Table2[[#This Row],[AUTO Pts]]+Table2[[#This Row],[Shooting Pts.]]+Table2[[#This Row],[Def. Points]]+Table2[[#This Row],[E. Game Pts.]]</f>
        <v>0</v>
      </c>
    </row>
    <row r="47" spans="1:10" x14ac:dyDescent="0.25">
      <c r="A47">
        <f>DataTable[[#This Row],[Tm.]]</f>
        <v>0</v>
      </c>
      <c r="B47">
        <f>DataTable[[#This Row],[Match Nr.]]</f>
        <v>0</v>
      </c>
      <c r="C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">
        <f>DataTable[[#This Row],[Successful Lo. G. S]]*2+DataTable[[#This Row],[Successful Hi. G. S.]]*10</f>
        <v>0</v>
      </c>
      <c r="H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">
        <f>IF(DataTable[[#This Row],[E. Game Compl.]]="Nothing",0,IF(DataTable[[#This Row],[E. Game Compl.]]="Challenging the Tower",5,IF(DataTable[[#This Row],[E. Game Compl.]]="Scaling the Tower",15,)))</f>
        <v>0</v>
      </c>
      <c r="J47">
        <f>Table2[[#This Row],[AUTO Pts]]+Table2[[#This Row],[Shooting Pts.]]+Table2[[#This Row],[Def. Points]]+Table2[[#This Row],[E. Game Pts.]]</f>
        <v>0</v>
      </c>
    </row>
    <row r="48" spans="1:10" x14ac:dyDescent="0.25">
      <c r="A48">
        <f>DataTable[[#This Row],[Tm.]]</f>
        <v>0</v>
      </c>
      <c r="B48">
        <f>DataTable[[#This Row],[Match Nr.]]</f>
        <v>0</v>
      </c>
      <c r="C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">
        <f>DataTable[[#This Row],[Successful Lo. G. S]]*2+DataTable[[#This Row],[Successful Hi. G. S.]]*10</f>
        <v>0</v>
      </c>
      <c r="H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">
        <f>IF(DataTable[[#This Row],[E. Game Compl.]]="Nothing",0,IF(DataTable[[#This Row],[E. Game Compl.]]="Challenging the Tower",5,IF(DataTable[[#This Row],[E. Game Compl.]]="Scaling the Tower",15,)))</f>
        <v>0</v>
      </c>
      <c r="J48">
        <f>Table2[[#This Row],[AUTO Pts]]+Table2[[#This Row],[Shooting Pts.]]+Table2[[#This Row],[Def. Points]]+Table2[[#This Row],[E. Game Pts.]]</f>
        <v>0</v>
      </c>
    </row>
    <row r="49" spans="1:10" x14ac:dyDescent="0.25">
      <c r="A49">
        <f>DataTable[[#This Row],[Tm.]]</f>
        <v>0</v>
      </c>
      <c r="B49">
        <f>DataTable[[#This Row],[Match Nr.]]</f>
        <v>0</v>
      </c>
      <c r="C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">
        <f>DataTable[[#This Row],[Successful Lo. G. S]]*2+DataTable[[#This Row],[Successful Hi. G. S.]]*10</f>
        <v>0</v>
      </c>
      <c r="H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">
        <f>IF(DataTable[[#This Row],[E. Game Compl.]]="Nothing",0,IF(DataTable[[#This Row],[E. Game Compl.]]="Challenging the Tower",5,IF(DataTable[[#This Row],[E. Game Compl.]]="Scaling the Tower",15,)))</f>
        <v>0</v>
      </c>
      <c r="J49">
        <f>Table2[[#This Row],[AUTO Pts]]+Table2[[#This Row],[Shooting Pts.]]+Table2[[#This Row],[Def. Points]]+Table2[[#This Row],[E. Game Pts.]]</f>
        <v>0</v>
      </c>
    </row>
    <row r="50" spans="1:10" x14ac:dyDescent="0.25">
      <c r="A50">
        <f>DataTable[[#This Row],[Tm.]]</f>
        <v>0</v>
      </c>
      <c r="B50">
        <f>DataTable[[#This Row],[Match Nr.]]</f>
        <v>0</v>
      </c>
      <c r="C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">
        <f>DataTable[[#This Row],[Successful Lo. G. S]]*2+DataTable[[#This Row],[Successful Hi. G. S.]]*10</f>
        <v>0</v>
      </c>
      <c r="H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">
        <f>IF(DataTable[[#This Row],[E. Game Compl.]]="Nothing",0,IF(DataTable[[#This Row],[E. Game Compl.]]="Challenging the Tower",5,IF(DataTable[[#This Row],[E. Game Compl.]]="Scaling the Tower",15,)))</f>
        <v>0</v>
      </c>
      <c r="J50">
        <f>Table2[[#This Row],[AUTO Pts]]+Table2[[#This Row],[Shooting Pts.]]+Table2[[#This Row],[Def. Points]]+Table2[[#This Row],[E. Game Pts.]]</f>
        <v>0</v>
      </c>
    </row>
    <row r="51" spans="1:10" x14ac:dyDescent="0.25">
      <c r="A51">
        <f>DataTable[[#This Row],[Tm.]]</f>
        <v>0</v>
      </c>
      <c r="B51">
        <f>DataTable[[#This Row],[Match Nr.]]</f>
        <v>0</v>
      </c>
      <c r="C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">
        <f>DataTable[[#This Row],[Successful Lo. G. S]]*2+DataTable[[#This Row],[Successful Hi. G. S.]]*10</f>
        <v>0</v>
      </c>
      <c r="H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">
        <f>IF(DataTable[[#This Row],[E. Game Compl.]]="Nothing",0,IF(DataTable[[#This Row],[E. Game Compl.]]="Challenging the Tower",5,IF(DataTable[[#This Row],[E. Game Compl.]]="Scaling the Tower",15,)))</f>
        <v>0</v>
      </c>
      <c r="J51">
        <f>Table2[[#This Row],[AUTO Pts]]+Table2[[#This Row],[Shooting Pts.]]+Table2[[#This Row],[Def. Points]]+Table2[[#This Row],[E. Game Pts.]]</f>
        <v>0</v>
      </c>
    </row>
    <row r="52" spans="1:10" x14ac:dyDescent="0.25">
      <c r="A52">
        <f>DataTable[[#This Row],[Tm.]]</f>
        <v>0</v>
      </c>
      <c r="B52">
        <f>DataTable[[#This Row],[Match Nr.]]</f>
        <v>0</v>
      </c>
      <c r="C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">
        <f>DataTable[[#This Row],[Successful Lo. G. S]]*2+DataTable[[#This Row],[Successful Hi. G. S.]]*10</f>
        <v>0</v>
      </c>
      <c r="H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">
        <f>IF(DataTable[[#This Row],[E. Game Compl.]]="Nothing",0,IF(DataTable[[#This Row],[E. Game Compl.]]="Challenging the Tower",5,IF(DataTable[[#This Row],[E. Game Compl.]]="Scaling the Tower",15,)))</f>
        <v>0</v>
      </c>
      <c r="J52">
        <f>Table2[[#This Row],[AUTO Pts]]+Table2[[#This Row],[Shooting Pts.]]+Table2[[#This Row],[Def. Points]]+Table2[[#This Row],[E. Game Pts.]]</f>
        <v>0</v>
      </c>
    </row>
    <row r="53" spans="1:10" x14ac:dyDescent="0.25">
      <c r="A53">
        <f>DataTable[[#This Row],[Tm.]]</f>
        <v>0</v>
      </c>
      <c r="B53">
        <f>DataTable[[#This Row],[Match Nr.]]</f>
        <v>0</v>
      </c>
      <c r="C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">
        <f>DataTable[[#This Row],[Successful Lo. G. S]]*2+DataTable[[#This Row],[Successful Hi. G. S.]]*10</f>
        <v>0</v>
      </c>
      <c r="H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">
        <f>IF(DataTable[[#This Row],[E. Game Compl.]]="Nothing",0,IF(DataTable[[#This Row],[E. Game Compl.]]="Challenging the Tower",5,IF(DataTable[[#This Row],[E. Game Compl.]]="Scaling the Tower",15,)))</f>
        <v>0</v>
      </c>
      <c r="J53">
        <f>Table2[[#This Row],[AUTO Pts]]+Table2[[#This Row],[Shooting Pts.]]+Table2[[#This Row],[Def. Points]]+Table2[[#This Row],[E. Game Pts.]]</f>
        <v>0</v>
      </c>
    </row>
    <row r="54" spans="1:10" x14ac:dyDescent="0.25">
      <c r="A54">
        <f>DataTable[[#This Row],[Tm.]]</f>
        <v>0</v>
      </c>
      <c r="B54">
        <f>DataTable[[#This Row],[Match Nr.]]</f>
        <v>0</v>
      </c>
      <c r="C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">
        <f>DataTable[[#This Row],[Successful Lo. G. S]]*2+DataTable[[#This Row],[Successful Hi. G. S.]]*10</f>
        <v>0</v>
      </c>
      <c r="H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">
        <f>IF(DataTable[[#This Row],[E. Game Compl.]]="Nothing",0,IF(DataTable[[#This Row],[E. Game Compl.]]="Challenging the Tower",5,IF(DataTable[[#This Row],[E. Game Compl.]]="Scaling the Tower",15,)))</f>
        <v>0</v>
      </c>
      <c r="J54">
        <f>Table2[[#This Row],[AUTO Pts]]+Table2[[#This Row],[Shooting Pts.]]+Table2[[#This Row],[Def. Points]]+Table2[[#This Row],[E. Game Pts.]]</f>
        <v>0</v>
      </c>
    </row>
    <row r="55" spans="1:10" x14ac:dyDescent="0.25">
      <c r="A55">
        <f>DataTable[[#This Row],[Tm.]]</f>
        <v>0</v>
      </c>
      <c r="B55">
        <f>DataTable[[#This Row],[Match Nr.]]</f>
        <v>0</v>
      </c>
      <c r="C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">
        <f>DataTable[[#This Row],[Successful Lo. G. S]]*2+DataTable[[#This Row],[Successful Hi. G. S.]]*10</f>
        <v>0</v>
      </c>
      <c r="H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">
        <f>IF(DataTable[[#This Row],[E. Game Compl.]]="Nothing",0,IF(DataTable[[#This Row],[E. Game Compl.]]="Challenging the Tower",5,IF(DataTable[[#This Row],[E. Game Compl.]]="Scaling the Tower",15,)))</f>
        <v>0</v>
      </c>
      <c r="J55">
        <f>Table2[[#This Row],[AUTO Pts]]+Table2[[#This Row],[Shooting Pts.]]+Table2[[#This Row],[Def. Points]]+Table2[[#This Row],[E. Game Pts.]]</f>
        <v>0</v>
      </c>
    </row>
    <row r="56" spans="1:10" x14ac:dyDescent="0.25">
      <c r="A56">
        <f>DataTable[[#This Row],[Tm.]]</f>
        <v>0</v>
      </c>
      <c r="B56">
        <f>DataTable[[#This Row],[Match Nr.]]</f>
        <v>0</v>
      </c>
      <c r="C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">
        <f>DataTable[[#This Row],[Successful Lo. G. S]]*2+DataTable[[#This Row],[Successful Hi. G. S.]]*10</f>
        <v>0</v>
      </c>
      <c r="H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">
        <f>IF(DataTable[[#This Row],[E. Game Compl.]]="Nothing",0,IF(DataTable[[#This Row],[E. Game Compl.]]="Challenging the Tower",5,IF(DataTable[[#This Row],[E. Game Compl.]]="Scaling the Tower",15,)))</f>
        <v>0</v>
      </c>
      <c r="J56">
        <f>Table2[[#This Row],[AUTO Pts]]+Table2[[#This Row],[Shooting Pts.]]+Table2[[#This Row],[Def. Points]]+Table2[[#This Row],[E. Game Pts.]]</f>
        <v>0</v>
      </c>
    </row>
    <row r="57" spans="1:10" x14ac:dyDescent="0.25">
      <c r="A57">
        <f>DataTable[[#This Row],[Tm.]]</f>
        <v>0</v>
      </c>
      <c r="B57">
        <f>DataTable[[#This Row],[Match Nr.]]</f>
        <v>0</v>
      </c>
      <c r="C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">
        <f>DataTable[[#This Row],[Successful Lo. G. S]]*2+DataTable[[#This Row],[Successful Hi. G. S.]]*10</f>
        <v>0</v>
      </c>
      <c r="H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">
        <f>IF(DataTable[[#This Row],[E. Game Compl.]]="Nothing",0,IF(DataTable[[#This Row],[E. Game Compl.]]="Challenging the Tower",5,IF(DataTable[[#This Row],[E. Game Compl.]]="Scaling the Tower",15,)))</f>
        <v>0</v>
      </c>
      <c r="J57">
        <f>Table2[[#This Row],[AUTO Pts]]+Table2[[#This Row],[Shooting Pts.]]+Table2[[#This Row],[Def. Points]]+Table2[[#This Row],[E. Game Pts.]]</f>
        <v>0</v>
      </c>
    </row>
    <row r="58" spans="1:10" x14ac:dyDescent="0.25">
      <c r="A58">
        <f>DataTable[[#This Row],[Tm.]]</f>
        <v>0</v>
      </c>
      <c r="B58">
        <f>DataTable[[#This Row],[Match Nr.]]</f>
        <v>0</v>
      </c>
      <c r="C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">
        <f>DataTable[[#This Row],[Successful Lo. G. S]]*2+DataTable[[#This Row],[Successful Hi. G. S.]]*10</f>
        <v>0</v>
      </c>
      <c r="H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">
        <f>IF(DataTable[[#This Row],[E. Game Compl.]]="Nothing",0,IF(DataTable[[#This Row],[E. Game Compl.]]="Challenging the Tower",5,IF(DataTable[[#This Row],[E. Game Compl.]]="Scaling the Tower",15,)))</f>
        <v>0</v>
      </c>
      <c r="J58">
        <f>Table2[[#This Row],[AUTO Pts]]+Table2[[#This Row],[Shooting Pts.]]+Table2[[#This Row],[Def. Points]]+Table2[[#This Row],[E. Game Pts.]]</f>
        <v>0</v>
      </c>
    </row>
    <row r="59" spans="1:10" x14ac:dyDescent="0.25">
      <c r="A59">
        <f>DataTable[[#This Row],[Tm.]]</f>
        <v>0</v>
      </c>
      <c r="B59">
        <f>DataTable[[#This Row],[Match Nr.]]</f>
        <v>0</v>
      </c>
      <c r="C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">
        <f>DataTable[[#This Row],[Successful Lo. G. S]]*2+DataTable[[#This Row],[Successful Hi. G. S.]]*10</f>
        <v>0</v>
      </c>
      <c r="H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">
        <f>IF(DataTable[[#This Row],[E. Game Compl.]]="Nothing",0,IF(DataTable[[#This Row],[E. Game Compl.]]="Challenging the Tower",5,IF(DataTable[[#This Row],[E. Game Compl.]]="Scaling the Tower",15,)))</f>
        <v>0</v>
      </c>
      <c r="J59">
        <f>Table2[[#This Row],[AUTO Pts]]+Table2[[#This Row],[Shooting Pts.]]+Table2[[#This Row],[Def. Points]]+Table2[[#This Row],[E. Game Pts.]]</f>
        <v>0</v>
      </c>
    </row>
    <row r="60" spans="1:10" x14ac:dyDescent="0.25">
      <c r="A60">
        <f>DataTable[[#This Row],[Tm.]]</f>
        <v>0</v>
      </c>
      <c r="B60">
        <f>DataTable[[#This Row],[Match Nr.]]</f>
        <v>0</v>
      </c>
      <c r="C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">
        <f>DataTable[[#This Row],[Successful Lo. G. S]]*2+DataTable[[#This Row],[Successful Hi. G. S.]]*10</f>
        <v>0</v>
      </c>
      <c r="H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">
        <f>IF(DataTable[[#This Row],[E. Game Compl.]]="Nothing",0,IF(DataTable[[#This Row],[E. Game Compl.]]="Challenging the Tower",5,IF(DataTable[[#This Row],[E. Game Compl.]]="Scaling the Tower",15,)))</f>
        <v>0</v>
      </c>
      <c r="J60">
        <f>Table2[[#This Row],[AUTO Pts]]+Table2[[#This Row],[Shooting Pts.]]+Table2[[#This Row],[Def. Points]]+Table2[[#This Row],[E. Game Pts.]]</f>
        <v>0</v>
      </c>
    </row>
    <row r="61" spans="1:10" x14ac:dyDescent="0.25">
      <c r="A61">
        <f>DataTable[[#This Row],[Tm.]]</f>
        <v>0</v>
      </c>
      <c r="B61">
        <f>DataTable[[#This Row],[Match Nr.]]</f>
        <v>0</v>
      </c>
      <c r="C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">
        <f>DataTable[[#This Row],[Successful Lo. G. S]]*2+DataTable[[#This Row],[Successful Hi. G. S.]]*10</f>
        <v>0</v>
      </c>
      <c r="H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">
        <f>IF(DataTable[[#This Row],[E. Game Compl.]]="Nothing",0,IF(DataTable[[#This Row],[E. Game Compl.]]="Challenging the Tower",5,IF(DataTable[[#This Row],[E. Game Compl.]]="Scaling the Tower",15,)))</f>
        <v>0</v>
      </c>
      <c r="J61">
        <f>Table2[[#This Row],[AUTO Pts]]+Table2[[#This Row],[Shooting Pts.]]+Table2[[#This Row],[Def. Points]]+Table2[[#This Row],[E. Game Pts.]]</f>
        <v>0</v>
      </c>
    </row>
    <row r="62" spans="1:10" x14ac:dyDescent="0.25">
      <c r="A62">
        <f>DataTable[[#This Row],[Tm.]]</f>
        <v>0</v>
      </c>
      <c r="B62">
        <f>DataTable[[#This Row],[Match Nr.]]</f>
        <v>0</v>
      </c>
      <c r="C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">
        <f>DataTable[[#This Row],[Successful Lo. G. S]]*2+DataTable[[#This Row],[Successful Hi. G. S.]]*10</f>
        <v>0</v>
      </c>
      <c r="H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">
        <f>IF(DataTable[[#This Row],[E. Game Compl.]]="Nothing",0,IF(DataTable[[#This Row],[E. Game Compl.]]="Challenging the Tower",5,IF(DataTable[[#This Row],[E. Game Compl.]]="Scaling the Tower",15,)))</f>
        <v>0</v>
      </c>
      <c r="J62">
        <f>Table2[[#This Row],[AUTO Pts]]+Table2[[#This Row],[Shooting Pts.]]+Table2[[#This Row],[Def. Points]]+Table2[[#This Row],[E. Game Pts.]]</f>
        <v>0</v>
      </c>
    </row>
    <row r="63" spans="1:10" x14ac:dyDescent="0.25">
      <c r="A63">
        <f>DataTable[[#This Row],[Tm.]]</f>
        <v>0</v>
      </c>
      <c r="B63">
        <f>DataTable[[#This Row],[Match Nr.]]</f>
        <v>0</v>
      </c>
      <c r="C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">
        <f>DataTable[[#This Row],[Successful Lo. G. S]]*2+DataTable[[#This Row],[Successful Hi. G. S.]]*10</f>
        <v>0</v>
      </c>
      <c r="H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">
        <f>IF(DataTable[[#This Row],[E. Game Compl.]]="Nothing",0,IF(DataTable[[#This Row],[E. Game Compl.]]="Challenging the Tower",5,IF(DataTable[[#This Row],[E. Game Compl.]]="Scaling the Tower",15,)))</f>
        <v>0</v>
      </c>
      <c r="J63">
        <f>Table2[[#This Row],[AUTO Pts]]+Table2[[#This Row],[Shooting Pts.]]+Table2[[#This Row],[Def. Points]]+Table2[[#This Row],[E. Game Pts.]]</f>
        <v>0</v>
      </c>
    </row>
    <row r="64" spans="1:10" x14ac:dyDescent="0.25">
      <c r="A64">
        <f>DataTable[[#This Row],[Tm.]]</f>
        <v>0</v>
      </c>
      <c r="B64">
        <f>DataTable[[#This Row],[Match Nr.]]</f>
        <v>0</v>
      </c>
      <c r="C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">
        <f>DataTable[[#This Row],[Successful Lo. G. S]]*2+DataTable[[#This Row],[Successful Hi. G. S.]]*10</f>
        <v>0</v>
      </c>
      <c r="H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">
        <f>IF(DataTable[[#This Row],[E. Game Compl.]]="Nothing",0,IF(DataTable[[#This Row],[E. Game Compl.]]="Challenging the Tower",5,IF(DataTable[[#This Row],[E. Game Compl.]]="Scaling the Tower",15,)))</f>
        <v>0</v>
      </c>
      <c r="J64">
        <f>Table2[[#This Row],[AUTO Pts]]+Table2[[#This Row],[Shooting Pts.]]+Table2[[#This Row],[Def. Points]]+Table2[[#This Row],[E. Game Pts.]]</f>
        <v>0</v>
      </c>
    </row>
    <row r="65" spans="1:10" x14ac:dyDescent="0.25">
      <c r="A65">
        <f>DataTable[[#This Row],[Tm.]]</f>
        <v>0</v>
      </c>
      <c r="B65">
        <f>DataTable[[#This Row],[Match Nr.]]</f>
        <v>0</v>
      </c>
      <c r="C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">
        <f>DataTable[[#This Row],[Successful Lo. G. S]]*2+DataTable[[#This Row],[Successful Hi. G. S.]]*10</f>
        <v>0</v>
      </c>
      <c r="H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">
        <f>IF(DataTable[[#This Row],[E. Game Compl.]]="Nothing",0,IF(DataTable[[#This Row],[E. Game Compl.]]="Challenging the Tower",5,IF(DataTable[[#This Row],[E. Game Compl.]]="Scaling the Tower",15,)))</f>
        <v>0</v>
      </c>
      <c r="J65">
        <f>Table2[[#This Row],[AUTO Pts]]+Table2[[#This Row],[Shooting Pts.]]+Table2[[#This Row],[Def. Points]]+Table2[[#This Row],[E. Game Pts.]]</f>
        <v>0</v>
      </c>
    </row>
    <row r="66" spans="1:10" x14ac:dyDescent="0.25">
      <c r="A66">
        <f>DataTable[[#This Row],[Tm.]]</f>
        <v>0</v>
      </c>
      <c r="B66">
        <f>DataTable[[#This Row],[Match Nr.]]</f>
        <v>0</v>
      </c>
      <c r="C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">
        <f>DataTable[[#This Row],[Successful Lo. G. S]]*2+DataTable[[#This Row],[Successful Hi. G. S.]]*10</f>
        <v>0</v>
      </c>
      <c r="H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">
        <f>IF(DataTable[[#This Row],[E. Game Compl.]]="Nothing",0,IF(DataTable[[#This Row],[E. Game Compl.]]="Challenging the Tower",5,IF(DataTable[[#This Row],[E. Game Compl.]]="Scaling the Tower",15,)))</f>
        <v>0</v>
      </c>
      <c r="J66">
        <f>Table2[[#This Row],[AUTO Pts]]+Table2[[#This Row],[Shooting Pts.]]+Table2[[#This Row],[Def. Points]]+Table2[[#This Row],[E. Game Pts.]]</f>
        <v>0</v>
      </c>
    </row>
    <row r="67" spans="1:10" x14ac:dyDescent="0.25">
      <c r="A67">
        <f>DataTable[[#This Row],[Tm.]]</f>
        <v>0</v>
      </c>
      <c r="B67">
        <f>DataTable[[#This Row],[Match Nr.]]</f>
        <v>0</v>
      </c>
      <c r="C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">
        <f>DataTable[[#This Row],[Successful Lo. G. S]]*2+DataTable[[#This Row],[Successful Hi. G. S.]]*10</f>
        <v>0</v>
      </c>
      <c r="H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">
        <f>IF(DataTable[[#This Row],[E. Game Compl.]]="Nothing",0,IF(DataTable[[#This Row],[E. Game Compl.]]="Challenging the Tower",5,IF(DataTable[[#This Row],[E. Game Compl.]]="Scaling the Tower",15,)))</f>
        <v>0</v>
      </c>
      <c r="J67">
        <f>Table2[[#This Row],[AUTO Pts]]+Table2[[#This Row],[Shooting Pts.]]+Table2[[#This Row],[Def. Points]]+Table2[[#This Row],[E. Game Pts.]]</f>
        <v>0</v>
      </c>
    </row>
    <row r="68" spans="1:10" x14ac:dyDescent="0.25">
      <c r="A68">
        <f>DataTable[[#This Row],[Tm.]]</f>
        <v>0</v>
      </c>
      <c r="B68">
        <f>DataTable[[#This Row],[Match Nr.]]</f>
        <v>0</v>
      </c>
      <c r="C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">
        <f>DataTable[[#This Row],[Successful Lo. G. S]]*2+DataTable[[#This Row],[Successful Hi. G. S.]]*10</f>
        <v>0</v>
      </c>
      <c r="H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">
        <f>IF(DataTable[[#This Row],[E. Game Compl.]]="Nothing",0,IF(DataTable[[#This Row],[E. Game Compl.]]="Challenging the Tower",5,IF(DataTable[[#This Row],[E. Game Compl.]]="Scaling the Tower",15,)))</f>
        <v>0</v>
      </c>
      <c r="J68">
        <f>Table2[[#This Row],[AUTO Pts]]+Table2[[#This Row],[Shooting Pts.]]+Table2[[#This Row],[Def. Points]]+Table2[[#This Row],[E. Game Pts.]]</f>
        <v>0</v>
      </c>
    </row>
    <row r="69" spans="1:10" x14ac:dyDescent="0.25">
      <c r="A69">
        <f>DataTable[[#This Row],[Tm.]]</f>
        <v>0</v>
      </c>
      <c r="B69">
        <f>DataTable[[#This Row],[Match Nr.]]</f>
        <v>0</v>
      </c>
      <c r="C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">
        <f>DataTable[[#This Row],[Successful Lo. G. S]]*2+DataTable[[#This Row],[Successful Hi. G. S.]]*10</f>
        <v>0</v>
      </c>
      <c r="H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">
        <f>IF(DataTable[[#This Row],[E. Game Compl.]]="Nothing",0,IF(DataTable[[#This Row],[E. Game Compl.]]="Challenging the Tower",5,IF(DataTable[[#This Row],[E. Game Compl.]]="Scaling the Tower",15,)))</f>
        <v>0</v>
      </c>
      <c r="J69">
        <f>Table2[[#This Row],[AUTO Pts]]+Table2[[#This Row],[Shooting Pts.]]+Table2[[#This Row],[Def. Points]]+Table2[[#This Row],[E. Game Pts.]]</f>
        <v>0</v>
      </c>
    </row>
    <row r="70" spans="1:10" x14ac:dyDescent="0.25">
      <c r="A70">
        <f>DataTable[[#This Row],[Tm.]]</f>
        <v>0</v>
      </c>
      <c r="B70">
        <f>DataTable[[#This Row],[Match Nr.]]</f>
        <v>0</v>
      </c>
      <c r="C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">
        <f>DataTable[[#This Row],[Successful Lo. G. S]]*2+DataTable[[#This Row],[Successful Hi. G. S.]]*10</f>
        <v>0</v>
      </c>
      <c r="H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">
        <f>IF(DataTable[[#This Row],[E. Game Compl.]]="Nothing",0,IF(DataTable[[#This Row],[E. Game Compl.]]="Challenging the Tower",5,IF(DataTable[[#This Row],[E. Game Compl.]]="Scaling the Tower",15,)))</f>
        <v>0</v>
      </c>
      <c r="J70">
        <f>Table2[[#This Row],[AUTO Pts]]+Table2[[#This Row],[Shooting Pts.]]+Table2[[#This Row],[Def. Points]]+Table2[[#This Row],[E. Game Pts.]]</f>
        <v>0</v>
      </c>
    </row>
    <row r="71" spans="1:10" x14ac:dyDescent="0.25">
      <c r="A71">
        <f>DataTable[[#This Row],[Tm.]]</f>
        <v>0</v>
      </c>
      <c r="B71">
        <f>DataTable[[#This Row],[Match Nr.]]</f>
        <v>0</v>
      </c>
      <c r="C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">
        <f>DataTable[[#This Row],[Successful Lo. G. S]]*2+DataTable[[#This Row],[Successful Hi. G. S.]]*10</f>
        <v>0</v>
      </c>
      <c r="H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">
        <f>IF(DataTable[[#This Row],[E. Game Compl.]]="Nothing",0,IF(DataTable[[#This Row],[E. Game Compl.]]="Challenging the Tower",5,IF(DataTable[[#This Row],[E. Game Compl.]]="Scaling the Tower",15,)))</f>
        <v>0</v>
      </c>
      <c r="J71">
        <f>Table2[[#This Row],[AUTO Pts]]+Table2[[#This Row],[Shooting Pts.]]+Table2[[#This Row],[Def. Points]]+Table2[[#This Row],[E. Game Pts.]]</f>
        <v>0</v>
      </c>
    </row>
    <row r="72" spans="1:10" x14ac:dyDescent="0.25">
      <c r="A72">
        <f>DataTable[[#This Row],[Tm.]]</f>
        <v>0</v>
      </c>
      <c r="B72">
        <f>DataTable[[#This Row],[Match Nr.]]</f>
        <v>0</v>
      </c>
      <c r="C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">
        <f>DataTable[[#This Row],[Successful Lo. G. S]]*2+DataTable[[#This Row],[Successful Hi. G. S.]]*10</f>
        <v>0</v>
      </c>
      <c r="H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">
        <f>IF(DataTable[[#This Row],[E. Game Compl.]]="Nothing",0,IF(DataTable[[#This Row],[E. Game Compl.]]="Challenging the Tower",5,IF(DataTable[[#This Row],[E. Game Compl.]]="Scaling the Tower",15,)))</f>
        <v>0</v>
      </c>
      <c r="J72">
        <f>Table2[[#This Row],[AUTO Pts]]+Table2[[#This Row],[Shooting Pts.]]+Table2[[#This Row],[Def. Points]]+Table2[[#This Row],[E. Game Pts.]]</f>
        <v>0</v>
      </c>
    </row>
    <row r="73" spans="1:10" x14ac:dyDescent="0.25">
      <c r="A73">
        <f>DataTable[[#This Row],[Tm.]]</f>
        <v>0</v>
      </c>
      <c r="B73">
        <f>DataTable[[#This Row],[Match Nr.]]</f>
        <v>0</v>
      </c>
      <c r="C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">
        <f>DataTable[[#This Row],[Successful Lo. G. S]]*2+DataTable[[#This Row],[Successful Hi. G. S.]]*10</f>
        <v>0</v>
      </c>
      <c r="H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">
        <f>IF(DataTable[[#This Row],[E. Game Compl.]]="Nothing",0,IF(DataTable[[#This Row],[E. Game Compl.]]="Challenging the Tower",5,IF(DataTable[[#This Row],[E. Game Compl.]]="Scaling the Tower",15,)))</f>
        <v>0</v>
      </c>
      <c r="J73">
        <f>Table2[[#This Row],[AUTO Pts]]+Table2[[#This Row],[Shooting Pts.]]+Table2[[#This Row],[Def. Points]]+Table2[[#This Row],[E. Game Pts.]]</f>
        <v>0</v>
      </c>
    </row>
    <row r="74" spans="1:10" x14ac:dyDescent="0.25">
      <c r="A74">
        <f>DataTable[[#This Row],[Tm.]]</f>
        <v>0</v>
      </c>
      <c r="B74">
        <f>DataTable[[#This Row],[Match Nr.]]</f>
        <v>0</v>
      </c>
      <c r="C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">
        <f>DataTable[[#This Row],[Successful Lo. G. S]]*2+DataTable[[#This Row],[Successful Hi. G. S.]]*10</f>
        <v>0</v>
      </c>
      <c r="H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">
        <f>IF(DataTable[[#This Row],[E. Game Compl.]]="Nothing",0,IF(DataTable[[#This Row],[E. Game Compl.]]="Challenging the Tower",5,IF(DataTable[[#This Row],[E. Game Compl.]]="Scaling the Tower",15,)))</f>
        <v>0</v>
      </c>
      <c r="J74">
        <f>Table2[[#This Row],[AUTO Pts]]+Table2[[#This Row],[Shooting Pts.]]+Table2[[#This Row],[Def. Points]]+Table2[[#This Row],[E. Game Pts.]]</f>
        <v>0</v>
      </c>
    </row>
    <row r="75" spans="1:10" x14ac:dyDescent="0.25">
      <c r="A75">
        <f>DataTable[[#This Row],[Tm.]]</f>
        <v>0</v>
      </c>
      <c r="B75">
        <f>DataTable[[#This Row],[Match Nr.]]</f>
        <v>0</v>
      </c>
      <c r="C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">
        <f>DataTable[[#This Row],[Successful Lo. G. S]]*2+DataTable[[#This Row],[Successful Hi. G. S.]]*10</f>
        <v>0</v>
      </c>
      <c r="H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">
        <f>IF(DataTable[[#This Row],[E. Game Compl.]]="Nothing",0,IF(DataTable[[#This Row],[E. Game Compl.]]="Challenging the Tower",5,IF(DataTable[[#This Row],[E. Game Compl.]]="Scaling the Tower",15,)))</f>
        <v>0</v>
      </c>
      <c r="J75">
        <f>Table2[[#This Row],[AUTO Pts]]+Table2[[#This Row],[Shooting Pts.]]+Table2[[#This Row],[Def. Points]]+Table2[[#This Row],[E. Game Pts.]]</f>
        <v>0</v>
      </c>
    </row>
    <row r="76" spans="1:10" x14ac:dyDescent="0.25">
      <c r="A76">
        <f>DataTable[[#This Row],[Tm.]]</f>
        <v>0</v>
      </c>
      <c r="B76">
        <f>DataTable[[#This Row],[Match Nr.]]</f>
        <v>0</v>
      </c>
      <c r="C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">
        <f>DataTable[[#This Row],[Successful Lo. G. S]]*2+DataTable[[#This Row],[Successful Hi. G. S.]]*10</f>
        <v>0</v>
      </c>
      <c r="H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">
        <f>IF(DataTable[[#This Row],[E. Game Compl.]]="Nothing",0,IF(DataTable[[#This Row],[E. Game Compl.]]="Challenging the Tower",5,IF(DataTable[[#This Row],[E. Game Compl.]]="Scaling the Tower",15,)))</f>
        <v>0</v>
      </c>
      <c r="J76">
        <f>Table2[[#This Row],[AUTO Pts]]+Table2[[#This Row],[Shooting Pts.]]+Table2[[#This Row],[Def. Points]]+Table2[[#This Row],[E. Game Pts.]]</f>
        <v>0</v>
      </c>
    </row>
    <row r="77" spans="1:10" x14ac:dyDescent="0.25">
      <c r="A77">
        <f>DataTable[[#This Row],[Tm.]]</f>
        <v>0</v>
      </c>
      <c r="B77">
        <f>DataTable[[#This Row],[Match Nr.]]</f>
        <v>0</v>
      </c>
      <c r="C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">
        <f>DataTable[[#This Row],[Successful Lo. G. S]]*2+DataTable[[#This Row],[Successful Hi. G. S.]]*10</f>
        <v>0</v>
      </c>
      <c r="H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">
        <f>IF(DataTable[[#This Row],[E. Game Compl.]]="Nothing",0,IF(DataTable[[#This Row],[E. Game Compl.]]="Challenging the Tower",5,IF(DataTable[[#This Row],[E. Game Compl.]]="Scaling the Tower",15,)))</f>
        <v>0</v>
      </c>
      <c r="J77">
        <f>Table2[[#This Row],[AUTO Pts]]+Table2[[#This Row],[Shooting Pts.]]+Table2[[#This Row],[Def. Points]]+Table2[[#This Row],[E. Game Pts.]]</f>
        <v>0</v>
      </c>
    </row>
    <row r="78" spans="1:10" x14ac:dyDescent="0.25">
      <c r="A78">
        <f>DataTable[[#This Row],[Tm.]]</f>
        <v>0</v>
      </c>
      <c r="B78">
        <f>DataTable[[#This Row],[Match Nr.]]</f>
        <v>0</v>
      </c>
      <c r="C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">
        <f>DataTable[[#This Row],[Successful Lo. G. S]]*2+DataTable[[#This Row],[Successful Hi. G. S.]]*10</f>
        <v>0</v>
      </c>
      <c r="H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">
        <f>IF(DataTable[[#This Row],[E. Game Compl.]]="Nothing",0,IF(DataTable[[#This Row],[E. Game Compl.]]="Challenging the Tower",5,IF(DataTable[[#This Row],[E. Game Compl.]]="Scaling the Tower",15,)))</f>
        <v>0</v>
      </c>
      <c r="J78">
        <f>Table2[[#This Row],[AUTO Pts]]+Table2[[#This Row],[Shooting Pts.]]+Table2[[#This Row],[Def. Points]]+Table2[[#This Row],[E. Game Pts.]]</f>
        <v>0</v>
      </c>
    </row>
    <row r="79" spans="1:10" x14ac:dyDescent="0.25">
      <c r="A79">
        <f>DataTable[[#This Row],[Tm.]]</f>
        <v>0</v>
      </c>
      <c r="B79">
        <f>DataTable[[#This Row],[Match Nr.]]</f>
        <v>0</v>
      </c>
      <c r="C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">
        <f>DataTable[[#This Row],[Successful Lo. G. S]]*2+DataTable[[#This Row],[Successful Hi. G. S.]]*10</f>
        <v>0</v>
      </c>
      <c r="H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">
        <f>IF(DataTable[[#This Row],[E. Game Compl.]]="Nothing",0,IF(DataTable[[#This Row],[E. Game Compl.]]="Challenging the Tower",5,IF(DataTable[[#This Row],[E. Game Compl.]]="Scaling the Tower",15,)))</f>
        <v>0</v>
      </c>
      <c r="J79">
        <f>Table2[[#This Row],[AUTO Pts]]+Table2[[#This Row],[Shooting Pts.]]+Table2[[#This Row],[Def. Points]]+Table2[[#This Row],[E. Game Pts.]]</f>
        <v>0</v>
      </c>
    </row>
    <row r="80" spans="1:10" x14ac:dyDescent="0.25">
      <c r="A80">
        <f>DataTable[[#This Row],[Tm.]]</f>
        <v>0</v>
      </c>
      <c r="B80">
        <f>DataTable[[#This Row],[Match Nr.]]</f>
        <v>0</v>
      </c>
      <c r="C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">
        <f>DataTable[[#This Row],[Successful Lo. G. S]]*2+DataTable[[#This Row],[Successful Hi. G. S.]]*10</f>
        <v>0</v>
      </c>
      <c r="H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">
        <f>IF(DataTable[[#This Row],[E. Game Compl.]]="Nothing",0,IF(DataTable[[#This Row],[E. Game Compl.]]="Challenging the Tower",5,IF(DataTable[[#This Row],[E. Game Compl.]]="Scaling the Tower",15,)))</f>
        <v>0</v>
      </c>
      <c r="J80">
        <f>Table2[[#This Row],[AUTO Pts]]+Table2[[#This Row],[Shooting Pts.]]+Table2[[#This Row],[Def. Points]]+Table2[[#This Row],[E. Game Pts.]]</f>
        <v>0</v>
      </c>
    </row>
    <row r="81" spans="1:10" x14ac:dyDescent="0.25">
      <c r="A81">
        <f>DataTable[[#This Row],[Tm.]]</f>
        <v>0</v>
      </c>
      <c r="B81">
        <f>DataTable[[#This Row],[Match Nr.]]</f>
        <v>0</v>
      </c>
      <c r="C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">
        <f>DataTable[[#This Row],[Successful Lo. G. S]]*2+DataTable[[#This Row],[Successful Hi. G. S.]]*10</f>
        <v>0</v>
      </c>
      <c r="H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">
        <f>IF(DataTable[[#This Row],[E. Game Compl.]]="Nothing",0,IF(DataTable[[#This Row],[E. Game Compl.]]="Challenging the Tower",5,IF(DataTable[[#This Row],[E. Game Compl.]]="Scaling the Tower",15,)))</f>
        <v>0</v>
      </c>
      <c r="J81">
        <f>Table2[[#This Row],[AUTO Pts]]+Table2[[#This Row],[Shooting Pts.]]+Table2[[#This Row],[Def. Points]]+Table2[[#This Row],[E. Game Pts.]]</f>
        <v>0</v>
      </c>
    </row>
    <row r="82" spans="1:10" x14ac:dyDescent="0.25">
      <c r="A82">
        <f>DataTable[[#This Row],[Tm.]]</f>
        <v>0</v>
      </c>
      <c r="B82">
        <f>DataTable[[#This Row],[Match Nr.]]</f>
        <v>0</v>
      </c>
      <c r="C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">
        <f>DataTable[[#This Row],[Successful Lo. G. S]]*2+DataTable[[#This Row],[Successful Hi. G. S.]]*10</f>
        <v>0</v>
      </c>
      <c r="H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">
        <f>IF(DataTable[[#This Row],[E. Game Compl.]]="Nothing",0,IF(DataTable[[#This Row],[E. Game Compl.]]="Challenging the Tower",5,IF(DataTable[[#This Row],[E. Game Compl.]]="Scaling the Tower",15,)))</f>
        <v>0</v>
      </c>
      <c r="J82">
        <f>Table2[[#This Row],[AUTO Pts]]+Table2[[#This Row],[Shooting Pts.]]+Table2[[#This Row],[Def. Points]]+Table2[[#This Row],[E. Game Pts.]]</f>
        <v>0</v>
      </c>
    </row>
    <row r="83" spans="1:10" x14ac:dyDescent="0.25">
      <c r="A83">
        <f>DataTable[[#This Row],[Tm.]]</f>
        <v>0</v>
      </c>
      <c r="B83">
        <f>DataTable[[#This Row],[Match Nr.]]</f>
        <v>0</v>
      </c>
      <c r="C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">
        <f>DataTable[[#This Row],[Successful Lo. G. S]]*2+DataTable[[#This Row],[Successful Hi. G. S.]]*10</f>
        <v>0</v>
      </c>
      <c r="H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">
        <f>IF(DataTable[[#This Row],[E. Game Compl.]]="Nothing",0,IF(DataTable[[#This Row],[E. Game Compl.]]="Challenging the Tower",5,IF(DataTable[[#This Row],[E. Game Compl.]]="Scaling the Tower",15,)))</f>
        <v>0</v>
      </c>
      <c r="J83">
        <f>Table2[[#This Row],[AUTO Pts]]+Table2[[#This Row],[Shooting Pts.]]+Table2[[#This Row],[Def. Points]]+Table2[[#This Row],[E. Game Pts.]]</f>
        <v>0</v>
      </c>
    </row>
    <row r="84" spans="1:10" x14ac:dyDescent="0.25">
      <c r="A84">
        <f>DataTable[[#This Row],[Tm.]]</f>
        <v>0</v>
      </c>
      <c r="B84">
        <f>DataTable[[#This Row],[Match Nr.]]</f>
        <v>0</v>
      </c>
      <c r="C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">
        <f>DataTable[[#This Row],[Successful Lo. G. S]]*2+DataTable[[#This Row],[Successful Hi. G. S.]]*10</f>
        <v>0</v>
      </c>
      <c r="H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">
        <f>IF(DataTable[[#This Row],[E. Game Compl.]]="Nothing",0,IF(DataTable[[#This Row],[E. Game Compl.]]="Challenging the Tower",5,IF(DataTable[[#This Row],[E. Game Compl.]]="Scaling the Tower",15,)))</f>
        <v>0</v>
      </c>
      <c r="J84">
        <f>Table2[[#This Row],[AUTO Pts]]+Table2[[#This Row],[Shooting Pts.]]+Table2[[#This Row],[Def. Points]]+Table2[[#This Row],[E. Game Pts.]]</f>
        <v>0</v>
      </c>
    </row>
    <row r="85" spans="1:10" x14ac:dyDescent="0.25">
      <c r="A85">
        <f>DataTable[[#This Row],[Tm.]]</f>
        <v>0</v>
      </c>
      <c r="B85">
        <f>DataTable[[#This Row],[Match Nr.]]</f>
        <v>0</v>
      </c>
      <c r="C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">
        <f>DataTable[[#This Row],[Successful Lo. G. S]]*2+DataTable[[#This Row],[Successful Hi. G. S.]]*10</f>
        <v>0</v>
      </c>
      <c r="H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">
        <f>IF(DataTable[[#This Row],[E. Game Compl.]]="Nothing",0,IF(DataTable[[#This Row],[E. Game Compl.]]="Challenging the Tower",5,IF(DataTable[[#This Row],[E. Game Compl.]]="Scaling the Tower",15,)))</f>
        <v>0</v>
      </c>
      <c r="J85">
        <f>Table2[[#This Row],[AUTO Pts]]+Table2[[#This Row],[Shooting Pts.]]+Table2[[#This Row],[Def. Points]]+Table2[[#This Row],[E. Game Pts.]]</f>
        <v>0</v>
      </c>
    </row>
    <row r="86" spans="1:10" x14ac:dyDescent="0.25">
      <c r="A86">
        <f>DataTable[[#This Row],[Tm.]]</f>
        <v>0</v>
      </c>
      <c r="B86">
        <f>DataTable[[#This Row],[Match Nr.]]</f>
        <v>0</v>
      </c>
      <c r="C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">
        <f>DataTable[[#This Row],[Successful Lo. G. S]]*2+DataTable[[#This Row],[Successful Hi. G. S.]]*10</f>
        <v>0</v>
      </c>
      <c r="H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">
        <f>IF(DataTable[[#This Row],[E. Game Compl.]]="Nothing",0,IF(DataTable[[#This Row],[E. Game Compl.]]="Challenging the Tower",5,IF(DataTable[[#This Row],[E. Game Compl.]]="Scaling the Tower",15,)))</f>
        <v>0</v>
      </c>
      <c r="J86">
        <f>Table2[[#This Row],[AUTO Pts]]+Table2[[#This Row],[Shooting Pts.]]+Table2[[#This Row],[Def. Points]]+Table2[[#This Row],[E. Game Pts.]]</f>
        <v>0</v>
      </c>
    </row>
    <row r="87" spans="1:10" x14ac:dyDescent="0.25">
      <c r="A87">
        <f>DataTable[[#This Row],[Tm.]]</f>
        <v>0</v>
      </c>
      <c r="B87">
        <f>DataTable[[#This Row],[Match Nr.]]</f>
        <v>0</v>
      </c>
      <c r="C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">
        <f>DataTable[[#This Row],[Successful Lo. G. S]]*2+DataTable[[#This Row],[Successful Hi. G. S.]]*10</f>
        <v>0</v>
      </c>
      <c r="H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">
        <f>IF(DataTable[[#This Row],[E. Game Compl.]]="Nothing",0,IF(DataTable[[#This Row],[E. Game Compl.]]="Challenging the Tower",5,IF(DataTable[[#This Row],[E. Game Compl.]]="Scaling the Tower",15,)))</f>
        <v>0</v>
      </c>
      <c r="J87">
        <f>Table2[[#This Row],[AUTO Pts]]+Table2[[#This Row],[Shooting Pts.]]+Table2[[#This Row],[Def. Points]]+Table2[[#This Row],[E. Game Pts.]]</f>
        <v>0</v>
      </c>
    </row>
    <row r="88" spans="1:10" x14ac:dyDescent="0.25">
      <c r="A88">
        <f>DataTable[[#This Row],[Tm.]]</f>
        <v>0</v>
      </c>
      <c r="B88">
        <f>DataTable[[#This Row],[Match Nr.]]</f>
        <v>0</v>
      </c>
      <c r="C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">
        <f>DataTable[[#This Row],[Successful Lo. G. S]]*2+DataTable[[#This Row],[Successful Hi. G. S.]]*10</f>
        <v>0</v>
      </c>
      <c r="H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">
        <f>IF(DataTable[[#This Row],[E. Game Compl.]]="Nothing",0,IF(DataTable[[#This Row],[E. Game Compl.]]="Challenging the Tower",5,IF(DataTable[[#This Row],[E. Game Compl.]]="Scaling the Tower",15,)))</f>
        <v>0</v>
      </c>
      <c r="J88">
        <f>Table2[[#This Row],[AUTO Pts]]+Table2[[#This Row],[Shooting Pts.]]+Table2[[#This Row],[Def. Points]]+Table2[[#This Row],[E. Game Pts.]]</f>
        <v>0</v>
      </c>
    </row>
    <row r="89" spans="1:10" x14ac:dyDescent="0.25">
      <c r="A89">
        <f>DataTable[[#This Row],[Tm.]]</f>
        <v>0</v>
      </c>
      <c r="B89">
        <f>DataTable[[#This Row],[Match Nr.]]</f>
        <v>0</v>
      </c>
      <c r="C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">
        <f>DataTable[[#This Row],[Successful Lo. G. S]]*2+DataTable[[#This Row],[Successful Hi. G. S.]]*10</f>
        <v>0</v>
      </c>
      <c r="H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">
        <f>IF(DataTable[[#This Row],[E. Game Compl.]]="Nothing",0,IF(DataTable[[#This Row],[E. Game Compl.]]="Challenging the Tower",5,IF(DataTable[[#This Row],[E. Game Compl.]]="Scaling the Tower",15,)))</f>
        <v>0</v>
      </c>
      <c r="J89">
        <f>Table2[[#This Row],[AUTO Pts]]+Table2[[#This Row],[Shooting Pts.]]+Table2[[#This Row],[Def. Points]]+Table2[[#This Row],[E. Game Pts.]]</f>
        <v>0</v>
      </c>
    </row>
    <row r="90" spans="1:10" x14ac:dyDescent="0.25">
      <c r="A90">
        <f>DataTable[[#This Row],[Tm.]]</f>
        <v>0</v>
      </c>
      <c r="B90">
        <f>DataTable[[#This Row],[Match Nr.]]</f>
        <v>0</v>
      </c>
      <c r="C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">
        <f>DataTable[[#This Row],[Successful Lo. G. S]]*2+DataTable[[#This Row],[Successful Hi. G. S.]]*10</f>
        <v>0</v>
      </c>
      <c r="H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">
        <f>IF(DataTable[[#This Row],[E. Game Compl.]]="Nothing",0,IF(DataTable[[#This Row],[E. Game Compl.]]="Challenging the Tower",5,IF(DataTable[[#This Row],[E. Game Compl.]]="Scaling the Tower",15,)))</f>
        <v>0</v>
      </c>
      <c r="J90">
        <f>Table2[[#This Row],[AUTO Pts]]+Table2[[#This Row],[Shooting Pts.]]+Table2[[#This Row],[Def. Points]]+Table2[[#This Row],[E. Game Pts.]]</f>
        <v>0</v>
      </c>
    </row>
    <row r="91" spans="1:10" x14ac:dyDescent="0.25">
      <c r="A91">
        <f>DataTable[[#This Row],[Tm.]]</f>
        <v>0</v>
      </c>
      <c r="B91">
        <f>DataTable[[#This Row],[Match Nr.]]</f>
        <v>0</v>
      </c>
      <c r="C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">
        <f>DataTable[[#This Row],[Successful Lo. G. S]]*2+DataTable[[#This Row],[Successful Hi. G. S.]]*10</f>
        <v>0</v>
      </c>
      <c r="H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">
        <f>IF(DataTable[[#This Row],[E. Game Compl.]]="Nothing",0,IF(DataTable[[#This Row],[E. Game Compl.]]="Challenging the Tower",5,IF(DataTable[[#This Row],[E. Game Compl.]]="Scaling the Tower",15,)))</f>
        <v>0</v>
      </c>
      <c r="J91">
        <f>Table2[[#This Row],[AUTO Pts]]+Table2[[#This Row],[Shooting Pts.]]+Table2[[#This Row],[Def. Points]]+Table2[[#This Row],[E. Game Pts.]]</f>
        <v>0</v>
      </c>
    </row>
    <row r="92" spans="1:10" x14ac:dyDescent="0.25">
      <c r="A92">
        <f>DataTable[[#This Row],[Tm.]]</f>
        <v>0</v>
      </c>
      <c r="B92">
        <f>DataTable[[#This Row],[Match Nr.]]</f>
        <v>0</v>
      </c>
      <c r="C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">
        <f>DataTable[[#This Row],[Successful Lo. G. S]]*2+DataTable[[#This Row],[Successful Hi. G. S.]]*10</f>
        <v>0</v>
      </c>
      <c r="H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">
        <f>IF(DataTable[[#This Row],[E. Game Compl.]]="Nothing",0,IF(DataTable[[#This Row],[E. Game Compl.]]="Challenging the Tower",5,IF(DataTable[[#This Row],[E. Game Compl.]]="Scaling the Tower",15,)))</f>
        <v>0</v>
      </c>
      <c r="J92">
        <f>Table2[[#This Row],[AUTO Pts]]+Table2[[#This Row],[Shooting Pts.]]+Table2[[#This Row],[Def. Points]]+Table2[[#This Row],[E. Game Pts.]]</f>
        <v>0</v>
      </c>
    </row>
    <row r="93" spans="1:10" x14ac:dyDescent="0.25">
      <c r="A93">
        <f>DataTable[[#This Row],[Tm.]]</f>
        <v>0</v>
      </c>
      <c r="B93">
        <f>DataTable[[#This Row],[Match Nr.]]</f>
        <v>0</v>
      </c>
      <c r="C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">
        <f>DataTable[[#This Row],[Successful Lo. G. S]]*2+DataTable[[#This Row],[Successful Hi. G. S.]]*10</f>
        <v>0</v>
      </c>
      <c r="H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">
        <f>IF(DataTable[[#This Row],[E. Game Compl.]]="Nothing",0,IF(DataTable[[#This Row],[E. Game Compl.]]="Challenging the Tower",5,IF(DataTable[[#This Row],[E. Game Compl.]]="Scaling the Tower",15,)))</f>
        <v>0</v>
      </c>
      <c r="J93">
        <f>Table2[[#This Row],[AUTO Pts]]+Table2[[#This Row],[Shooting Pts.]]+Table2[[#This Row],[Def. Points]]+Table2[[#This Row],[E. Game Pts.]]</f>
        <v>0</v>
      </c>
    </row>
    <row r="94" spans="1:10" x14ac:dyDescent="0.25">
      <c r="A94">
        <f>DataTable[[#This Row],[Tm.]]</f>
        <v>0</v>
      </c>
      <c r="B94">
        <f>DataTable[[#This Row],[Match Nr.]]</f>
        <v>0</v>
      </c>
      <c r="C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">
        <f>DataTable[[#This Row],[Successful Lo. G. S]]*2+DataTable[[#This Row],[Successful Hi. G. S.]]*10</f>
        <v>0</v>
      </c>
      <c r="H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">
        <f>IF(DataTable[[#This Row],[E. Game Compl.]]="Nothing",0,IF(DataTable[[#This Row],[E. Game Compl.]]="Challenging the Tower",5,IF(DataTable[[#This Row],[E. Game Compl.]]="Scaling the Tower",15,)))</f>
        <v>0</v>
      </c>
      <c r="J94">
        <f>Table2[[#This Row],[AUTO Pts]]+Table2[[#This Row],[Shooting Pts.]]+Table2[[#This Row],[Def. Points]]+Table2[[#This Row],[E. Game Pts.]]</f>
        <v>0</v>
      </c>
    </row>
    <row r="95" spans="1:10" x14ac:dyDescent="0.25">
      <c r="A95">
        <f>DataTable[[#This Row],[Tm.]]</f>
        <v>0</v>
      </c>
      <c r="B95">
        <f>DataTable[[#This Row],[Match Nr.]]</f>
        <v>0</v>
      </c>
      <c r="C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">
        <f>DataTable[[#This Row],[Successful Lo. G. S]]*2+DataTable[[#This Row],[Successful Hi. G. S.]]*10</f>
        <v>0</v>
      </c>
      <c r="H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">
        <f>IF(DataTable[[#This Row],[E. Game Compl.]]="Nothing",0,IF(DataTable[[#This Row],[E. Game Compl.]]="Challenging the Tower",5,IF(DataTable[[#This Row],[E. Game Compl.]]="Scaling the Tower",15,)))</f>
        <v>0</v>
      </c>
      <c r="J95">
        <f>Table2[[#This Row],[AUTO Pts]]+Table2[[#This Row],[Shooting Pts.]]+Table2[[#This Row],[Def. Points]]+Table2[[#This Row],[E. Game Pts.]]</f>
        <v>0</v>
      </c>
    </row>
    <row r="96" spans="1:10" x14ac:dyDescent="0.25">
      <c r="A96">
        <f>DataTable[[#This Row],[Tm.]]</f>
        <v>0</v>
      </c>
      <c r="B96">
        <f>DataTable[[#This Row],[Match Nr.]]</f>
        <v>0</v>
      </c>
      <c r="C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">
        <f>DataTable[[#This Row],[Successful Lo. G. S]]*2+DataTable[[#This Row],[Successful Hi. G. S.]]*10</f>
        <v>0</v>
      </c>
      <c r="H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">
        <f>IF(DataTable[[#This Row],[E. Game Compl.]]="Nothing",0,IF(DataTable[[#This Row],[E. Game Compl.]]="Challenging the Tower",5,IF(DataTable[[#This Row],[E. Game Compl.]]="Scaling the Tower",15,)))</f>
        <v>0</v>
      </c>
      <c r="J96">
        <f>Table2[[#This Row],[AUTO Pts]]+Table2[[#This Row],[Shooting Pts.]]+Table2[[#This Row],[Def. Points]]+Table2[[#This Row],[E. Game Pts.]]</f>
        <v>0</v>
      </c>
    </row>
    <row r="97" spans="1:10" x14ac:dyDescent="0.25">
      <c r="A97">
        <f>DataTable[[#This Row],[Tm.]]</f>
        <v>0</v>
      </c>
      <c r="B97">
        <f>DataTable[[#This Row],[Match Nr.]]</f>
        <v>0</v>
      </c>
      <c r="C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">
        <f>DataTable[[#This Row],[Successful Lo. G. S]]*2+DataTable[[#This Row],[Successful Hi. G. S.]]*10</f>
        <v>0</v>
      </c>
      <c r="H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">
        <f>IF(DataTable[[#This Row],[E. Game Compl.]]="Nothing",0,IF(DataTable[[#This Row],[E. Game Compl.]]="Challenging the Tower",5,IF(DataTable[[#This Row],[E. Game Compl.]]="Scaling the Tower",15,)))</f>
        <v>0</v>
      </c>
      <c r="J97">
        <f>Table2[[#This Row],[AUTO Pts]]+Table2[[#This Row],[Shooting Pts.]]+Table2[[#This Row],[Def. Points]]+Table2[[#This Row],[E. Game Pts.]]</f>
        <v>0</v>
      </c>
    </row>
    <row r="98" spans="1:10" x14ac:dyDescent="0.25">
      <c r="A98">
        <f>DataTable[[#This Row],[Tm.]]</f>
        <v>0</v>
      </c>
      <c r="B98">
        <f>DataTable[[#This Row],[Match Nr.]]</f>
        <v>0</v>
      </c>
      <c r="C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">
        <f>DataTable[[#This Row],[Successful Lo. G. S]]*2+DataTable[[#This Row],[Successful Hi. G. S.]]*10</f>
        <v>0</v>
      </c>
      <c r="H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">
        <f>IF(DataTable[[#This Row],[E. Game Compl.]]="Nothing",0,IF(DataTable[[#This Row],[E. Game Compl.]]="Challenging the Tower",5,IF(DataTable[[#This Row],[E. Game Compl.]]="Scaling the Tower",15,)))</f>
        <v>0</v>
      </c>
      <c r="J98">
        <f>Table2[[#This Row],[AUTO Pts]]+Table2[[#This Row],[Shooting Pts.]]+Table2[[#This Row],[Def. Points]]+Table2[[#This Row],[E. Game Pts.]]</f>
        <v>0</v>
      </c>
    </row>
    <row r="99" spans="1:10" x14ac:dyDescent="0.25">
      <c r="A99">
        <f>DataTable[[#This Row],[Tm.]]</f>
        <v>0</v>
      </c>
      <c r="B99">
        <f>DataTable[[#This Row],[Match Nr.]]</f>
        <v>0</v>
      </c>
      <c r="C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">
        <f>DataTable[[#This Row],[Successful Lo. G. S]]*2+DataTable[[#This Row],[Successful Hi. G. S.]]*10</f>
        <v>0</v>
      </c>
      <c r="H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">
        <f>IF(DataTable[[#This Row],[E. Game Compl.]]="Nothing",0,IF(DataTable[[#This Row],[E. Game Compl.]]="Challenging the Tower",5,IF(DataTable[[#This Row],[E. Game Compl.]]="Scaling the Tower",15,)))</f>
        <v>0</v>
      </c>
      <c r="J99">
        <f>Table2[[#This Row],[AUTO Pts]]+Table2[[#This Row],[Shooting Pts.]]+Table2[[#This Row],[Def. Points]]+Table2[[#This Row],[E. Game Pts.]]</f>
        <v>0</v>
      </c>
    </row>
    <row r="100" spans="1:10" x14ac:dyDescent="0.25">
      <c r="A100">
        <f>DataTable[[#This Row],[Tm.]]</f>
        <v>0</v>
      </c>
      <c r="B100">
        <f>DataTable[[#This Row],[Match Nr.]]</f>
        <v>0</v>
      </c>
      <c r="C1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">
        <f>DataTable[[#This Row],[Successful Lo. G. S]]*2+DataTable[[#This Row],[Successful Hi. G. S.]]*10</f>
        <v>0</v>
      </c>
      <c r="H1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">
        <f>IF(DataTable[[#This Row],[E. Game Compl.]]="Nothing",0,IF(DataTable[[#This Row],[E. Game Compl.]]="Challenging the Tower",5,IF(DataTable[[#This Row],[E. Game Compl.]]="Scaling the Tower",15,)))</f>
        <v>0</v>
      </c>
      <c r="J100">
        <f>Table2[[#This Row],[AUTO Pts]]+Table2[[#This Row],[Shooting Pts.]]+Table2[[#This Row],[Def. Points]]+Table2[[#This Row],[E. Game Pts.]]</f>
        <v>0</v>
      </c>
    </row>
    <row r="101" spans="1:10" x14ac:dyDescent="0.25">
      <c r="A101">
        <f>DataTable[[#This Row],[Tm.]]</f>
        <v>0</v>
      </c>
      <c r="B101">
        <f>DataTable[[#This Row],[Match Nr.]]</f>
        <v>0</v>
      </c>
      <c r="C1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1">
        <f>DataTable[[#This Row],[Successful Lo. G. S]]*2+DataTable[[#This Row],[Successful Hi. G. S.]]*10</f>
        <v>0</v>
      </c>
      <c r="H1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1">
        <f>IF(DataTable[[#This Row],[E. Game Compl.]]="Nothing",0,IF(DataTable[[#This Row],[E. Game Compl.]]="Challenging the Tower",5,IF(DataTable[[#This Row],[E. Game Compl.]]="Scaling the Tower",15,)))</f>
        <v>0</v>
      </c>
      <c r="J101">
        <f>Table2[[#This Row],[AUTO Pts]]+Table2[[#This Row],[Shooting Pts.]]+Table2[[#This Row],[Def. Points]]+Table2[[#This Row],[E. Game Pts.]]</f>
        <v>0</v>
      </c>
    </row>
    <row r="102" spans="1:10" x14ac:dyDescent="0.25">
      <c r="A102">
        <f>DataTable[[#This Row],[Tm.]]</f>
        <v>0</v>
      </c>
      <c r="B102">
        <f>DataTable[[#This Row],[Match Nr.]]</f>
        <v>0</v>
      </c>
      <c r="C1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2">
        <f>DataTable[[#This Row],[Successful Lo. G. S]]*2+DataTable[[#This Row],[Successful Hi. G. S.]]*10</f>
        <v>0</v>
      </c>
      <c r="H1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2">
        <f>IF(DataTable[[#This Row],[E. Game Compl.]]="Nothing",0,IF(DataTable[[#This Row],[E. Game Compl.]]="Challenging the Tower",5,IF(DataTable[[#This Row],[E. Game Compl.]]="Scaling the Tower",15,)))</f>
        <v>0</v>
      </c>
      <c r="J102">
        <f>Table2[[#This Row],[AUTO Pts]]+Table2[[#This Row],[Shooting Pts.]]+Table2[[#This Row],[Def. Points]]+Table2[[#This Row],[E. Game Pts.]]</f>
        <v>0</v>
      </c>
    </row>
    <row r="103" spans="1:10" x14ac:dyDescent="0.25">
      <c r="A103">
        <f>DataTable[[#This Row],[Tm.]]</f>
        <v>0</v>
      </c>
      <c r="B103">
        <f>DataTable[[#This Row],[Match Nr.]]</f>
        <v>0</v>
      </c>
      <c r="C1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3">
        <f>DataTable[[#This Row],[Successful Lo. G. S]]*2+DataTable[[#This Row],[Successful Hi. G. S.]]*10</f>
        <v>0</v>
      </c>
      <c r="H1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3">
        <f>IF(DataTable[[#This Row],[E. Game Compl.]]="Nothing",0,IF(DataTable[[#This Row],[E. Game Compl.]]="Challenging the Tower",5,IF(DataTable[[#This Row],[E. Game Compl.]]="Scaling the Tower",15,)))</f>
        <v>0</v>
      </c>
      <c r="J103">
        <f>Table2[[#This Row],[AUTO Pts]]+Table2[[#This Row],[Shooting Pts.]]+Table2[[#This Row],[Def. Points]]+Table2[[#This Row],[E. Game Pts.]]</f>
        <v>0</v>
      </c>
    </row>
    <row r="104" spans="1:10" x14ac:dyDescent="0.25">
      <c r="A104">
        <f>DataTable[[#This Row],[Tm.]]</f>
        <v>0</v>
      </c>
      <c r="B104">
        <f>DataTable[[#This Row],[Match Nr.]]</f>
        <v>0</v>
      </c>
      <c r="C1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4">
        <f>DataTable[[#This Row],[Successful Lo. G. S]]*2+DataTable[[#This Row],[Successful Hi. G. S.]]*10</f>
        <v>0</v>
      </c>
      <c r="H1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4">
        <f>IF(DataTable[[#This Row],[E. Game Compl.]]="Nothing",0,IF(DataTable[[#This Row],[E. Game Compl.]]="Challenging the Tower",5,IF(DataTable[[#This Row],[E. Game Compl.]]="Scaling the Tower",15,)))</f>
        <v>0</v>
      </c>
      <c r="J104">
        <f>Table2[[#This Row],[AUTO Pts]]+Table2[[#This Row],[Shooting Pts.]]+Table2[[#This Row],[Def. Points]]+Table2[[#This Row],[E. Game Pts.]]</f>
        <v>0</v>
      </c>
    </row>
    <row r="105" spans="1:10" x14ac:dyDescent="0.25">
      <c r="A105">
        <f>DataTable[[#This Row],[Tm.]]</f>
        <v>0</v>
      </c>
      <c r="B105">
        <f>DataTable[[#This Row],[Match Nr.]]</f>
        <v>0</v>
      </c>
      <c r="C1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5">
        <f>DataTable[[#This Row],[Successful Lo. G. S]]*2+DataTable[[#This Row],[Successful Hi. G. S.]]*10</f>
        <v>0</v>
      </c>
      <c r="H1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5">
        <f>IF(DataTable[[#This Row],[E. Game Compl.]]="Nothing",0,IF(DataTable[[#This Row],[E. Game Compl.]]="Challenging the Tower",5,IF(DataTable[[#This Row],[E. Game Compl.]]="Scaling the Tower",15,)))</f>
        <v>0</v>
      </c>
      <c r="J105">
        <f>Table2[[#This Row],[AUTO Pts]]+Table2[[#This Row],[Shooting Pts.]]+Table2[[#This Row],[Def. Points]]+Table2[[#This Row],[E. Game Pts.]]</f>
        <v>0</v>
      </c>
    </row>
    <row r="106" spans="1:10" x14ac:dyDescent="0.25">
      <c r="A106">
        <f>DataTable[[#This Row],[Tm.]]</f>
        <v>0</v>
      </c>
      <c r="B106">
        <f>DataTable[[#This Row],[Match Nr.]]</f>
        <v>0</v>
      </c>
      <c r="C1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6">
        <f>DataTable[[#This Row],[Successful Lo. G. S]]*2+DataTable[[#This Row],[Successful Hi. G. S.]]*10</f>
        <v>0</v>
      </c>
      <c r="H1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6">
        <f>IF(DataTable[[#This Row],[E. Game Compl.]]="Nothing",0,IF(DataTable[[#This Row],[E. Game Compl.]]="Challenging the Tower",5,IF(DataTable[[#This Row],[E. Game Compl.]]="Scaling the Tower",15,)))</f>
        <v>0</v>
      </c>
      <c r="J106">
        <f>Table2[[#This Row],[AUTO Pts]]+Table2[[#This Row],[Shooting Pts.]]+Table2[[#This Row],[Def. Points]]+Table2[[#This Row],[E. Game Pts.]]</f>
        <v>0</v>
      </c>
    </row>
    <row r="107" spans="1:10" x14ac:dyDescent="0.25">
      <c r="A107">
        <f>DataTable[[#This Row],[Tm.]]</f>
        <v>0</v>
      </c>
      <c r="B107">
        <f>DataTable[[#This Row],[Match Nr.]]</f>
        <v>0</v>
      </c>
      <c r="C1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7">
        <f>DataTable[[#This Row],[Successful Lo. G. S]]*2+DataTable[[#This Row],[Successful Hi. G. S.]]*10</f>
        <v>0</v>
      </c>
      <c r="H1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7">
        <f>IF(DataTable[[#This Row],[E. Game Compl.]]="Nothing",0,IF(DataTable[[#This Row],[E. Game Compl.]]="Challenging the Tower",5,IF(DataTable[[#This Row],[E. Game Compl.]]="Scaling the Tower",15,)))</f>
        <v>0</v>
      </c>
      <c r="J107">
        <f>Table2[[#This Row],[AUTO Pts]]+Table2[[#This Row],[Shooting Pts.]]+Table2[[#This Row],[Def. Points]]+Table2[[#This Row],[E. Game Pts.]]</f>
        <v>0</v>
      </c>
    </row>
    <row r="108" spans="1:10" x14ac:dyDescent="0.25">
      <c r="A108">
        <f>DataTable[[#This Row],[Tm.]]</f>
        <v>0</v>
      </c>
      <c r="B108">
        <f>DataTable[[#This Row],[Match Nr.]]</f>
        <v>0</v>
      </c>
      <c r="C1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8">
        <f>DataTable[[#This Row],[Successful Lo. G. S]]*2+DataTable[[#This Row],[Successful Hi. G. S.]]*10</f>
        <v>0</v>
      </c>
      <c r="H1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8">
        <f>IF(DataTable[[#This Row],[E. Game Compl.]]="Nothing",0,IF(DataTable[[#This Row],[E. Game Compl.]]="Challenging the Tower",5,IF(DataTable[[#This Row],[E. Game Compl.]]="Scaling the Tower",15,)))</f>
        <v>0</v>
      </c>
      <c r="J108">
        <f>Table2[[#This Row],[AUTO Pts]]+Table2[[#This Row],[Shooting Pts.]]+Table2[[#This Row],[Def. Points]]+Table2[[#This Row],[E. Game Pts.]]</f>
        <v>0</v>
      </c>
    </row>
    <row r="109" spans="1:10" x14ac:dyDescent="0.25">
      <c r="A109">
        <f>DataTable[[#This Row],[Tm.]]</f>
        <v>0</v>
      </c>
      <c r="B109">
        <f>DataTable[[#This Row],[Match Nr.]]</f>
        <v>0</v>
      </c>
      <c r="C1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9">
        <f>DataTable[[#This Row],[Successful Lo. G. S]]*2+DataTable[[#This Row],[Successful Hi. G. S.]]*10</f>
        <v>0</v>
      </c>
      <c r="H1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9">
        <f>IF(DataTable[[#This Row],[E. Game Compl.]]="Nothing",0,IF(DataTable[[#This Row],[E. Game Compl.]]="Challenging the Tower",5,IF(DataTable[[#This Row],[E. Game Compl.]]="Scaling the Tower",15,)))</f>
        <v>0</v>
      </c>
      <c r="J109">
        <f>Table2[[#This Row],[AUTO Pts]]+Table2[[#This Row],[Shooting Pts.]]+Table2[[#This Row],[Def. Points]]+Table2[[#This Row],[E. Game Pts.]]</f>
        <v>0</v>
      </c>
    </row>
    <row r="110" spans="1:10" x14ac:dyDescent="0.25">
      <c r="A110">
        <f>DataTable[[#This Row],[Tm.]]</f>
        <v>0</v>
      </c>
      <c r="B110">
        <f>DataTable[[#This Row],[Match Nr.]]</f>
        <v>0</v>
      </c>
      <c r="C1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0">
        <f>DataTable[[#This Row],[Successful Lo. G. S]]*2+DataTable[[#This Row],[Successful Hi. G. S.]]*10</f>
        <v>0</v>
      </c>
      <c r="H1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0">
        <f>IF(DataTable[[#This Row],[E. Game Compl.]]="Nothing",0,IF(DataTable[[#This Row],[E. Game Compl.]]="Challenging the Tower",5,IF(DataTable[[#This Row],[E. Game Compl.]]="Scaling the Tower",15,)))</f>
        <v>0</v>
      </c>
      <c r="J110">
        <f>Table2[[#This Row],[AUTO Pts]]+Table2[[#This Row],[Shooting Pts.]]+Table2[[#This Row],[Def. Points]]+Table2[[#This Row],[E. Game Pts.]]</f>
        <v>0</v>
      </c>
    </row>
    <row r="111" spans="1:10" x14ac:dyDescent="0.25">
      <c r="A111">
        <f>DataTable[[#This Row],[Tm.]]</f>
        <v>0</v>
      </c>
      <c r="B111">
        <f>DataTable[[#This Row],[Match Nr.]]</f>
        <v>0</v>
      </c>
      <c r="C1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1">
        <f>DataTable[[#This Row],[Successful Lo. G. S]]*2+DataTable[[#This Row],[Successful Hi. G. S.]]*10</f>
        <v>0</v>
      </c>
      <c r="H1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1">
        <f>IF(DataTable[[#This Row],[E. Game Compl.]]="Nothing",0,IF(DataTable[[#This Row],[E. Game Compl.]]="Challenging the Tower",5,IF(DataTable[[#This Row],[E. Game Compl.]]="Scaling the Tower",15,)))</f>
        <v>0</v>
      </c>
      <c r="J111">
        <f>Table2[[#This Row],[AUTO Pts]]+Table2[[#This Row],[Shooting Pts.]]+Table2[[#This Row],[Def. Points]]+Table2[[#This Row],[E. Game Pts.]]</f>
        <v>0</v>
      </c>
    </row>
    <row r="112" spans="1:10" x14ac:dyDescent="0.25">
      <c r="A112">
        <f>DataTable[[#This Row],[Tm.]]</f>
        <v>0</v>
      </c>
      <c r="B112">
        <f>DataTable[[#This Row],[Match Nr.]]</f>
        <v>0</v>
      </c>
      <c r="C1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2">
        <f>DataTable[[#This Row],[Successful Lo. G. S]]*2+DataTable[[#This Row],[Successful Hi. G. S.]]*10</f>
        <v>0</v>
      </c>
      <c r="H1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2">
        <f>IF(DataTable[[#This Row],[E. Game Compl.]]="Nothing",0,IF(DataTable[[#This Row],[E. Game Compl.]]="Challenging the Tower",5,IF(DataTable[[#This Row],[E. Game Compl.]]="Scaling the Tower",15,)))</f>
        <v>0</v>
      </c>
      <c r="J112">
        <f>Table2[[#This Row],[AUTO Pts]]+Table2[[#This Row],[Shooting Pts.]]+Table2[[#This Row],[Def. Points]]+Table2[[#This Row],[E. Game Pts.]]</f>
        <v>0</v>
      </c>
    </row>
    <row r="113" spans="1:10" x14ac:dyDescent="0.25">
      <c r="A113">
        <f>DataTable[[#This Row],[Tm.]]</f>
        <v>0</v>
      </c>
      <c r="B113">
        <f>DataTable[[#This Row],[Match Nr.]]</f>
        <v>0</v>
      </c>
      <c r="C1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3">
        <f>DataTable[[#This Row],[Successful Lo. G. S]]*2+DataTable[[#This Row],[Successful Hi. G. S.]]*10</f>
        <v>0</v>
      </c>
      <c r="H1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3">
        <f>IF(DataTable[[#This Row],[E. Game Compl.]]="Nothing",0,IF(DataTable[[#This Row],[E. Game Compl.]]="Challenging the Tower",5,IF(DataTable[[#This Row],[E. Game Compl.]]="Scaling the Tower",15,)))</f>
        <v>0</v>
      </c>
      <c r="J113">
        <f>Table2[[#This Row],[AUTO Pts]]+Table2[[#This Row],[Shooting Pts.]]+Table2[[#This Row],[Def. Points]]+Table2[[#This Row],[E. Game Pts.]]</f>
        <v>0</v>
      </c>
    </row>
    <row r="114" spans="1:10" x14ac:dyDescent="0.25">
      <c r="A114">
        <f>DataTable[[#This Row],[Tm.]]</f>
        <v>0</v>
      </c>
      <c r="B114">
        <f>DataTable[[#This Row],[Match Nr.]]</f>
        <v>0</v>
      </c>
      <c r="C1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4">
        <f>DataTable[[#This Row],[Successful Lo. G. S]]*2+DataTable[[#This Row],[Successful Hi. G. S.]]*10</f>
        <v>0</v>
      </c>
      <c r="H1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4">
        <f>IF(DataTable[[#This Row],[E. Game Compl.]]="Nothing",0,IF(DataTable[[#This Row],[E. Game Compl.]]="Challenging the Tower",5,IF(DataTable[[#This Row],[E. Game Compl.]]="Scaling the Tower",15,)))</f>
        <v>0</v>
      </c>
      <c r="J114">
        <f>Table2[[#This Row],[AUTO Pts]]+Table2[[#This Row],[Shooting Pts.]]+Table2[[#This Row],[Def. Points]]+Table2[[#This Row],[E. Game Pts.]]</f>
        <v>0</v>
      </c>
    </row>
    <row r="115" spans="1:10" x14ac:dyDescent="0.25">
      <c r="A115">
        <f>DataTable[[#This Row],[Tm.]]</f>
        <v>0</v>
      </c>
      <c r="B115">
        <f>DataTable[[#This Row],[Match Nr.]]</f>
        <v>0</v>
      </c>
      <c r="C1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5">
        <f>DataTable[[#This Row],[Successful Lo. G. S]]*2+DataTable[[#This Row],[Successful Hi. G. S.]]*10</f>
        <v>0</v>
      </c>
      <c r="H1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5">
        <f>IF(DataTable[[#This Row],[E. Game Compl.]]="Nothing",0,IF(DataTable[[#This Row],[E. Game Compl.]]="Challenging the Tower",5,IF(DataTable[[#This Row],[E. Game Compl.]]="Scaling the Tower",15,)))</f>
        <v>0</v>
      </c>
      <c r="J115">
        <f>Table2[[#This Row],[AUTO Pts]]+Table2[[#This Row],[Shooting Pts.]]+Table2[[#This Row],[Def. Points]]+Table2[[#This Row],[E. Game Pts.]]</f>
        <v>0</v>
      </c>
    </row>
    <row r="116" spans="1:10" x14ac:dyDescent="0.25">
      <c r="A116">
        <f>DataTable[[#This Row],[Tm.]]</f>
        <v>0</v>
      </c>
      <c r="B116">
        <f>DataTable[[#This Row],[Match Nr.]]</f>
        <v>0</v>
      </c>
      <c r="C1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6">
        <f>DataTable[[#This Row],[Successful Lo. G. S]]*2+DataTable[[#This Row],[Successful Hi. G. S.]]*10</f>
        <v>0</v>
      </c>
      <c r="H1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6">
        <f>IF(DataTable[[#This Row],[E. Game Compl.]]="Nothing",0,IF(DataTable[[#This Row],[E. Game Compl.]]="Challenging the Tower",5,IF(DataTable[[#This Row],[E. Game Compl.]]="Scaling the Tower",15,)))</f>
        <v>0</v>
      </c>
      <c r="J116">
        <f>Table2[[#This Row],[AUTO Pts]]+Table2[[#This Row],[Shooting Pts.]]+Table2[[#This Row],[Def. Points]]+Table2[[#This Row],[E. Game Pts.]]</f>
        <v>0</v>
      </c>
    </row>
    <row r="117" spans="1:10" x14ac:dyDescent="0.25">
      <c r="A117">
        <f>DataTable[[#This Row],[Tm.]]</f>
        <v>0</v>
      </c>
      <c r="B117">
        <f>DataTable[[#This Row],[Match Nr.]]</f>
        <v>0</v>
      </c>
      <c r="C1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7">
        <f>DataTable[[#This Row],[Successful Lo. G. S]]*2+DataTable[[#This Row],[Successful Hi. G. S.]]*10</f>
        <v>0</v>
      </c>
      <c r="H1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7">
        <f>IF(DataTable[[#This Row],[E. Game Compl.]]="Nothing",0,IF(DataTable[[#This Row],[E. Game Compl.]]="Challenging the Tower",5,IF(DataTable[[#This Row],[E. Game Compl.]]="Scaling the Tower",15,)))</f>
        <v>0</v>
      </c>
      <c r="J117">
        <f>Table2[[#This Row],[AUTO Pts]]+Table2[[#This Row],[Shooting Pts.]]+Table2[[#This Row],[Def. Points]]+Table2[[#This Row],[E. Game Pts.]]</f>
        <v>0</v>
      </c>
    </row>
    <row r="118" spans="1:10" x14ac:dyDescent="0.25">
      <c r="A118">
        <f>DataTable[[#This Row],[Tm.]]</f>
        <v>0</v>
      </c>
      <c r="B118">
        <f>DataTable[[#This Row],[Match Nr.]]</f>
        <v>0</v>
      </c>
      <c r="C1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8">
        <f>DataTable[[#This Row],[Successful Lo. G. S]]*2+DataTable[[#This Row],[Successful Hi. G. S.]]*10</f>
        <v>0</v>
      </c>
      <c r="H1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8">
        <f>IF(DataTable[[#This Row],[E. Game Compl.]]="Nothing",0,IF(DataTable[[#This Row],[E. Game Compl.]]="Challenging the Tower",5,IF(DataTable[[#This Row],[E. Game Compl.]]="Scaling the Tower",15,)))</f>
        <v>0</v>
      </c>
      <c r="J118">
        <f>Table2[[#This Row],[AUTO Pts]]+Table2[[#This Row],[Shooting Pts.]]+Table2[[#This Row],[Def. Points]]+Table2[[#This Row],[E. Game Pts.]]</f>
        <v>0</v>
      </c>
    </row>
    <row r="119" spans="1:10" x14ac:dyDescent="0.25">
      <c r="A119">
        <f>DataTable[[#This Row],[Tm.]]</f>
        <v>0</v>
      </c>
      <c r="B119">
        <f>DataTable[[#This Row],[Match Nr.]]</f>
        <v>0</v>
      </c>
      <c r="C1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9">
        <f>DataTable[[#This Row],[Successful Lo. G. S]]*2+DataTable[[#This Row],[Successful Hi. G. S.]]*10</f>
        <v>0</v>
      </c>
      <c r="H1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9">
        <f>IF(DataTable[[#This Row],[E. Game Compl.]]="Nothing",0,IF(DataTable[[#This Row],[E. Game Compl.]]="Challenging the Tower",5,IF(DataTable[[#This Row],[E. Game Compl.]]="Scaling the Tower",15,)))</f>
        <v>0</v>
      </c>
      <c r="J119">
        <f>Table2[[#This Row],[AUTO Pts]]+Table2[[#This Row],[Shooting Pts.]]+Table2[[#This Row],[Def. Points]]+Table2[[#This Row],[E. Game Pts.]]</f>
        <v>0</v>
      </c>
    </row>
    <row r="120" spans="1:10" x14ac:dyDescent="0.25">
      <c r="A120">
        <f>DataTable[[#This Row],[Tm.]]</f>
        <v>0</v>
      </c>
      <c r="B120">
        <f>DataTable[[#This Row],[Match Nr.]]</f>
        <v>0</v>
      </c>
      <c r="C1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0">
        <f>DataTable[[#This Row],[Successful Lo. G. S]]*2+DataTable[[#This Row],[Successful Hi. G. S.]]*10</f>
        <v>0</v>
      </c>
      <c r="H1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0">
        <f>IF(DataTable[[#This Row],[E. Game Compl.]]="Nothing",0,IF(DataTable[[#This Row],[E. Game Compl.]]="Challenging the Tower",5,IF(DataTable[[#This Row],[E. Game Compl.]]="Scaling the Tower",15,)))</f>
        <v>0</v>
      </c>
      <c r="J120">
        <f>Table2[[#This Row],[AUTO Pts]]+Table2[[#This Row],[Shooting Pts.]]+Table2[[#This Row],[Def. Points]]+Table2[[#This Row],[E. Game Pts.]]</f>
        <v>0</v>
      </c>
    </row>
    <row r="121" spans="1:10" x14ac:dyDescent="0.25">
      <c r="A121">
        <f>DataTable[[#This Row],[Tm.]]</f>
        <v>0</v>
      </c>
      <c r="B121">
        <f>DataTable[[#This Row],[Match Nr.]]</f>
        <v>0</v>
      </c>
      <c r="C1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1">
        <f>DataTable[[#This Row],[Successful Lo. G. S]]*2+DataTable[[#This Row],[Successful Hi. G. S.]]*10</f>
        <v>0</v>
      </c>
      <c r="H1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1">
        <f>IF(DataTable[[#This Row],[E. Game Compl.]]="Nothing",0,IF(DataTable[[#This Row],[E. Game Compl.]]="Challenging the Tower",5,IF(DataTable[[#This Row],[E. Game Compl.]]="Scaling the Tower",15,)))</f>
        <v>0</v>
      </c>
      <c r="J121">
        <f>Table2[[#This Row],[AUTO Pts]]+Table2[[#This Row],[Shooting Pts.]]+Table2[[#This Row],[Def. Points]]+Table2[[#This Row],[E. Game Pts.]]</f>
        <v>0</v>
      </c>
    </row>
    <row r="122" spans="1:10" x14ac:dyDescent="0.25">
      <c r="A122">
        <f>DataTable[[#This Row],[Tm.]]</f>
        <v>0</v>
      </c>
      <c r="B122">
        <f>DataTable[[#This Row],[Match Nr.]]</f>
        <v>0</v>
      </c>
      <c r="C1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2">
        <f>DataTable[[#This Row],[Successful Lo. G. S]]*2+DataTable[[#This Row],[Successful Hi. G. S.]]*10</f>
        <v>0</v>
      </c>
      <c r="H1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2">
        <f>IF(DataTable[[#This Row],[E. Game Compl.]]="Nothing",0,IF(DataTable[[#This Row],[E. Game Compl.]]="Challenging the Tower",5,IF(DataTable[[#This Row],[E. Game Compl.]]="Scaling the Tower",15,)))</f>
        <v>0</v>
      </c>
      <c r="J122">
        <f>Table2[[#This Row],[AUTO Pts]]+Table2[[#This Row],[Shooting Pts.]]+Table2[[#This Row],[Def. Points]]+Table2[[#This Row],[E. Game Pts.]]</f>
        <v>0</v>
      </c>
    </row>
    <row r="123" spans="1:10" x14ac:dyDescent="0.25">
      <c r="A123">
        <f>DataTable[[#This Row],[Tm.]]</f>
        <v>0</v>
      </c>
      <c r="B123">
        <f>DataTable[[#This Row],[Match Nr.]]</f>
        <v>0</v>
      </c>
      <c r="C1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3">
        <f>DataTable[[#This Row],[Successful Lo. G. S]]*2+DataTable[[#This Row],[Successful Hi. G. S.]]*10</f>
        <v>0</v>
      </c>
      <c r="H1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3">
        <f>IF(DataTable[[#This Row],[E. Game Compl.]]="Nothing",0,IF(DataTable[[#This Row],[E. Game Compl.]]="Challenging the Tower",5,IF(DataTable[[#This Row],[E. Game Compl.]]="Scaling the Tower",15,)))</f>
        <v>0</v>
      </c>
      <c r="J123">
        <f>Table2[[#This Row],[AUTO Pts]]+Table2[[#This Row],[Shooting Pts.]]+Table2[[#This Row],[Def. Points]]+Table2[[#This Row],[E. Game Pts.]]</f>
        <v>0</v>
      </c>
    </row>
    <row r="124" spans="1:10" x14ac:dyDescent="0.25">
      <c r="A124">
        <f>DataTable[[#This Row],[Tm.]]</f>
        <v>0</v>
      </c>
      <c r="B124">
        <f>DataTable[[#This Row],[Match Nr.]]</f>
        <v>0</v>
      </c>
      <c r="C1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4">
        <f>DataTable[[#This Row],[Successful Lo. G. S]]*2+DataTable[[#This Row],[Successful Hi. G. S.]]*10</f>
        <v>0</v>
      </c>
      <c r="H1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4">
        <f>IF(DataTable[[#This Row],[E. Game Compl.]]="Nothing",0,IF(DataTable[[#This Row],[E. Game Compl.]]="Challenging the Tower",5,IF(DataTable[[#This Row],[E. Game Compl.]]="Scaling the Tower",15,)))</f>
        <v>0</v>
      </c>
      <c r="J124">
        <f>Table2[[#This Row],[AUTO Pts]]+Table2[[#This Row],[Shooting Pts.]]+Table2[[#This Row],[Def. Points]]+Table2[[#This Row],[E. Game Pts.]]</f>
        <v>0</v>
      </c>
    </row>
    <row r="125" spans="1:10" x14ac:dyDescent="0.25">
      <c r="A125">
        <f>DataTable[[#This Row],[Tm.]]</f>
        <v>0</v>
      </c>
      <c r="B125">
        <f>DataTable[[#This Row],[Match Nr.]]</f>
        <v>0</v>
      </c>
      <c r="C1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5">
        <f>DataTable[[#This Row],[Successful Lo. G. S]]*2+DataTable[[#This Row],[Successful Hi. G. S.]]*10</f>
        <v>0</v>
      </c>
      <c r="H1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5">
        <f>IF(DataTable[[#This Row],[E. Game Compl.]]="Nothing",0,IF(DataTable[[#This Row],[E. Game Compl.]]="Challenging the Tower",5,IF(DataTable[[#This Row],[E. Game Compl.]]="Scaling the Tower",15,)))</f>
        <v>0</v>
      </c>
      <c r="J125">
        <f>Table2[[#This Row],[AUTO Pts]]+Table2[[#This Row],[Shooting Pts.]]+Table2[[#This Row],[Def. Points]]+Table2[[#This Row],[E. Game Pts.]]</f>
        <v>0</v>
      </c>
    </row>
    <row r="126" spans="1:10" x14ac:dyDescent="0.25">
      <c r="A126">
        <f>DataTable[[#This Row],[Tm.]]</f>
        <v>0</v>
      </c>
      <c r="B126">
        <f>DataTable[[#This Row],[Match Nr.]]</f>
        <v>0</v>
      </c>
      <c r="C1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6">
        <f>DataTable[[#This Row],[Successful Lo. G. S]]*2+DataTable[[#This Row],[Successful Hi. G. S.]]*10</f>
        <v>0</v>
      </c>
      <c r="H1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6">
        <f>IF(DataTable[[#This Row],[E. Game Compl.]]="Nothing",0,IF(DataTable[[#This Row],[E. Game Compl.]]="Challenging the Tower",5,IF(DataTable[[#This Row],[E. Game Compl.]]="Scaling the Tower",15,)))</f>
        <v>0</v>
      </c>
      <c r="J126">
        <f>Table2[[#This Row],[AUTO Pts]]+Table2[[#This Row],[Shooting Pts.]]+Table2[[#This Row],[Def. Points]]+Table2[[#This Row],[E. Game Pts.]]</f>
        <v>0</v>
      </c>
    </row>
    <row r="127" spans="1:10" x14ac:dyDescent="0.25">
      <c r="A127">
        <f>DataTable[[#This Row],[Tm.]]</f>
        <v>0</v>
      </c>
      <c r="B127">
        <f>DataTable[[#This Row],[Match Nr.]]</f>
        <v>0</v>
      </c>
      <c r="C1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7">
        <f>DataTable[[#This Row],[Successful Lo. G. S]]*2+DataTable[[#This Row],[Successful Hi. G. S.]]*10</f>
        <v>0</v>
      </c>
      <c r="H1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7">
        <f>IF(DataTable[[#This Row],[E. Game Compl.]]="Nothing",0,IF(DataTable[[#This Row],[E. Game Compl.]]="Challenging the Tower",5,IF(DataTable[[#This Row],[E. Game Compl.]]="Scaling the Tower",15,)))</f>
        <v>0</v>
      </c>
      <c r="J127">
        <f>Table2[[#This Row],[AUTO Pts]]+Table2[[#This Row],[Shooting Pts.]]+Table2[[#This Row],[Def. Points]]+Table2[[#This Row],[E. Game Pts.]]</f>
        <v>0</v>
      </c>
    </row>
    <row r="128" spans="1:10" x14ac:dyDescent="0.25">
      <c r="A128">
        <f>DataTable[[#This Row],[Tm.]]</f>
        <v>0</v>
      </c>
      <c r="B128">
        <f>DataTable[[#This Row],[Match Nr.]]</f>
        <v>0</v>
      </c>
      <c r="C1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8">
        <f>DataTable[[#This Row],[Successful Lo. G. S]]*2+DataTable[[#This Row],[Successful Hi. G. S.]]*10</f>
        <v>0</v>
      </c>
      <c r="H1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8">
        <f>IF(DataTable[[#This Row],[E. Game Compl.]]="Nothing",0,IF(DataTable[[#This Row],[E. Game Compl.]]="Challenging the Tower",5,IF(DataTable[[#This Row],[E. Game Compl.]]="Scaling the Tower",15,)))</f>
        <v>0</v>
      </c>
      <c r="J128">
        <f>Table2[[#This Row],[AUTO Pts]]+Table2[[#This Row],[Shooting Pts.]]+Table2[[#This Row],[Def. Points]]+Table2[[#This Row],[E. Game Pts.]]</f>
        <v>0</v>
      </c>
    </row>
    <row r="129" spans="1:10" x14ac:dyDescent="0.25">
      <c r="A129">
        <f>DataTable[[#This Row],[Tm.]]</f>
        <v>0</v>
      </c>
      <c r="B129">
        <f>DataTable[[#This Row],[Match Nr.]]</f>
        <v>0</v>
      </c>
      <c r="C1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9">
        <f>DataTable[[#This Row],[Successful Lo. G. S]]*2+DataTable[[#This Row],[Successful Hi. G. S.]]*10</f>
        <v>0</v>
      </c>
      <c r="H1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9">
        <f>IF(DataTable[[#This Row],[E. Game Compl.]]="Nothing",0,IF(DataTable[[#This Row],[E. Game Compl.]]="Challenging the Tower",5,IF(DataTable[[#This Row],[E. Game Compl.]]="Scaling the Tower",15,)))</f>
        <v>0</v>
      </c>
      <c r="J129">
        <f>Table2[[#This Row],[AUTO Pts]]+Table2[[#This Row],[Shooting Pts.]]+Table2[[#This Row],[Def. Points]]+Table2[[#This Row],[E. Game Pts.]]</f>
        <v>0</v>
      </c>
    </row>
    <row r="130" spans="1:10" x14ac:dyDescent="0.25">
      <c r="A130">
        <f>DataTable[[#This Row],[Tm.]]</f>
        <v>0</v>
      </c>
      <c r="B130">
        <f>DataTable[[#This Row],[Match Nr.]]</f>
        <v>0</v>
      </c>
      <c r="C1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0">
        <f>DataTable[[#This Row],[Successful Lo. G. S]]*2+DataTable[[#This Row],[Successful Hi. G. S.]]*10</f>
        <v>0</v>
      </c>
      <c r="H1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0">
        <f>IF(DataTable[[#This Row],[E. Game Compl.]]="Nothing",0,IF(DataTable[[#This Row],[E. Game Compl.]]="Challenging the Tower",5,IF(DataTable[[#This Row],[E. Game Compl.]]="Scaling the Tower",15,)))</f>
        <v>0</v>
      </c>
      <c r="J130">
        <f>Table2[[#This Row],[AUTO Pts]]+Table2[[#This Row],[Shooting Pts.]]+Table2[[#This Row],[Def. Points]]+Table2[[#This Row],[E. Game Pts.]]</f>
        <v>0</v>
      </c>
    </row>
    <row r="131" spans="1:10" x14ac:dyDescent="0.25">
      <c r="A131">
        <f>DataTable[[#This Row],[Tm.]]</f>
        <v>0</v>
      </c>
      <c r="B131">
        <f>DataTable[[#This Row],[Match Nr.]]</f>
        <v>0</v>
      </c>
      <c r="C1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1">
        <f>DataTable[[#This Row],[Successful Lo. G. S]]*2+DataTable[[#This Row],[Successful Hi. G. S.]]*10</f>
        <v>0</v>
      </c>
      <c r="H1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1">
        <f>IF(DataTable[[#This Row],[E. Game Compl.]]="Nothing",0,IF(DataTable[[#This Row],[E. Game Compl.]]="Challenging the Tower",5,IF(DataTable[[#This Row],[E. Game Compl.]]="Scaling the Tower",15,)))</f>
        <v>0</v>
      </c>
      <c r="J131">
        <f>Table2[[#This Row],[AUTO Pts]]+Table2[[#This Row],[Shooting Pts.]]+Table2[[#This Row],[Def. Points]]+Table2[[#This Row],[E. Game Pts.]]</f>
        <v>0</v>
      </c>
    </row>
    <row r="132" spans="1:10" x14ac:dyDescent="0.25">
      <c r="A132">
        <f>DataTable[[#This Row],[Tm.]]</f>
        <v>0</v>
      </c>
      <c r="B132">
        <f>DataTable[[#This Row],[Match Nr.]]</f>
        <v>0</v>
      </c>
      <c r="C1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2">
        <f>DataTable[[#This Row],[Successful Lo. G. S]]*2+DataTable[[#This Row],[Successful Hi. G. S.]]*10</f>
        <v>0</v>
      </c>
      <c r="H1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2">
        <f>IF(DataTable[[#This Row],[E. Game Compl.]]="Nothing",0,IF(DataTable[[#This Row],[E. Game Compl.]]="Challenging the Tower",5,IF(DataTable[[#This Row],[E. Game Compl.]]="Scaling the Tower",15,)))</f>
        <v>0</v>
      </c>
      <c r="J132">
        <f>Table2[[#This Row],[AUTO Pts]]+Table2[[#This Row],[Shooting Pts.]]+Table2[[#This Row],[Def. Points]]+Table2[[#This Row],[E. Game Pts.]]</f>
        <v>0</v>
      </c>
    </row>
    <row r="133" spans="1:10" x14ac:dyDescent="0.25">
      <c r="A133">
        <f>DataTable[[#This Row],[Tm.]]</f>
        <v>0</v>
      </c>
      <c r="B133">
        <f>DataTable[[#This Row],[Match Nr.]]</f>
        <v>0</v>
      </c>
      <c r="C1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3">
        <f>DataTable[[#This Row],[Successful Lo. G. S]]*2+DataTable[[#This Row],[Successful Hi. G. S.]]*10</f>
        <v>0</v>
      </c>
      <c r="H1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3">
        <f>IF(DataTable[[#This Row],[E. Game Compl.]]="Nothing",0,IF(DataTable[[#This Row],[E. Game Compl.]]="Challenging the Tower",5,IF(DataTable[[#This Row],[E. Game Compl.]]="Scaling the Tower",15,)))</f>
        <v>0</v>
      </c>
      <c r="J133">
        <f>Table2[[#This Row],[AUTO Pts]]+Table2[[#This Row],[Shooting Pts.]]+Table2[[#This Row],[Def. Points]]+Table2[[#This Row],[E. Game Pts.]]</f>
        <v>0</v>
      </c>
    </row>
    <row r="134" spans="1:10" x14ac:dyDescent="0.25">
      <c r="A134">
        <f>DataTable[[#This Row],[Tm.]]</f>
        <v>0</v>
      </c>
      <c r="B134">
        <f>DataTable[[#This Row],[Match Nr.]]</f>
        <v>0</v>
      </c>
      <c r="C1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4">
        <f>DataTable[[#This Row],[Successful Lo. G. S]]*2+DataTable[[#This Row],[Successful Hi. G. S.]]*10</f>
        <v>0</v>
      </c>
      <c r="H1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4">
        <f>IF(DataTable[[#This Row],[E. Game Compl.]]="Nothing",0,IF(DataTable[[#This Row],[E. Game Compl.]]="Challenging the Tower",5,IF(DataTable[[#This Row],[E. Game Compl.]]="Scaling the Tower",15,)))</f>
        <v>0</v>
      </c>
      <c r="J134">
        <f>Table2[[#This Row],[AUTO Pts]]+Table2[[#This Row],[Shooting Pts.]]+Table2[[#This Row],[Def. Points]]+Table2[[#This Row],[E. Game Pts.]]</f>
        <v>0</v>
      </c>
    </row>
    <row r="135" spans="1:10" x14ac:dyDescent="0.25">
      <c r="A135">
        <f>DataTable[[#This Row],[Tm.]]</f>
        <v>0</v>
      </c>
      <c r="B135">
        <f>DataTable[[#This Row],[Match Nr.]]</f>
        <v>0</v>
      </c>
      <c r="C1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5">
        <f>DataTable[[#This Row],[Successful Lo. G. S]]*2+DataTable[[#This Row],[Successful Hi. G. S.]]*10</f>
        <v>0</v>
      </c>
      <c r="H1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5">
        <f>IF(DataTable[[#This Row],[E. Game Compl.]]="Nothing",0,IF(DataTable[[#This Row],[E. Game Compl.]]="Challenging the Tower",5,IF(DataTable[[#This Row],[E. Game Compl.]]="Scaling the Tower",15,)))</f>
        <v>0</v>
      </c>
      <c r="J135">
        <f>Table2[[#This Row],[AUTO Pts]]+Table2[[#This Row],[Shooting Pts.]]+Table2[[#This Row],[Def. Points]]+Table2[[#This Row],[E. Game Pts.]]</f>
        <v>0</v>
      </c>
    </row>
    <row r="136" spans="1:10" x14ac:dyDescent="0.25">
      <c r="A136">
        <f>DataTable[[#This Row],[Tm.]]</f>
        <v>0</v>
      </c>
      <c r="B136">
        <f>DataTable[[#This Row],[Match Nr.]]</f>
        <v>0</v>
      </c>
      <c r="C1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6">
        <f>DataTable[[#This Row],[Successful Lo. G. S]]*2+DataTable[[#This Row],[Successful Hi. G. S.]]*10</f>
        <v>0</v>
      </c>
      <c r="H1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6">
        <f>IF(DataTable[[#This Row],[E. Game Compl.]]="Nothing",0,IF(DataTable[[#This Row],[E. Game Compl.]]="Challenging the Tower",5,IF(DataTable[[#This Row],[E. Game Compl.]]="Scaling the Tower",15,)))</f>
        <v>0</v>
      </c>
      <c r="J136">
        <f>Table2[[#This Row],[AUTO Pts]]+Table2[[#This Row],[Shooting Pts.]]+Table2[[#This Row],[Def. Points]]+Table2[[#This Row],[E. Game Pts.]]</f>
        <v>0</v>
      </c>
    </row>
    <row r="137" spans="1:10" x14ac:dyDescent="0.25">
      <c r="A137">
        <f>DataTable[[#This Row],[Tm.]]</f>
        <v>0</v>
      </c>
      <c r="B137">
        <f>DataTable[[#This Row],[Match Nr.]]</f>
        <v>0</v>
      </c>
      <c r="C1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7">
        <f>DataTable[[#This Row],[Successful Lo. G. S]]*2+DataTable[[#This Row],[Successful Hi. G. S.]]*10</f>
        <v>0</v>
      </c>
      <c r="H1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7">
        <f>IF(DataTable[[#This Row],[E. Game Compl.]]="Nothing",0,IF(DataTable[[#This Row],[E. Game Compl.]]="Challenging the Tower",5,IF(DataTable[[#This Row],[E. Game Compl.]]="Scaling the Tower",15,)))</f>
        <v>0</v>
      </c>
      <c r="J137">
        <f>Table2[[#This Row],[AUTO Pts]]+Table2[[#This Row],[Shooting Pts.]]+Table2[[#This Row],[Def. Points]]+Table2[[#This Row],[E. Game Pts.]]</f>
        <v>0</v>
      </c>
    </row>
    <row r="138" spans="1:10" x14ac:dyDescent="0.25">
      <c r="A138">
        <f>DataTable[[#This Row],[Tm.]]</f>
        <v>0</v>
      </c>
      <c r="B138">
        <f>DataTable[[#This Row],[Match Nr.]]</f>
        <v>0</v>
      </c>
      <c r="C1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8">
        <f>DataTable[[#This Row],[Successful Lo. G. S]]*2+DataTable[[#This Row],[Successful Hi. G. S.]]*10</f>
        <v>0</v>
      </c>
      <c r="H1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8">
        <f>IF(DataTable[[#This Row],[E. Game Compl.]]="Nothing",0,IF(DataTable[[#This Row],[E. Game Compl.]]="Challenging the Tower",5,IF(DataTable[[#This Row],[E. Game Compl.]]="Scaling the Tower",15,)))</f>
        <v>0</v>
      </c>
      <c r="J138">
        <f>Table2[[#This Row],[AUTO Pts]]+Table2[[#This Row],[Shooting Pts.]]+Table2[[#This Row],[Def. Points]]+Table2[[#This Row],[E. Game Pts.]]</f>
        <v>0</v>
      </c>
    </row>
    <row r="139" spans="1:10" x14ac:dyDescent="0.25">
      <c r="A139">
        <f>DataTable[[#This Row],[Tm.]]</f>
        <v>0</v>
      </c>
      <c r="B139">
        <f>DataTable[[#This Row],[Match Nr.]]</f>
        <v>0</v>
      </c>
      <c r="C1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9">
        <f>DataTable[[#This Row],[Successful Lo. G. S]]*2+DataTable[[#This Row],[Successful Hi. G. S.]]*10</f>
        <v>0</v>
      </c>
      <c r="H1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9">
        <f>IF(DataTable[[#This Row],[E. Game Compl.]]="Nothing",0,IF(DataTable[[#This Row],[E. Game Compl.]]="Challenging the Tower",5,IF(DataTable[[#This Row],[E. Game Compl.]]="Scaling the Tower",15,)))</f>
        <v>0</v>
      </c>
      <c r="J139">
        <f>Table2[[#This Row],[AUTO Pts]]+Table2[[#This Row],[Shooting Pts.]]+Table2[[#This Row],[Def. Points]]+Table2[[#This Row],[E. Game Pts.]]</f>
        <v>0</v>
      </c>
    </row>
    <row r="140" spans="1:10" x14ac:dyDescent="0.25">
      <c r="A140">
        <f>DataTable[[#This Row],[Tm.]]</f>
        <v>0</v>
      </c>
      <c r="B140">
        <f>DataTable[[#This Row],[Match Nr.]]</f>
        <v>0</v>
      </c>
      <c r="C1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0">
        <f>DataTable[[#This Row],[Successful Lo. G. S]]*2+DataTable[[#This Row],[Successful Hi. G. S.]]*10</f>
        <v>0</v>
      </c>
      <c r="H1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0">
        <f>IF(DataTable[[#This Row],[E. Game Compl.]]="Nothing",0,IF(DataTable[[#This Row],[E. Game Compl.]]="Challenging the Tower",5,IF(DataTable[[#This Row],[E. Game Compl.]]="Scaling the Tower",15,)))</f>
        <v>0</v>
      </c>
      <c r="J140">
        <f>Table2[[#This Row],[AUTO Pts]]+Table2[[#This Row],[Shooting Pts.]]+Table2[[#This Row],[Def. Points]]+Table2[[#This Row],[E. Game Pts.]]</f>
        <v>0</v>
      </c>
    </row>
    <row r="141" spans="1:10" x14ac:dyDescent="0.25">
      <c r="A141">
        <f>DataTable[[#This Row],[Tm.]]</f>
        <v>0</v>
      </c>
      <c r="B141">
        <f>DataTable[[#This Row],[Match Nr.]]</f>
        <v>0</v>
      </c>
      <c r="C1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1">
        <f>DataTable[[#This Row],[Successful Lo. G. S]]*2+DataTable[[#This Row],[Successful Hi. G. S.]]*10</f>
        <v>0</v>
      </c>
      <c r="H1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1">
        <f>IF(DataTable[[#This Row],[E. Game Compl.]]="Nothing",0,IF(DataTable[[#This Row],[E. Game Compl.]]="Challenging the Tower",5,IF(DataTable[[#This Row],[E. Game Compl.]]="Scaling the Tower",15,)))</f>
        <v>0</v>
      </c>
      <c r="J141">
        <f>Table2[[#This Row],[AUTO Pts]]+Table2[[#This Row],[Shooting Pts.]]+Table2[[#This Row],[Def. Points]]+Table2[[#This Row],[E. Game Pts.]]</f>
        <v>0</v>
      </c>
    </row>
    <row r="142" spans="1:10" x14ac:dyDescent="0.25">
      <c r="A142">
        <f>DataTable[[#This Row],[Tm.]]</f>
        <v>0</v>
      </c>
      <c r="B142">
        <f>DataTable[[#This Row],[Match Nr.]]</f>
        <v>0</v>
      </c>
      <c r="C1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2">
        <f>DataTable[[#This Row],[Successful Lo. G. S]]*2+DataTable[[#This Row],[Successful Hi. G. S.]]*10</f>
        <v>0</v>
      </c>
      <c r="H1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2">
        <f>IF(DataTable[[#This Row],[E. Game Compl.]]="Nothing",0,IF(DataTable[[#This Row],[E. Game Compl.]]="Challenging the Tower",5,IF(DataTable[[#This Row],[E. Game Compl.]]="Scaling the Tower",15,)))</f>
        <v>0</v>
      </c>
      <c r="J142">
        <f>Table2[[#This Row],[AUTO Pts]]+Table2[[#This Row],[Shooting Pts.]]+Table2[[#This Row],[Def. Points]]+Table2[[#This Row],[E. Game Pts.]]</f>
        <v>0</v>
      </c>
    </row>
    <row r="143" spans="1:10" x14ac:dyDescent="0.25">
      <c r="A143">
        <f>DataTable[[#This Row],[Tm.]]</f>
        <v>0</v>
      </c>
      <c r="B143">
        <f>DataTable[[#This Row],[Match Nr.]]</f>
        <v>0</v>
      </c>
      <c r="C1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3">
        <f>DataTable[[#This Row],[Successful Lo. G. S]]*2+DataTable[[#This Row],[Successful Hi. G. S.]]*10</f>
        <v>0</v>
      </c>
      <c r="H1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3">
        <f>IF(DataTable[[#This Row],[E. Game Compl.]]="Nothing",0,IF(DataTable[[#This Row],[E. Game Compl.]]="Challenging the Tower",5,IF(DataTable[[#This Row],[E. Game Compl.]]="Scaling the Tower",15,)))</f>
        <v>0</v>
      </c>
      <c r="J143">
        <f>Table2[[#This Row],[AUTO Pts]]+Table2[[#This Row],[Shooting Pts.]]+Table2[[#This Row],[Def. Points]]+Table2[[#This Row],[E. Game Pts.]]</f>
        <v>0</v>
      </c>
    </row>
    <row r="144" spans="1:10" x14ac:dyDescent="0.25">
      <c r="A144">
        <f>DataTable[[#This Row],[Tm.]]</f>
        <v>0</v>
      </c>
      <c r="B144">
        <f>DataTable[[#This Row],[Match Nr.]]</f>
        <v>0</v>
      </c>
      <c r="C1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4">
        <f>DataTable[[#This Row],[Successful Lo. G. S]]*2+DataTable[[#This Row],[Successful Hi. G. S.]]*10</f>
        <v>0</v>
      </c>
      <c r="H1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4">
        <f>IF(DataTable[[#This Row],[E. Game Compl.]]="Nothing",0,IF(DataTable[[#This Row],[E. Game Compl.]]="Challenging the Tower",5,IF(DataTable[[#This Row],[E. Game Compl.]]="Scaling the Tower",15,)))</f>
        <v>0</v>
      </c>
      <c r="J144">
        <f>Table2[[#This Row],[AUTO Pts]]+Table2[[#This Row],[Shooting Pts.]]+Table2[[#This Row],[Def. Points]]+Table2[[#This Row],[E. Game Pts.]]</f>
        <v>0</v>
      </c>
    </row>
    <row r="145" spans="1:10" x14ac:dyDescent="0.25">
      <c r="A145">
        <f>DataTable[[#This Row],[Tm.]]</f>
        <v>0</v>
      </c>
      <c r="B145">
        <f>DataTable[[#This Row],[Match Nr.]]</f>
        <v>0</v>
      </c>
      <c r="C1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5">
        <f>DataTable[[#This Row],[Successful Lo. G. S]]*2+DataTable[[#This Row],[Successful Hi. G. S.]]*10</f>
        <v>0</v>
      </c>
      <c r="H1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5">
        <f>IF(DataTable[[#This Row],[E. Game Compl.]]="Nothing",0,IF(DataTable[[#This Row],[E. Game Compl.]]="Challenging the Tower",5,IF(DataTable[[#This Row],[E. Game Compl.]]="Scaling the Tower",15,)))</f>
        <v>0</v>
      </c>
      <c r="J145">
        <f>Table2[[#This Row],[AUTO Pts]]+Table2[[#This Row],[Shooting Pts.]]+Table2[[#This Row],[Def. Points]]+Table2[[#This Row],[E. Game Pts.]]</f>
        <v>0</v>
      </c>
    </row>
    <row r="146" spans="1:10" x14ac:dyDescent="0.25">
      <c r="A146">
        <f>DataTable[[#This Row],[Tm.]]</f>
        <v>0</v>
      </c>
      <c r="B146">
        <f>DataTable[[#This Row],[Match Nr.]]</f>
        <v>0</v>
      </c>
      <c r="C1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6">
        <f>DataTable[[#This Row],[Successful Lo. G. S]]*2+DataTable[[#This Row],[Successful Hi. G. S.]]*10</f>
        <v>0</v>
      </c>
      <c r="H1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6">
        <f>IF(DataTable[[#This Row],[E. Game Compl.]]="Nothing",0,IF(DataTable[[#This Row],[E. Game Compl.]]="Challenging the Tower",5,IF(DataTable[[#This Row],[E. Game Compl.]]="Scaling the Tower",15,)))</f>
        <v>0</v>
      </c>
      <c r="J146">
        <f>Table2[[#This Row],[AUTO Pts]]+Table2[[#This Row],[Shooting Pts.]]+Table2[[#This Row],[Def. Points]]+Table2[[#This Row],[E. Game Pts.]]</f>
        <v>0</v>
      </c>
    </row>
    <row r="147" spans="1:10" x14ac:dyDescent="0.25">
      <c r="A147">
        <f>DataTable[[#This Row],[Tm.]]</f>
        <v>0</v>
      </c>
      <c r="B147">
        <f>DataTable[[#This Row],[Match Nr.]]</f>
        <v>0</v>
      </c>
      <c r="C1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7">
        <f>DataTable[[#This Row],[Successful Lo. G. S]]*2+DataTable[[#This Row],[Successful Hi. G. S.]]*10</f>
        <v>0</v>
      </c>
      <c r="H1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7">
        <f>IF(DataTable[[#This Row],[E. Game Compl.]]="Nothing",0,IF(DataTable[[#This Row],[E. Game Compl.]]="Challenging the Tower",5,IF(DataTable[[#This Row],[E. Game Compl.]]="Scaling the Tower",15,)))</f>
        <v>0</v>
      </c>
      <c r="J147">
        <f>Table2[[#This Row],[AUTO Pts]]+Table2[[#This Row],[Shooting Pts.]]+Table2[[#This Row],[Def. Points]]+Table2[[#This Row],[E. Game Pts.]]</f>
        <v>0</v>
      </c>
    </row>
    <row r="148" spans="1:10" x14ac:dyDescent="0.25">
      <c r="A148">
        <f>DataTable[[#This Row],[Tm.]]</f>
        <v>0</v>
      </c>
      <c r="B148">
        <f>DataTable[[#This Row],[Match Nr.]]</f>
        <v>0</v>
      </c>
      <c r="C1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8">
        <f>DataTable[[#This Row],[Successful Lo. G. S]]*2+DataTable[[#This Row],[Successful Hi. G. S.]]*10</f>
        <v>0</v>
      </c>
      <c r="H1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8">
        <f>IF(DataTable[[#This Row],[E. Game Compl.]]="Nothing",0,IF(DataTable[[#This Row],[E. Game Compl.]]="Challenging the Tower",5,IF(DataTable[[#This Row],[E. Game Compl.]]="Scaling the Tower",15,)))</f>
        <v>0</v>
      </c>
      <c r="J148">
        <f>Table2[[#This Row],[AUTO Pts]]+Table2[[#This Row],[Shooting Pts.]]+Table2[[#This Row],[Def. Points]]+Table2[[#This Row],[E. Game Pts.]]</f>
        <v>0</v>
      </c>
    </row>
    <row r="149" spans="1:10" x14ac:dyDescent="0.25">
      <c r="A149">
        <f>DataTable[[#This Row],[Tm.]]</f>
        <v>0</v>
      </c>
      <c r="B149">
        <f>DataTable[[#This Row],[Match Nr.]]</f>
        <v>0</v>
      </c>
      <c r="C1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9">
        <f>DataTable[[#This Row],[Successful Lo. G. S]]*2+DataTable[[#This Row],[Successful Hi. G. S.]]*10</f>
        <v>0</v>
      </c>
      <c r="H1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9">
        <f>IF(DataTable[[#This Row],[E. Game Compl.]]="Nothing",0,IF(DataTable[[#This Row],[E. Game Compl.]]="Challenging the Tower",5,IF(DataTable[[#This Row],[E. Game Compl.]]="Scaling the Tower",15,)))</f>
        <v>0</v>
      </c>
      <c r="J149">
        <f>Table2[[#This Row],[AUTO Pts]]+Table2[[#This Row],[Shooting Pts.]]+Table2[[#This Row],[Def. Points]]+Table2[[#This Row],[E. Game Pts.]]</f>
        <v>0</v>
      </c>
    </row>
    <row r="150" spans="1:10" x14ac:dyDescent="0.25">
      <c r="A150">
        <f>DataTable[[#This Row],[Tm.]]</f>
        <v>0</v>
      </c>
      <c r="B150">
        <f>DataTable[[#This Row],[Match Nr.]]</f>
        <v>0</v>
      </c>
      <c r="C1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0">
        <f>DataTable[[#This Row],[Successful Lo. G. S]]*2+DataTable[[#This Row],[Successful Hi. G. S.]]*10</f>
        <v>0</v>
      </c>
      <c r="H1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0">
        <f>IF(DataTable[[#This Row],[E. Game Compl.]]="Nothing",0,IF(DataTable[[#This Row],[E. Game Compl.]]="Challenging the Tower",5,IF(DataTable[[#This Row],[E. Game Compl.]]="Scaling the Tower",15,)))</f>
        <v>0</v>
      </c>
      <c r="J150">
        <f>Table2[[#This Row],[AUTO Pts]]+Table2[[#This Row],[Shooting Pts.]]+Table2[[#This Row],[Def. Points]]+Table2[[#This Row],[E. Game Pts.]]</f>
        <v>0</v>
      </c>
    </row>
    <row r="151" spans="1:10" x14ac:dyDescent="0.25">
      <c r="A151">
        <f>DataTable[[#This Row],[Tm.]]</f>
        <v>0</v>
      </c>
      <c r="B151">
        <f>DataTable[[#This Row],[Match Nr.]]</f>
        <v>0</v>
      </c>
      <c r="C1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1">
        <f>DataTable[[#This Row],[Successful Lo. G. S]]*2+DataTable[[#This Row],[Successful Hi. G. S.]]*10</f>
        <v>0</v>
      </c>
      <c r="H1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1">
        <f>IF(DataTable[[#This Row],[E. Game Compl.]]="Nothing",0,IF(DataTable[[#This Row],[E. Game Compl.]]="Challenging the Tower",5,IF(DataTable[[#This Row],[E. Game Compl.]]="Scaling the Tower",15,)))</f>
        <v>0</v>
      </c>
      <c r="J151">
        <f>Table2[[#This Row],[AUTO Pts]]+Table2[[#This Row],[Shooting Pts.]]+Table2[[#This Row],[Def. Points]]+Table2[[#This Row],[E. Game Pts.]]</f>
        <v>0</v>
      </c>
    </row>
    <row r="152" spans="1:10" x14ac:dyDescent="0.25">
      <c r="A152">
        <f>DataTable[[#This Row],[Tm.]]</f>
        <v>0</v>
      </c>
      <c r="B152">
        <f>DataTable[[#This Row],[Match Nr.]]</f>
        <v>0</v>
      </c>
      <c r="C1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2">
        <f>DataTable[[#This Row],[Successful Lo. G. S]]*2+DataTable[[#This Row],[Successful Hi. G. S.]]*10</f>
        <v>0</v>
      </c>
      <c r="H1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2">
        <f>IF(DataTable[[#This Row],[E. Game Compl.]]="Nothing",0,IF(DataTable[[#This Row],[E. Game Compl.]]="Challenging the Tower",5,IF(DataTable[[#This Row],[E. Game Compl.]]="Scaling the Tower",15,)))</f>
        <v>0</v>
      </c>
      <c r="J152">
        <f>Table2[[#This Row],[AUTO Pts]]+Table2[[#This Row],[Shooting Pts.]]+Table2[[#This Row],[Def. Points]]+Table2[[#This Row],[E. Game Pts.]]</f>
        <v>0</v>
      </c>
    </row>
    <row r="153" spans="1:10" x14ac:dyDescent="0.25">
      <c r="A153">
        <f>DataTable[[#This Row],[Tm.]]</f>
        <v>0</v>
      </c>
      <c r="B153">
        <f>DataTable[[#This Row],[Match Nr.]]</f>
        <v>0</v>
      </c>
      <c r="C1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3">
        <f>DataTable[[#This Row],[Successful Lo. G. S]]*2+DataTable[[#This Row],[Successful Hi. G. S.]]*10</f>
        <v>0</v>
      </c>
      <c r="H1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3">
        <f>IF(DataTable[[#This Row],[E. Game Compl.]]="Nothing",0,IF(DataTable[[#This Row],[E. Game Compl.]]="Challenging the Tower",5,IF(DataTable[[#This Row],[E. Game Compl.]]="Scaling the Tower",15,)))</f>
        <v>0</v>
      </c>
      <c r="J153">
        <f>Table2[[#This Row],[AUTO Pts]]+Table2[[#This Row],[Shooting Pts.]]+Table2[[#This Row],[Def. Points]]+Table2[[#This Row],[E. Game Pts.]]</f>
        <v>0</v>
      </c>
    </row>
    <row r="154" spans="1:10" x14ac:dyDescent="0.25">
      <c r="A154">
        <f>DataTable[[#This Row],[Tm.]]</f>
        <v>0</v>
      </c>
      <c r="B154">
        <f>DataTable[[#This Row],[Match Nr.]]</f>
        <v>0</v>
      </c>
      <c r="C1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4">
        <f>DataTable[[#This Row],[Successful Lo. G. S]]*2+DataTable[[#This Row],[Successful Hi. G. S.]]*10</f>
        <v>0</v>
      </c>
      <c r="H1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4">
        <f>IF(DataTable[[#This Row],[E. Game Compl.]]="Nothing",0,IF(DataTable[[#This Row],[E. Game Compl.]]="Challenging the Tower",5,IF(DataTable[[#This Row],[E. Game Compl.]]="Scaling the Tower",15,)))</f>
        <v>0</v>
      </c>
      <c r="J154">
        <f>Table2[[#This Row],[AUTO Pts]]+Table2[[#This Row],[Shooting Pts.]]+Table2[[#This Row],[Def. Points]]+Table2[[#This Row],[E. Game Pts.]]</f>
        <v>0</v>
      </c>
    </row>
    <row r="155" spans="1:10" x14ac:dyDescent="0.25">
      <c r="A155">
        <f>DataTable[[#This Row],[Tm.]]</f>
        <v>0</v>
      </c>
      <c r="B155">
        <f>DataTable[[#This Row],[Match Nr.]]</f>
        <v>0</v>
      </c>
      <c r="C1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5">
        <f>DataTable[[#This Row],[Successful Lo. G. S]]*2+DataTable[[#This Row],[Successful Hi. G. S.]]*10</f>
        <v>0</v>
      </c>
      <c r="H1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5">
        <f>IF(DataTable[[#This Row],[E. Game Compl.]]="Nothing",0,IF(DataTable[[#This Row],[E. Game Compl.]]="Challenging the Tower",5,IF(DataTable[[#This Row],[E. Game Compl.]]="Scaling the Tower",15,)))</f>
        <v>0</v>
      </c>
      <c r="J155">
        <f>Table2[[#This Row],[AUTO Pts]]+Table2[[#This Row],[Shooting Pts.]]+Table2[[#This Row],[Def. Points]]+Table2[[#This Row],[E. Game Pts.]]</f>
        <v>0</v>
      </c>
    </row>
    <row r="156" spans="1:10" x14ac:dyDescent="0.25">
      <c r="A156">
        <f>DataTable[[#This Row],[Tm.]]</f>
        <v>0</v>
      </c>
      <c r="B156">
        <f>DataTable[[#This Row],[Match Nr.]]</f>
        <v>0</v>
      </c>
      <c r="C1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6">
        <f>DataTable[[#This Row],[Successful Lo. G. S]]*2+DataTable[[#This Row],[Successful Hi. G. S.]]*10</f>
        <v>0</v>
      </c>
      <c r="H1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6">
        <f>IF(DataTable[[#This Row],[E. Game Compl.]]="Nothing",0,IF(DataTable[[#This Row],[E. Game Compl.]]="Challenging the Tower",5,IF(DataTable[[#This Row],[E. Game Compl.]]="Scaling the Tower",15,)))</f>
        <v>0</v>
      </c>
      <c r="J156">
        <f>Table2[[#This Row],[AUTO Pts]]+Table2[[#This Row],[Shooting Pts.]]+Table2[[#This Row],[Def. Points]]+Table2[[#This Row],[E. Game Pts.]]</f>
        <v>0</v>
      </c>
    </row>
    <row r="157" spans="1:10" x14ac:dyDescent="0.25">
      <c r="A157">
        <f>DataTable[[#This Row],[Tm.]]</f>
        <v>0</v>
      </c>
      <c r="B157">
        <f>DataTable[[#This Row],[Match Nr.]]</f>
        <v>0</v>
      </c>
      <c r="C1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7">
        <f>DataTable[[#This Row],[Successful Lo. G. S]]*2+DataTable[[#This Row],[Successful Hi. G. S.]]*10</f>
        <v>0</v>
      </c>
      <c r="H1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7">
        <f>IF(DataTable[[#This Row],[E. Game Compl.]]="Nothing",0,IF(DataTable[[#This Row],[E. Game Compl.]]="Challenging the Tower",5,IF(DataTable[[#This Row],[E. Game Compl.]]="Scaling the Tower",15,)))</f>
        <v>0</v>
      </c>
      <c r="J157">
        <f>Table2[[#This Row],[AUTO Pts]]+Table2[[#This Row],[Shooting Pts.]]+Table2[[#This Row],[Def. Points]]+Table2[[#This Row],[E. Game Pts.]]</f>
        <v>0</v>
      </c>
    </row>
    <row r="158" spans="1:10" x14ac:dyDescent="0.25">
      <c r="A158">
        <f>DataTable[[#This Row],[Tm.]]</f>
        <v>0</v>
      </c>
      <c r="B158">
        <f>DataTable[[#This Row],[Match Nr.]]</f>
        <v>0</v>
      </c>
      <c r="C1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8">
        <f>DataTable[[#This Row],[Successful Lo. G. S]]*2+DataTable[[#This Row],[Successful Hi. G. S.]]*10</f>
        <v>0</v>
      </c>
      <c r="H1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8">
        <f>IF(DataTable[[#This Row],[E. Game Compl.]]="Nothing",0,IF(DataTable[[#This Row],[E. Game Compl.]]="Challenging the Tower",5,IF(DataTable[[#This Row],[E. Game Compl.]]="Scaling the Tower",15,)))</f>
        <v>0</v>
      </c>
      <c r="J158">
        <f>Table2[[#This Row],[AUTO Pts]]+Table2[[#This Row],[Shooting Pts.]]+Table2[[#This Row],[Def. Points]]+Table2[[#This Row],[E. Game Pts.]]</f>
        <v>0</v>
      </c>
    </row>
    <row r="159" spans="1:10" x14ac:dyDescent="0.25">
      <c r="A159">
        <f>DataTable[[#This Row],[Tm.]]</f>
        <v>0</v>
      </c>
      <c r="B159">
        <f>DataTable[[#This Row],[Match Nr.]]</f>
        <v>0</v>
      </c>
      <c r="C1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9">
        <f>DataTable[[#This Row],[Successful Lo. G. S]]*2+DataTable[[#This Row],[Successful Hi. G. S.]]*10</f>
        <v>0</v>
      </c>
      <c r="H1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9">
        <f>IF(DataTable[[#This Row],[E. Game Compl.]]="Nothing",0,IF(DataTable[[#This Row],[E. Game Compl.]]="Challenging the Tower",5,IF(DataTable[[#This Row],[E. Game Compl.]]="Scaling the Tower",15,)))</f>
        <v>0</v>
      </c>
      <c r="J159">
        <f>Table2[[#This Row],[AUTO Pts]]+Table2[[#This Row],[Shooting Pts.]]+Table2[[#This Row],[Def. Points]]+Table2[[#This Row],[E. Game Pts.]]</f>
        <v>0</v>
      </c>
    </row>
    <row r="160" spans="1:10" x14ac:dyDescent="0.25">
      <c r="A160">
        <f>DataTable[[#This Row],[Tm.]]</f>
        <v>0</v>
      </c>
      <c r="B160">
        <f>DataTable[[#This Row],[Match Nr.]]</f>
        <v>0</v>
      </c>
      <c r="C1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0">
        <f>DataTable[[#This Row],[Successful Lo. G. S]]*2+DataTable[[#This Row],[Successful Hi. G. S.]]*10</f>
        <v>0</v>
      </c>
      <c r="H1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0">
        <f>IF(DataTable[[#This Row],[E. Game Compl.]]="Nothing",0,IF(DataTable[[#This Row],[E. Game Compl.]]="Challenging the Tower",5,IF(DataTable[[#This Row],[E. Game Compl.]]="Scaling the Tower",15,)))</f>
        <v>0</v>
      </c>
      <c r="J160">
        <f>Table2[[#This Row],[AUTO Pts]]+Table2[[#This Row],[Shooting Pts.]]+Table2[[#This Row],[Def. Points]]+Table2[[#This Row],[E. Game Pts.]]</f>
        <v>0</v>
      </c>
    </row>
    <row r="161" spans="1:10" x14ac:dyDescent="0.25">
      <c r="A161">
        <f>DataTable[[#This Row],[Tm.]]</f>
        <v>0</v>
      </c>
      <c r="B161">
        <f>DataTable[[#This Row],[Match Nr.]]</f>
        <v>0</v>
      </c>
      <c r="C1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1">
        <f>DataTable[[#This Row],[Successful Lo. G. S]]*2+DataTable[[#This Row],[Successful Hi. G. S.]]*10</f>
        <v>0</v>
      </c>
      <c r="H1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1">
        <f>IF(DataTable[[#This Row],[E. Game Compl.]]="Nothing",0,IF(DataTable[[#This Row],[E. Game Compl.]]="Challenging the Tower",5,IF(DataTable[[#This Row],[E. Game Compl.]]="Scaling the Tower",15,)))</f>
        <v>0</v>
      </c>
      <c r="J161">
        <f>Table2[[#This Row],[AUTO Pts]]+Table2[[#This Row],[Shooting Pts.]]+Table2[[#This Row],[Def. Points]]+Table2[[#This Row],[E. Game Pts.]]</f>
        <v>0</v>
      </c>
    </row>
    <row r="162" spans="1:10" x14ac:dyDescent="0.25">
      <c r="A162">
        <f>DataTable[[#This Row],[Tm.]]</f>
        <v>0</v>
      </c>
      <c r="B162">
        <f>DataTable[[#This Row],[Match Nr.]]</f>
        <v>0</v>
      </c>
      <c r="C1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2">
        <f>DataTable[[#This Row],[Successful Lo. G. S]]*2+DataTable[[#This Row],[Successful Hi. G. S.]]*10</f>
        <v>0</v>
      </c>
      <c r="H1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2">
        <f>IF(DataTable[[#This Row],[E. Game Compl.]]="Nothing",0,IF(DataTable[[#This Row],[E. Game Compl.]]="Challenging the Tower",5,IF(DataTable[[#This Row],[E. Game Compl.]]="Scaling the Tower",15,)))</f>
        <v>0</v>
      </c>
      <c r="J162">
        <f>Table2[[#This Row],[AUTO Pts]]+Table2[[#This Row],[Shooting Pts.]]+Table2[[#This Row],[Def. Points]]+Table2[[#This Row],[E. Game Pts.]]</f>
        <v>0</v>
      </c>
    </row>
    <row r="163" spans="1:10" x14ac:dyDescent="0.25">
      <c r="A163">
        <f>DataTable[[#This Row],[Tm.]]</f>
        <v>0</v>
      </c>
      <c r="B163">
        <f>DataTable[[#This Row],[Match Nr.]]</f>
        <v>0</v>
      </c>
      <c r="C1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3">
        <f>DataTable[[#This Row],[Successful Lo. G. S]]*2+DataTable[[#This Row],[Successful Hi. G. S.]]*10</f>
        <v>0</v>
      </c>
      <c r="H1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3">
        <f>IF(DataTable[[#This Row],[E. Game Compl.]]="Nothing",0,IF(DataTable[[#This Row],[E. Game Compl.]]="Challenging the Tower",5,IF(DataTable[[#This Row],[E. Game Compl.]]="Scaling the Tower",15,)))</f>
        <v>0</v>
      </c>
      <c r="J163">
        <f>Table2[[#This Row],[AUTO Pts]]+Table2[[#This Row],[Shooting Pts.]]+Table2[[#This Row],[Def. Points]]+Table2[[#This Row],[E. Game Pts.]]</f>
        <v>0</v>
      </c>
    </row>
    <row r="164" spans="1:10" x14ac:dyDescent="0.25">
      <c r="A164">
        <f>DataTable[[#This Row],[Tm.]]</f>
        <v>0</v>
      </c>
      <c r="B164">
        <f>DataTable[[#This Row],[Match Nr.]]</f>
        <v>0</v>
      </c>
      <c r="C1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4">
        <f>DataTable[[#This Row],[Successful Lo. G. S]]*2+DataTable[[#This Row],[Successful Hi. G. S.]]*10</f>
        <v>0</v>
      </c>
      <c r="H1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4">
        <f>IF(DataTable[[#This Row],[E. Game Compl.]]="Nothing",0,IF(DataTable[[#This Row],[E. Game Compl.]]="Challenging the Tower",5,IF(DataTable[[#This Row],[E. Game Compl.]]="Scaling the Tower",15,)))</f>
        <v>0</v>
      </c>
      <c r="J164">
        <f>Table2[[#This Row],[AUTO Pts]]+Table2[[#This Row],[Shooting Pts.]]+Table2[[#This Row],[Def. Points]]+Table2[[#This Row],[E. Game Pts.]]</f>
        <v>0</v>
      </c>
    </row>
    <row r="165" spans="1:10" x14ac:dyDescent="0.25">
      <c r="A165">
        <f>DataTable[[#This Row],[Tm.]]</f>
        <v>0</v>
      </c>
      <c r="B165">
        <f>DataTable[[#This Row],[Match Nr.]]</f>
        <v>0</v>
      </c>
      <c r="C1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5">
        <f>DataTable[[#This Row],[Successful Lo. G. S]]*2+DataTable[[#This Row],[Successful Hi. G. S.]]*10</f>
        <v>0</v>
      </c>
      <c r="H1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5">
        <f>IF(DataTable[[#This Row],[E. Game Compl.]]="Nothing",0,IF(DataTable[[#This Row],[E. Game Compl.]]="Challenging the Tower",5,IF(DataTable[[#This Row],[E. Game Compl.]]="Scaling the Tower",15,)))</f>
        <v>0</v>
      </c>
      <c r="J165">
        <f>Table2[[#This Row],[AUTO Pts]]+Table2[[#This Row],[Shooting Pts.]]+Table2[[#This Row],[Def. Points]]+Table2[[#This Row],[E. Game Pts.]]</f>
        <v>0</v>
      </c>
    </row>
    <row r="166" spans="1:10" x14ac:dyDescent="0.25">
      <c r="A166">
        <f>DataTable[[#This Row],[Tm.]]</f>
        <v>0</v>
      </c>
      <c r="B166">
        <f>DataTable[[#This Row],[Match Nr.]]</f>
        <v>0</v>
      </c>
      <c r="C1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6">
        <f>DataTable[[#This Row],[Successful Lo. G. S]]*2+DataTable[[#This Row],[Successful Hi. G. S.]]*10</f>
        <v>0</v>
      </c>
      <c r="H1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6">
        <f>IF(DataTable[[#This Row],[E. Game Compl.]]="Nothing",0,IF(DataTable[[#This Row],[E. Game Compl.]]="Challenging the Tower",5,IF(DataTable[[#This Row],[E. Game Compl.]]="Scaling the Tower",15,)))</f>
        <v>0</v>
      </c>
      <c r="J166">
        <f>Table2[[#This Row],[AUTO Pts]]+Table2[[#This Row],[Shooting Pts.]]+Table2[[#This Row],[Def. Points]]+Table2[[#This Row],[E. Game Pts.]]</f>
        <v>0</v>
      </c>
    </row>
    <row r="167" spans="1:10" x14ac:dyDescent="0.25">
      <c r="A167">
        <f>DataTable[[#This Row],[Tm.]]</f>
        <v>0</v>
      </c>
      <c r="B167">
        <f>DataTable[[#This Row],[Match Nr.]]</f>
        <v>0</v>
      </c>
      <c r="C1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7">
        <f>DataTable[[#This Row],[Successful Lo. G. S]]*2+DataTable[[#This Row],[Successful Hi. G. S.]]*10</f>
        <v>0</v>
      </c>
      <c r="H1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7">
        <f>IF(DataTable[[#This Row],[E. Game Compl.]]="Nothing",0,IF(DataTable[[#This Row],[E. Game Compl.]]="Challenging the Tower",5,IF(DataTable[[#This Row],[E. Game Compl.]]="Scaling the Tower",15,)))</f>
        <v>0</v>
      </c>
      <c r="J167">
        <f>Table2[[#This Row],[AUTO Pts]]+Table2[[#This Row],[Shooting Pts.]]+Table2[[#This Row],[Def. Points]]+Table2[[#This Row],[E. Game Pts.]]</f>
        <v>0</v>
      </c>
    </row>
    <row r="168" spans="1:10" x14ac:dyDescent="0.25">
      <c r="A168">
        <f>DataTable[[#This Row],[Tm.]]</f>
        <v>0</v>
      </c>
      <c r="B168">
        <f>DataTable[[#This Row],[Match Nr.]]</f>
        <v>0</v>
      </c>
      <c r="C1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8">
        <f>DataTable[[#This Row],[Successful Lo. G. S]]*2+DataTable[[#This Row],[Successful Hi. G. S.]]*10</f>
        <v>0</v>
      </c>
      <c r="H1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8">
        <f>IF(DataTable[[#This Row],[E. Game Compl.]]="Nothing",0,IF(DataTable[[#This Row],[E. Game Compl.]]="Challenging the Tower",5,IF(DataTable[[#This Row],[E. Game Compl.]]="Scaling the Tower",15,)))</f>
        <v>0</v>
      </c>
      <c r="J168">
        <f>Table2[[#This Row],[AUTO Pts]]+Table2[[#This Row],[Shooting Pts.]]+Table2[[#This Row],[Def. Points]]+Table2[[#This Row],[E. Game Pts.]]</f>
        <v>0</v>
      </c>
    </row>
    <row r="169" spans="1:10" x14ac:dyDescent="0.25">
      <c r="A169">
        <f>DataTable[[#This Row],[Tm.]]</f>
        <v>0</v>
      </c>
      <c r="B169">
        <f>DataTable[[#This Row],[Match Nr.]]</f>
        <v>0</v>
      </c>
      <c r="C1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9">
        <f>DataTable[[#This Row],[Successful Lo. G. S]]*2+DataTable[[#This Row],[Successful Hi. G. S.]]*10</f>
        <v>0</v>
      </c>
      <c r="H1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9">
        <f>IF(DataTable[[#This Row],[E. Game Compl.]]="Nothing",0,IF(DataTable[[#This Row],[E. Game Compl.]]="Challenging the Tower",5,IF(DataTable[[#This Row],[E. Game Compl.]]="Scaling the Tower",15,)))</f>
        <v>0</v>
      </c>
      <c r="J169">
        <f>Table2[[#This Row],[AUTO Pts]]+Table2[[#This Row],[Shooting Pts.]]+Table2[[#This Row],[Def. Points]]+Table2[[#This Row],[E. Game Pts.]]</f>
        <v>0</v>
      </c>
    </row>
    <row r="170" spans="1:10" x14ac:dyDescent="0.25">
      <c r="A170">
        <f>DataTable[[#This Row],[Tm.]]</f>
        <v>0</v>
      </c>
      <c r="B170">
        <f>DataTable[[#This Row],[Match Nr.]]</f>
        <v>0</v>
      </c>
      <c r="C1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0">
        <f>DataTable[[#This Row],[Successful Lo. G. S]]*2+DataTable[[#This Row],[Successful Hi. G. S.]]*10</f>
        <v>0</v>
      </c>
      <c r="H1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0">
        <f>IF(DataTable[[#This Row],[E. Game Compl.]]="Nothing",0,IF(DataTable[[#This Row],[E. Game Compl.]]="Challenging the Tower",5,IF(DataTable[[#This Row],[E. Game Compl.]]="Scaling the Tower",15,)))</f>
        <v>0</v>
      </c>
      <c r="J170">
        <f>Table2[[#This Row],[AUTO Pts]]+Table2[[#This Row],[Shooting Pts.]]+Table2[[#This Row],[Def. Points]]+Table2[[#This Row],[E. Game Pts.]]</f>
        <v>0</v>
      </c>
    </row>
    <row r="171" spans="1:10" x14ac:dyDescent="0.25">
      <c r="A171">
        <f>DataTable[[#This Row],[Tm.]]</f>
        <v>0</v>
      </c>
      <c r="B171">
        <f>DataTable[[#This Row],[Match Nr.]]</f>
        <v>0</v>
      </c>
      <c r="C1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1">
        <f>DataTable[[#This Row],[Successful Lo. G. S]]*2+DataTable[[#This Row],[Successful Hi. G. S.]]*10</f>
        <v>0</v>
      </c>
      <c r="H1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1">
        <f>IF(DataTable[[#This Row],[E. Game Compl.]]="Nothing",0,IF(DataTable[[#This Row],[E. Game Compl.]]="Challenging the Tower",5,IF(DataTable[[#This Row],[E. Game Compl.]]="Scaling the Tower",15,)))</f>
        <v>0</v>
      </c>
      <c r="J171">
        <f>Table2[[#This Row],[AUTO Pts]]+Table2[[#This Row],[Shooting Pts.]]+Table2[[#This Row],[Def. Points]]+Table2[[#This Row],[E. Game Pts.]]</f>
        <v>0</v>
      </c>
    </row>
    <row r="172" spans="1:10" x14ac:dyDescent="0.25">
      <c r="A172">
        <f>DataTable[[#This Row],[Tm.]]</f>
        <v>0</v>
      </c>
      <c r="B172">
        <f>DataTable[[#This Row],[Match Nr.]]</f>
        <v>0</v>
      </c>
      <c r="C1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2">
        <f>DataTable[[#This Row],[Successful Lo. G. S]]*2+DataTable[[#This Row],[Successful Hi. G. S.]]*10</f>
        <v>0</v>
      </c>
      <c r="H1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2">
        <f>IF(DataTable[[#This Row],[E. Game Compl.]]="Nothing",0,IF(DataTable[[#This Row],[E. Game Compl.]]="Challenging the Tower",5,IF(DataTable[[#This Row],[E. Game Compl.]]="Scaling the Tower",15,)))</f>
        <v>0</v>
      </c>
      <c r="J172">
        <f>Table2[[#This Row],[AUTO Pts]]+Table2[[#This Row],[Shooting Pts.]]+Table2[[#This Row],[Def. Points]]+Table2[[#This Row],[E. Game Pts.]]</f>
        <v>0</v>
      </c>
    </row>
    <row r="173" spans="1:10" x14ac:dyDescent="0.25">
      <c r="A173">
        <f>DataTable[[#This Row],[Tm.]]</f>
        <v>0</v>
      </c>
      <c r="B173">
        <f>DataTable[[#This Row],[Match Nr.]]</f>
        <v>0</v>
      </c>
      <c r="C1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3">
        <f>DataTable[[#This Row],[Successful Lo. G. S]]*2+DataTable[[#This Row],[Successful Hi. G. S.]]*10</f>
        <v>0</v>
      </c>
      <c r="H1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3">
        <f>IF(DataTable[[#This Row],[E. Game Compl.]]="Nothing",0,IF(DataTable[[#This Row],[E. Game Compl.]]="Challenging the Tower",5,IF(DataTable[[#This Row],[E. Game Compl.]]="Scaling the Tower",15,)))</f>
        <v>0</v>
      </c>
      <c r="J173">
        <f>Table2[[#This Row],[AUTO Pts]]+Table2[[#This Row],[Shooting Pts.]]+Table2[[#This Row],[Def. Points]]+Table2[[#This Row],[E. Game Pts.]]</f>
        <v>0</v>
      </c>
    </row>
    <row r="174" spans="1:10" x14ac:dyDescent="0.25">
      <c r="A174">
        <f>DataTable[[#This Row],[Tm.]]</f>
        <v>0</v>
      </c>
      <c r="B174">
        <f>DataTable[[#This Row],[Match Nr.]]</f>
        <v>0</v>
      </c>
      <c r="C1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4">
        <f>DataTable[[#This Row],[Successful Lo. G. S]]*2+DataTable[[#This Row],[Successful Hi. G. S.]]*10</f>
        <v>0</v>
      </c>
      <c r="H1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4">
        <f>IF(DataTable[[#This Row],[E. Game Compl.]]="Nothing",0,IF(DataTable[[#This Row],[E. Game Compl.]]="Challenging the Tower",5,IF(DataTable[[#This Row],[E. Game Compl.]]="Scaling the Tower",15,)))</f>
        <v>0</v>
      </c>
      <c r="J174">
        <f>Table2[[#This Row],[AUTO Pts]]+Table2[[#This Row],[Shooting Pts.]]+Table2[[#This Row],[Def. Points]]+Table2[[#This Row],[E. Game Pts.]]</f>
        <v>0</v>
      </c>
    </row>
    <row r="175" spans="1:10" x14ac:dyDescent="0.25">
      <c r="A175">
        <f>DataTable[[#This Row],[Tm.]]</f>
        <v>0</v>
      </c>
      <c r="B175">
        <f>DataTable[[#This Row],[Match Nr.]]</f>
        <v>0</v>
      </c>
      <c r="C1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5">
        <f>DataTable[[#This Row],[Successful Lo. G. S]]*2+DataTable[[#This Row],[Successful Hi. G. S.]]*10</f>
        <v>0</v>
      </c>
      <c r="H1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5">
        <f>IF(DataTable[[#This Row],[E. Game Compl.]]="Nothing",0,IF(DataTable[[#This Row],[E. Game Compl.]]="Challenging the Tower",5,IF(DataTable[[#This Row],[E. Game Compl.]]="Scaling the Tower",15,)))</f>
        <v>0</v>
      </c>
      <c r="J175">
        <f>Table2[[#This Row],[AUTO Pts]]+Table2[[#This Row],[Shooting Pts.]]+Table2[[#This Row],[Def. Points]]+Table2[[#This Row],[E. Game Pts.]]</f>
        <v>0</v>
      </c>
    </row>
    <row r="176" spans="1:10" x14ac:dyDescent="0.25">
      <c r="A176">
        <f>DataTable[[#This Row],[Tm.]]</f>
        <v>0</v>
      </c>
      <c r="B176">
        <f>DataTable[[#This Row],[Match Nr.]]</f>
        <v>0</v>
      </c>
      <c r="C1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6">
        <f>DataTable[[#This Row],[Successful Lo. G. S]]*2+DataTable[[#This Row],[Successful Hi. G. S.]]*10</f>
        <v>0</v>
      </c>
      <c r="H1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6">
        <f>IF(DataTable[[#This Row],[E. Game Compl.]]="Nothing",0,IF(DataTable[[#This Row],[E. Game Compl.]]="Challenging the Tower",5,IF(DataTable[[#This Row],[E. Game Compl.]]="Scaling the Tower",15,)))</f>
        <v>0</v>
      </c>
      <c r="J176">
        <f>Table2[[#This Row],[AUTO Pts]]+Table2[[#This Row],[Shooting Pts.]]+Table2[[#This Row],[Def. Points]]+Table2[[#This Row],[E. Game Pts.]]</f>
        <v>0</v>
      </c>
    </row>
    <row r="177" spans="1:10" x14ac:dyDescent="0.25">
      <c r="A177">
        <f>DataTable[[#This Row],[Tm.]]</f>
        <v>0</v>
      </c>
      <c r="B177">
        <f>DataTable[[#This Row],[Match Nr.]]</f>
        <v>0</v>
      </c>
      <c r="C1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7">
        <f>DataTable[[#This Row],[Successful Lo. G. S]]*2+DataTable[[#This Row],[Successful Hi. G. S.]]*10</f>
        <v>0</v>
      </c>
      <c r="H1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7">
        <f>IF(DataTable[[#This Row],[E. Game Compl.]]="Nothing",0,IF(DataTable[[#This Row],[E. Game Compl.]]="Challenging the Tower",5,IF(DataTable[[#This Row],[E. Game Compl.]]="Scaling the Tower",15,)))</f>
        <v>0</v>
      </c>
      <c r="J177">
        <f>Table2[[#This Row],[AUTO Pts]]+Table2[[#This Row],[Shooting Pts.]]+Table2[[#This Row],[Def. Points]]+Table2[[#This Row],[E. Game Pts.]]</f>
        <v>0</v>
      </c>
    </row>
    <row r="178" spans="1:10" x14ac:dyDescent="0.25">
      <c r="A178">
        <f>DataTable[[#This Row],[Tm.]]</f>
        <v>0</v>
      </c>
      <c r="B178">
        <f>DataTable[[#This Row],[Match Nr.]]</f>
        <v>0</v>
      </c>
      <c r="C1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8">
        <f>DataTable[[#This Row],[Successful Lo. G. S]]*2+DataTable[[#This Row],[Successful Hi. G. S.]]*10</f>
        <v>0</v>
      </c>
      <c r="H1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8">
        <f>IF(DataTable[[#This Row],[E. Game Compl.]]="Nothing",0,IF(DataTable[[#This Row],[E. Game Compl.]]="Challenging the Tower",5,IF(DataTable[[#This Row],[E. Game Compl.]]="Scaling the Tower",15,)))</f>
        <v>0</v>
      </c>
      <c r="J178">
        <f>Table2[[#This Row],[AUTO Pts]]+Table2[[#This Row],[Shooting Pts.]]+Table2[[#This Row],[Def. Points]]+Table2[[#This Row],[E. Game Pts.]]</f>
        <v>0</v>
      </c>
    </row>
    <row r="179" spans="1:10" x14ac:dyDescent="0.25">
      <c r="A179">
        <f>DataTable[[#This Row],[Tm.]]</f>
        <v>0</v>
      </c>
      <c r="B179">
        <f>DataTable[[#This Row],[Match Nr.]]</f>
        <v>0</v>
      </c>
      <c r="C1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9">
        <f>DataTable[[#This Row],[Successful Lo. G. S]]*2+DataTable[[#This Row],[Successful Hi. G. S.]]*10</f>
        <v>0</v>
      </c>
      <c r="H1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9">
        <f>IF(DataTable[[#This Row],[E. Game Compl.]]="Nothing",0,IF(DataTable[[#This Row],[E. Game Compl.]]="Challenging the Tower",5,IF(DataTable[[#This Row],[E. Game Compl.]]="Scaling the Tower",15,)))</f>
        <v>0</v>
      </c>
      <c r="J179">
        <f>Table2[[#This Row],[AUTO Pts]]+Table2[[#This Row],[Shooting Pts.]]+Table2[[#This Row],[Def. Points]]+Table2[[#This Row],[E. Game Pts.]]</f>
        <v>0</v>
      </c>
    </row>
    <row r="180" spans="1:10" x14ac:dyDescent="0.25">
      <c r="A180">
        <f>DataTable[[#This Row],[Tm.]]</f>
        <v>0</v>
      </c>
      <c r="B180">
        <f>DataTable[[#This Row],[Match Nr.]]</f>
        <v>0</v>
      </c>
      <c r="C1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0">
        <f>DataTable[[#This Row],[Successful Lo. G. S]]*2+DataTable[[#This Row],[Successful Hi. G. S.]]*10</f>
        <v>0</v>
      </c>
      <c r="H1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0">
        <f>IF(DataTable[[#This Row],[E. Game Compl.]]="Nothing",0,IF(DataTable[[#This Row],[E. Game Compl.]]="Challenging the Tower",5,IF(DataTable[[#This Row],[E. Game Compl.]]="Scaling the Tower",15,)))</f>
        <v>0</v>
      </c>
      <c r="J180">
        <f>Table2[[#This Row],[AUTO Pts]]+Table2[[#This Row],[Shooting Pts.]]+Table2[[#This Row],[Def. Points]]+Table2[[#This Row],[E. Game Pts.]]</f>
        <v>0</v>
      </c>
    </row>
    <row r="181" spans="1:10" x14ac:dyDescent="0.25">
      <c r="A181">
        <f>DataTable[[#This Row],[Tm.]]</f>
        <v>0</v>
      </c>
      <c r="B181">
        <f>DataTable[[#This Row],[Match Nr.]]</f>
        <v>0</v>
      </c>
      <c r="C1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1">
        <f>DataTable[[#This Row],[Successful Lo. G. S]]*2+DataTable[[#This Row],[Successful Hi. G. S.]]*10</f>
        <v>0</v>
      </c>
      <c r="H1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1">
        <f>IF(DataTable[[#This Row],[E. Game Compl.]]="Nothing",0,IF(DataTable[[#This Row],[E. Game Compl.]]="Challenging the Tower",5,IF(DataTable[[#This Row],[E. Game Compl.]]="Scaling the Tower",15,)))</f>
        <v>0</v>
      </c>
      <c r="J181">
        <f>Table2[[#This Row],[AUTO Pts]]+Table2[[#This Row],[Shooting Pts.]]+Table2[[#This Row],[Def. Points]]+Table2[[#This Row],[E. Game Pts.]]</f>
        <v>0</v>
      </c>
    </row>
    <row r="182" spans="1:10" x14ac:dyDescent="0.25">
      <c r="A182">
        <f>DataTable[[#This Row],[Tm.]]</f>
        <v>0</v>
      </c>
      <c r="B182">
        <f>DataTable[[#This Row],[Match Nr.]]</f>
        <v>0</v>
      </c>
      <c r="C1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2">
        <f>DataTable[[#This Row],[Successful Lo. G. S]]*2+DataTable[[#This Row],[Successful Hi. G. S.]]*10</f>
        <v>0</v>
      </c>
      <c r="H1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2">
        <f>IF(DataTable[[#This Row],[E. Game Compl.]]="Nothing",0,IF(DataTable[[#This Row],[E. Game Compl.]]="Challenging the Tower",5,IF(DataTable[[#This Row],[E. Game Compl.]]="Scaling the Tower",15,)))</f>
        <v>0</v>
      </c>
      <c r="J182">
        <f>Table2[[#This Row],[AUTO Pts]]+Table2[[#This Row],[Shooting Pts.]]+Table2[[#This Row],[Def. Points]]+Table2[[#This Row],[E. Game Pts.]]</f>
        <v>0</v>
      </c>
    </row>
    <row r="183" spans="1:10" x14ac:dyDescent="0.25">
      <c r="A183">
        <f>DataTable[[#This Row],[Tm.]]</f>
        <v>0</v>
      </c>
      <c r="B183">
        <f>DataTable[[#This Row],[Match Nr.]]</f>
        <v>0</v>
      </c>
      <c r="C1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3">
        <f>DataTable[[#This Row],[Successful Lo. G. S]]*2+DataTable[[#This Row],[Successful Hi. G. S.]]*10</f>
        <v>0</v>
      </c>
      <c r="H1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3">
        <f>IF(DataTable[[#This Row],[E. Game Compl.]]="Nothing",0,IF(DataTable[[#This Row],[E. Game Compl.]]="Challenging the Tower",5,IF(DataTable[[#This Row],[E. Game Compl.]]="Scaling the Tower",15,)))</f>
        <v>0</v>
      </c>
      <c r="J183">
        <f>Table2[[#This Row],[AUTO Pts]]+Table2[[#This Row],[Shooting Pts.]]+Table2[[#This Row],[Def. Points]]+Table2[[#This Row],[E. Game Pts.]]</f>
        <v>0</v>
      </c>
    </row>
    <row r="184" spans="1:10" x14ac:dyDescent="0.25">
      <c r="A184">
        <f>DataTable[[#This Row],[Tm.]]</f>
        <v>0</v>
      </c>
      <c r="B184">
        <f>DataTable[[#This Row],[Match Nr.]]</f>
        <v>0</v>
      </c>
      <c r="C1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4">
        <f>DataTable[[#This Row],[Successful Lo. G. S]]*2+DataTable[[#This Row],[Successful Hi. G. S.]]*10</f>
        <v>0</v>
      </c>
      <c r="H1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4">
        <f>IF(DataTable[[#This Row],[E. Game Compl.]]="Nothing",0,IF(DataTable[[#This Row],[E. Game Compl.]]="Challenging the Tower",5,IF(DataTable[[#This Row],[E. Game Compl.]]="Scaling the Tower",15,)))</f>
        <v>0</v>
      </c>
      <c r="J184">
        <f>Table2[[#This Row],[AUTO Pts]]+Table2[[#This Row],[Shooting Pts.]]+Table2[[#This Row],[Def. Points]]+Table2[[#This Row],[E. Game Pts.]]</f>
        <v>0</v>
      </c>
    </row>
    <row r="185" spans="1:10" x14ac:dyDescent="0.25">
      <c r="A185">
        <f>DataTable[[#This Row],[Tm.]]</f>
        <v>0</v>
      </c>
      <c r="B185">
        <f>DataTable[[#This Row],[Match Nr.]]</f>
        <v>0</v>
      </c>
      <c r="C1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5">
        <f>DataTable[[#This Row],[Successful Lo. G. S]]*2+DataTable[[#This Row],[Successful Hi. G. S.]]*10</f>
        <v>0</v>
      </c>
      <c r="H1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5">
        <f>IF(DataTable[[#This Row],[E. Game Compl.]]="Nothing",0,IF(DataTable[[#This Row],[E. Game Compl.]]="Challenging the Tower",5,IF(DataTable[[#This Row],[E. Game Compl.]]="Scaling the Tower",15,)))</f>
        <v>0</v>
      </c>
      <c r="J185">
        <f>Table2[[#This Row],[AUTO Pts]]+Table2[[#This Row],[Shooting Pts.]]+Table2[[#This Row],[Def. Points]]+Table2[[#This Row],[E. Game Pts.]]</f>
        <v>0</v>
      </c>
    </row>
    <row r="186" spans="1:10" x14ac:dyDescent="0.25">
      <c r="A186">
        <f>DataTable[[#This Row],[Tm.]]</f>
        <v>0</v>
      </c>
      <c r="B186">
        <f>DataTable[[#This Row],[Match Nr.]]</f>
        <v>0</v>
      </c>
      <c r="C1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6">
        <f>DataTable[[#This Row],[Successful Lo. G. S]]*2+DataTable[[#This Row],[Successful Hi. G. S.]]*10</f>
        <v>0</v>
      </c>
      <c r="H1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6">
        <f>IF(DataTable[[#This Row],[E. Game Compl.]]="Nothing",0,IF(DataTable[[#This Row],[E. Game Compl.]]="Challenging the Tower",5,IF(DataTable[[#This Row],[E. Game Compl.]]="Scaling the Tower",15,)))</f>
        <v>0</v>
      </c>
      <c r="J186">
        <f>Table2[[#This Row],[AUTO Pts]]+Table2[[#This Row],[Shooting Pts.]]+Table2[[#This Row],[Def. Points]]+Table2[[#This Row],[E. Game Pts.]]</f>
        <v>0</v>
      </c>
    </row>
    <row r="187" spans="1:10" x14ac:dyDescent="0.25">
      <c r="A187">
        <f>DataTable[[#This Row],[Tm.]]</f>
        <v>0</v>
      </c>
      <c r="B187">
        <f>DataTable[[#This Row],[Match Nr.]]</f>
        <v>0</v>
      </c>
      <c r="C1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7">
        <f>DataTable[[#This Row],[Successful Lo. G. S]]*2+DataTable[[#This Row],[Successful Hi. G. S.]]*10</f>
        <v>0</v>
      </c>
      <c r="H1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7">
        <f>IF(DataTable[[#This Row],[E. Game Compl.]]="Nothing",0,IF(DataTable[[#This Row],[E. Game Compl.]]="Challenging the Tower",5,IF(DataTable[[#This Row],[E. Game Compl.]]="Scaling the Tower",15,)))</f>
        <v>0</v>
      </c>
      <c r="J187">
        <f>Table2[[#This Row],[AUTO Pts]]+Table2[[#This Row],[Shooting Pts.]]+Table2[[#This Row],[Def. Points]]+Table2[[#This Row],[E. Game Pts.]]</f>
        <v>0</v>
      </c>
    </row>
    <row r="188" spans="1:10" x14ac:dyDescent="0.25">
      <c r="A188">
        <f>DataTable[[#This Row],[Tm.]]</f>
        <v>0</v>
      </c>
      <c r="B188">
        <f>DataTable[[#This Row],[Match Nr.]]</f>
        <v>0</v>
      </c>
      <c r="C1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8">
        <f>DataTable[[#This Row],[Successful Lo. G. S]]*2+DataTable[[#This Row],[Successful Hi. G. S.]]*10</f>
        <v>0</v>
      </c>
      <c r="H1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8">
        <f>IF(DataTable[[#This Row],[E. Game Compl.]]="Nothing",0,IF(DataTable[[#This Row],[E. Game Compl.]]="Challenging the Tower",5,IF(DataTable[[#This Row],[E. Game Compl.]]="Scaling the Tower",15,)))</f>
        <v>0</v>
      </c>
      <c r="J188">
        <f>Table2[[#This Row],[AUTO Pts]]+Table2[[#This Row],[Shooting Pts.]]+Table2[[#This Row],[Def. Points]]+Table2[[#This Row],[E. Game Pts.]]</f>
        <v>0</v>
      </c>
    </row>
    <row r="189" spans="1:10" x14ac:dyDescent="0.25">
      <c r="A189">
        <f>DataTable[[#This Row],[Tm.]]</f>
        <v>0</v>
      </c>
      <c r="B189">
        <f>DataTable[[#This Row],[Match Nr.]]</f>
        <v>0</v>
      </c>
      <c r="C1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9">
        <f>DataTable[[#This Row],[Successful Lo. G. S]]*2+DataTable[[#This Row],[Successful Hi. G. S.]]*10</f>
        <v>0</v>
      </c>
      <c r="H1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9">
        <f>IF(DataTable[[#This Row],[E. Game Compl.]]="Nothing",0,IF(DataTable[[#This Row],[E. Game Compl.]]="Challenging the Tower",5,IF(DataTable[[#This Row],[E. Game Compl.]]="Scaling the Tower",15,)))</f>
        <v>0</v>
      </c>
      <c r="J189">
        <f>Table2[[#This Row],[AUTO Pts]]+Table2[[#This Row],[Shooting Pts.]]+Table2[[#This Row],[Def. Points]]+Table2[[#This Row],[E. Game Pts.]]</f>
        <v>0</v>
      </c>
    </row>
    <row r="190" spans="1:10" x14ac:dyDescent="0.25">
      <c r="A190">
        <f>DataTable[[#This Row],[Tm.]]</f>
        <v>0</v>
      </c>
      <c r="B190">
        <f>DataTable[[#This Row],[Match Nr.]]</f>
        <v>0</v>
      </c>
      <c r="C1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0">
        <f>DataTable[[#This Row],[Successful Lo. G. S]]*2+DataTable[[#This Row],[Successful Hi. G. S.]]*10</f>
        <v>0</v>
      </c>
      <c r="H1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0">
        <f>IF(DataTable[[#This Row],[E. Game Compl.]]="Nothing",0,IF(DataTable[[#This Row],[E. Game Compl.]]="Challenging the Tower",5,IF(DataTable[[#This Row],[E. Game Compl.]]="Scaling the Tower",15,)))</f>
        <v>0</v>
      </c>
      <c r="J190">
        <f>Table2[[#This Row],[AUTO Pts]]+Table2[[#This Row],[Shooting Pts.]]+Table2[[#This Row],[Def. Points]]+Table2[[#This Row],[E. Game Pts.]]</f>
        <v>0</v>
      </c>
    </row>
    <row r="191" spans="1:10" x14ac:dyDescent="0.25">
      <c r="A191">
        <f>DataTable[[#This Row],[Tm.]]</f>
        <v>0</v>
      </c>
      <c r="B191">
        <f>DataTable[[#This Row],[Match Nr.]]</f>
        <v>0</v>
      </c>
      <c r="C1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1">
        <f>DataTable[[#This Row],[Successful Lo. G. S]]*2+DataTable[[#This Row],[Successful Hi. G. S.]]*10</f>
        <v>0</v>
      </c>
      <c r="H1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1">
        <f>IF(DataTable[[#This Row],[E. Game Compl.]]="Nothing",0,IF(DataTable[[#This Row],[E. Game Compl.]]="Challenging the Tower",5,IF(DataTable[[#This Row],[E. Game Compl.]]="Scaling the Tower",15,)))</f>
        <v>0</v>
      </c>
      <c r="J191">
        <f>Table2[[#This Row],[AUTO Pts]]+Table2[[#This Row],[Shooting Pts.]]+Table2[[#This Row],[Def. Points]]+Table2[[#This Row],[E. Game Pts.]]</f>
        <v>0</v>
      </c>
    </row>
    <row r="192" spans="1:10" x14ac:dyDescent="0.25">
      <c r="A192">
        <f>DataTable[[#This Row],[Tm.]]</f>
        <v>0</v>
      </c>
      <c r="B192">
        <f>DataTable[[#This Row],[Match Nr.]]</f>
        <v>0</v>
      </c>
      <c r="C1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2">
        <f>DataTable[[#This Row],[Successful Lo. G. S]]*2+DataTable[[#This Row],[Successful Hi. G. S.]]*10</f>
        <v>0</v>
      </c>
      <c r="H1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2">
        <f>IF(DataTable[[#This Row],[E. Game Compl.]]="Nothing",0,IF(DataTable[[#This Row],[E. Game Compl.]]="Challenging the Tower",5,IF(DataTable[[#This Row],[E. Game Compl.]]="Scaling the Tower",15,)))</f>
        <v>0</v>
      </c>
      <c r="J192">
        <f>Table2[[#This Row],[AUTO Pts]]+Table2[[#This Row],[Shooting Pts.]]+Table2[[#This Row],[Def. Points]]+Table2[[#This Row],[E. Game Pts.]]</f>
        <v>0</v>
      </c>
    </row>
    <row r="193" spans="1:10" x14ac:dyDescent="0.25">
      <c r="A193">
        <f>DataTable[[#This Row],[Tm.]]</f>
        <v>0</v>
      </c>
      <c r="B193">
        <f>DataTable[[#This Row],[Match Nr.]]</f>
        <v>0</v>
      </c>
      <c r="C1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3">
        <f>DataTable[[#This Row],[Successful Lo. G. S]]*2+DataTable[[#This Row],[Successful Hi. G. S.]]*10</f>
        <v>0</v>
      </c>
      <c r="H1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3">
        <f>IF(DataTable[[#This Row],[E. Game Compl.]]="Nothing",0,IF(DataTable[[#This Row],[E. Game Compl.]]="Challenging the Tower",5,IF(DataTable[[#This Row],[E. Game Compl.]]="Scaling the Tower",15,)))</f>
        <v>0</v>
      </c>
      <c r="J193">
        <f>Table2[[#This Row],[AUTO Pts]]+Table2[[#This Row],[Shooting Pts.]]+Table2[[#This Row],[Def. Points]]+Table2[[#This Row],[E. Game Pts.]]</f>
        <v>0</v>
      </c>
    </row>
    <row r="194" spans="1:10" x14ac:dyDescent="0.25">
      <c r="A194">
        <f>DataTable[[#This Row],[Tm.]]</f>
        <v>0</v>
      </c>
      <c r="B194">
        <f>DataTable[[#This Row],[Match Nr.]]</f>
        <v>0</v>
      </c>
      <c r="C1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4">
        <f>DataTable[[#This Row],[Successful Lo. G. S]]*2+DataTable[[#This Row],[Successful Hi. G. S.]]*10</f>
        <v>0</v>
      </c>
      <c r="H1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4">
        <f>IF(DataTable[[#This Row],[E. Game Compl.]]="Nothing",0,IF(DataTable[[#This Row],[E. Game Compl.]]="Challenging the Tower",5,IF(DataTable[[#This Row],[E. Game Compl.]]="Scaling the Tower",15,)))</f>
        <v>0</v>
      </c>
      <c r="J194">
        <f>Table2[[#This Row],[AUTO Pts]]+Table2[[#This Row],[Shooting Pts.]]+Table2[[#This Row],[Def. Points]]+Table2[[#This Row],[E. Game Pts.]]</f>
        <v>0</v>
      </c>
    </row>
    <row r="195" spans="1:10" x14ac:dyDescent="0.25">
      <c r="A195">
        <f>DataTable[[#This Row],[Tm.]]</f>
        <v>0</v>
      </c>
      <c r="B195">
        <f>DataTable[[#This Row],[Match Nr.]]</f>
        <v>0</v>
      </c>
      <c r="C1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5">
        <f>DataTable[[#This Row],[Successful Lo. G. S]]*2+DataTable[[#This Row],[Successful Hi. G. S.]]*10</f>
        <v>0</v>
      </c>
      <c r="H1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5">
        <f>IF(DataTable[[#This Row],[E. Game Compl.]]="Nothing",0,IF(DataTable[[#This Row],[E. Game Compl.]]="Challenging the Tower",5,IF(DataTable[[#This Row],[E. Game Compl.]]="Scaling the Tower",15,)))</f>
        <v>0</v>
      </c>
      <c r="J195">
        <f>Table2[[#This Row],[AUTO Pts]]+Table2[[#This Row],[Shooting Pts.]]+Table2[[#This Row],[Def. Points]]+Table2[[#This Row],[E. Game Pts.]]</f>
        <v>0</v>
      </c>
    </row>
    <row r="196" spans="1:10" x14ac:dyDescent="0.25">
      <c r="A196">
        <f>DataTable[[#This Row],[Tm.]]</f>
        <v>0</v>
      </c>
      <c r="B196">
        <f>DataTable[[#This Row],[Match Nr.]]</f>
        <v>0</v>
      </c>
      <c r="C1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6">
        <f>DataTable[[#This Row],[Successful Lo. G. S]]*2+DataTable[[#This Row],[Successful Hi. G. S.]]*10</f>
        <v>0</v>
      </c>
      <c r="H1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6">
        <f>IF(DataTable[[#This Row],[E. Game Compl.]]="Nothing",0,IF(DataTable[[#This Row],[E. Game Compl.]]="Challenging the Tower",5,IF(DataTable[[#This Row],[E. Game Compl.]]="Scaling the Tower",15,)))</f>
        <v>0</v>
      </c>
      <c r="J196">
        <f>Table2[[#This Row],[AUTO Pts]]+Table2[[#This Row],[Shooting Pts.]]+Table2[[#This Row],[Def. Points]]+Table2[[#This Row],[E. Game Pts.]]</f>
        <v>0</v>
      </c>
    </row>
    <row r="197" spans="1:10" x14ac:dyDescent="0.25">
      <c r="A197">
        <f>DataTable[[#This Row],[Tm.]]</f>
        <v>0</v>
      </c>
      <c r="B197">
        <f>DataTable[[#This Row],[Match Nr.]]</f>
        <v>0</v>
      </c>
      <c r="C1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7">
        <f>DataTable[[#This Row],[Successful Lo. G. S]]*2+DataTable[[#This Row],[Successful Hi. G. S.]]*10</f>
        <v>0</v>
      </c>
      <c r="H1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7">
        <f>IF(DataTable[[#This Row],[E. Game Compl.]]="Nothing",0,IF(DataTable[[#This Row],[E. Game Compl.]]="Challenging the Tower",5,IF(DataTable[[#This Row],[E. Game Compl.]]="Scaling the Tower",15,)))</f>
        <v>0</v>
      </c>
      <c r="J197">
        <f>Table2[[#This Row],[AUTO Pts]]+Table2[[#This Row],[Shooting Pts.]]+Table2[[#This Row],[Def. Points]]+Table2[[#This Row],[E. Game Pts.]]</f>
        <v>0</v>
      </c>
    </row>
    <row r="198" spans="1:10" x14ac:dyDescent="0.25">
      <c r="A198">
        <f>DataTable[[#This Row],[Tm.]]</f>
        <v>0</v>
      </c>
      <c r="B198">
        <f>DataTable[[#This Row],[Match Nr.]]</f>
        <v>0</v>
      </c>
      <c r="C1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8">
        <f>DataTable[[#This Row],[Successful Lo. G. S]]*2+DataTable[[#This Row],[Successful Hi. G. S.]]*10</f>
        <v>0</v>
      </c>
      <c r="H1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8">
        <f>IF(DataTable[[#This Row],[E. Game Compl.]]="Nothing",0,IF(DataTable[[#This Row],[E. Game Compl.]]="Challenging the Tower",5,IF(DataTable[[#This Row],[E. Game Compl.]]="Scaling the Tower",15,)))</f>
        <v>0</v>
      </c>
      <c r="J198">
        <f>Table2[[#This Row],[AUTO Pts]]+Table2[[#This Row],[Shooting Pts.]]+Table2[[#This Row],[Def. Points]]+Table2[[#This Row],[E. Game Pts.]]</f>
        <v>0</v>
      </c>
    </row>
    <row r="199" spans="1:10" x14ac:dyDescent="0.25">
      <c r="A199">
        <f>DataTable[[#This Row],[Tm.]]</f>
        <v>0</v>
      </c>
      <c r="B199">
        <f>DataTable[[#This Row],[Match Nr.]]</f>
        <v>0</v>
      </c>
      <c r="C1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9">
        <f>DataTable[[#This Row],[Successful Lo. G. S]]*2+DataTable[[#This Row],[Successful Hi. G. S.]]*10</f>
        <v>0</v>
      </c>
      <c r="H1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9">
        <f>IF(DataTable[[#This Row],[E. Game Compl.]]="Nothing",0,IF(DataTable[[#This Row],[E. Game Compl.]]="Challenging the Tower",5,IF(DataTable[[#This Row],[E. Game Compl.]]="Scaling the Tower",15,)))</f>
        <v>0</v>
      </c>
      <c r="J199">
        <f>Table2[[#This Row],[AUTO Pts]]+Table2[[#This Row],[Shooting Pts.]]+Table2[[#This Row],[Def. Points]]+Table2[[#This Row],[E. Game Pts.]]</f>
        <v>0</v>
      </c>
    </row>
    <row r="200" spans="1:10" x14ac:dyDescent="0.25">
      <c r="A200">
        <f>DataTable[[#This Row],[Tm.]]</f>
        <v>0</v>
      </c>
      <c r="B200">
        <f>DataTable[[#This Row],[Match Nr.]]</f>
        <v>0</v>
      </c>
      <c r="C2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0">
        <f>DataTable[[#This Row],[Successful Lo. G. S]]*2+DataTable[[#This Row],[Successful Hi. G. S.]]*10</f>
        <v>0</v>
      </c>
      <c r="H2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0">
        <f>IF(DataTable[[#This Row],[E. Game Compl.]]="Nothing",0,IF(DataTable[[#This Row],[E. Game Compl.]]="Challenging the Tower",5,IF(DataTable[[#This Row],[E. Game Compl.]]="Scaling the Tower",15,)))</f>
        <v>0</v>
      </c>
      <c r="J200">
        <f>Table2[[#This Row],[AUTO Pts]]+Table2[[#This Row],[Shooting Pts.]]+Table2[[#This Row],[Def. Points]]+Table2[[#This Row],[E. Game Pts.]]</f>
        <v>0</v>
      </c>
    </row>
    <row r="201" spans="1:10" x14ac:dyDescent="0.25">
      <c r="A201">
        <f>DataTable[[#This Row],[Tm.]]</f>
        <v>0</v>
      </c>
      <c r="B201">
        <f>DataTable[[#This Row],[Match Nr.]]</f>
        <v>0</v>
      </c>
      <c r="C2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1">
        <f>DataTable[[#This Row],[Successful Lo. G. S]]*2+DataTable[[#This Row],[Successful Hi. G. S.]]*10</f>
        <v>0</v>
      </c>
      <c r="H2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1">
        <f>IF(DataTable[[#This Row],[E. Game Compl.]]="Nothing",0,IF(DataTable[[#This Row],[E. Game Compl.]]="Challenging the Tower",5,IF(DataTable[[#This Row],[E. Game Compl.]]="Scaling the Tower",15,)))</f>
        <v>0</v>
      </c>
      <c r="J201">
        <f>Table2[[#This Row],[AUTO Pts]]+Table2[[#This Row],[Shooting Pts.]]+Table2[[#This Row],[Def. Points]]+Table2[[#This Row],[E. Game Pts.]]</f>
        <v>0</v>
      </c>
    </row>
    <row r="202" spans="1:10" x14ac:dyDescent="0.25">
      <c r="A202">
        <f>DataTable[[#This Row],[Tm.]]</f>
        <v>0</v>
      </c>
      <c r="B202">
        <f>DataTable[[#This Row],[Match Nr.]]</f>
        <v>0</v>
      </c>
      <c r="C2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2">
        <f>DataTable[[#This Row],[Successful Lo. G. S]]*2+DataTable[[#This Row],[Successful Hi. G. S.]]*10</f>
        <v>0</v>
      </c>
      <c r="H2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2">
        <f>IF(DataTable[[#This Row],[E. Game Compl.]]="Nothing",0,IF(DataTable[[#This Row],[E. Game Compl.]]="Challenging the Tower",5,IF(DataTable[[#This Row],[E. Game Compl.]]="Scaling the Tower",15,)))</f>
        <v>0</v>
      </c>
      <c r="J202">
        <f>Table2[[#This Row],[AUTO Pts]]+Table2[[#This Row],[Shooting Pts.]]+Table2[[#This Row],[Def. Points]]+Table2[[#This Row],[E. Game Pts.]]</f>
        <v>0</v>
      </c>
    </row>
    <row r="203" spans="1:10" x14ac:dyDescent="0.25">
      <c r="A203">
        <f>DataTable[[#This Row],[Tm.]]</f>
        <v>0</v>
      </c>
      <c r="B203">
        <f>DataTable[[#This Row],[Match Nr.]]</f>
        <v>0</v>
      </c>
      <c r="C2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3">
        <f>DataTable[[#This Row],[Successful Lo. G. S]]*2+DataTable[[#This Row],[Successful Hi. G. S.]]*10</f>
        <v>0</v>
      </c>
      <c r="H2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3">
        <f>IF(DataTable[[#This Row],[E. Game Compl.]]="Nothing",0,IF(DataTable[[#This Row],[E. Game Compl.]]="Challenging the Tower",5,IF(DataTable[[#This Row],[E. Game Compl.]]="Scaling the Tower",15,)))</f>
        <v>0</v>
      </c>
      <c r="J203">
        <f>Table2[[#This Row],[AUTO Pts]]+Table2[[#This Row],[Shooting Pts.]]+Table2[[#This Row],[Def. Points]]+Table2[[#This Row],[E. Game Pts.]]</f>
        <v>0</v>
      </c>
    </row>
    <row r="204" spans="1:10" x14ac:dyDescent="0.25">
      <c r="A204">
        <f>DataTable[[#This Row],[Tm.]]</f>
        <v>0</v>
      </c>
      <c r="B204">
        <f>DataTable[[#This Row],[Match Nr.]]</f>
        <v>0</v>
      </c>
      <c r="C2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4">
        <f>DataTable[[#This Row],[Successful Lo. G. S]]*2+DataTable[[#This Row],[Successful Hi. G. S.]]*10</f>
        <v>0</v>
      </c>
      <c r="H2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4">
        <f>IF(DataTable[[#This Row],[E. Game Compl.]]="Nothing",0,IF(DataTable[[#This Row],[E. Game Compl.]]="Challenging the Tower",5,IF(DataTable[[#This Row],[E. Game Compl.]]="Scaling the Tower",15,)))</f>
        <v>0</v>
      </c>
      <c r="J204">
        <f>Table2[[#This Row],[AUTO Pts]]+Table2[[#This Row],[Shooting Pts.]]+Table2[[#This Row],[Def. Points]]+Table2[[#This Row],[E. Game Pts.]]</f>
        <v>0</v>
      </c>
    </row>
    <row r="205" spans="1:10" x14ac:dyDescent="0.25">
      <c r="A205">
        <f>DataTable[[#This Row],[Tm.]]</f>
        <v>0</v>
      </c>
      <c r="B205">
        <f>DataTable[[#This Row],[Match Nr.]]</f>
        <v>0</v>
      </c>
      <c r="C2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5">
        <f>DataTable[[#This Row],[Successful Lo. G. S]]*2+DataTable[[#This Row],[Successful Hi. G. S.]]*10</f>
        <v>0</v>
      </c>
      <c r="H2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5">
        <f>IF(DataTable[[#This Row],[E. Game Compl.]]="Nothing",0,IF(DataTable[[#This Row],[E. Game Compl.]]="Challenging the Tower",5,IF(DataTable[[#This Row],[E. Game Compl.]]="Scaling the Tower",15,)))</f>
        <v>0</v>
      </c>
      <c r="J205">
        <f>Table2[[#This Row],[AUTO Pts]]+Table2[[#This Row],[Shooting Pts.]]+Table2[[#This Row],[Def. Points]]+Table2[[#This Row],[E. Game Pts.]]</f>
        <v>0</v>
      </c>
    </row>
    <row r="206" spans="1:10" x14ac:dyDescent="0.25">
      <c r="A206">
        <f>DataTable[[#This Row],[Tm.]]</f>
        <v>0</v>
      </c>
      <c r="B206">
        <f>DataTable[[#This Row],[Match Nr.]]</f>
        <v>0</v>
      </c>
      <c r="C2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6">
        <f>DataTable[[#This Row],[Successful Lo. G. S]]*2+DataTable[[#This Row],[Successful Hi. G. S.]]*10</f>
        <v>0</v>
      </c>
      <c r="H2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6">
        <f>IF(DataTable[[#This Row],[E. Game Compl.]]="Nothing",0,IF(DataTable[[#This Row],[E. Game Compl.]]="Challenging the Tower",5,IF(DataTable[[#This Row],[E. Game Compl.]]="Scaling the Tower",15,)))</f>
        <v>0</v>
      </c>
      <c r="J206">
        <f>Table2[[#This Row],[AUTO Pts]]+Table2[[#This Row],[Shooting Pts.]]+Table2[[#This Row],[Def. Points]]+Table2[[#This Row],[E. Game Pts.]]</f>
        <v>0</v>
      </c>
    </row>
    <row r="207" spans="1:10" x14ac:dyDescent="0.25">
      <c r="A207">
        <f>DataTable[[#This Row],[Tm.]]</f>
        <v>0</v>
      </c>
      <c r="B207">
        <f>DataTable[[#This Row],[Match Nr.]]</f>
        <v>0</v>
      </c>
      <c r="C2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7">
        <f>DataTable[[#This Row],[Successful Lo. G. S]]*2+DataTable[[#This Row],[Successful Hi. G. S.]]*10</f>
        <v>0</v>
      </c>
      <c r="H2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7">
        <f>IF(DataTable[[#This Row],[E. Game Compl.]]="Nothing",0,IF(DataTable[[#This Row],[E. Game Compl.]]="Challenging the Tower",5,IF(DataTable[[#This Row],[E. Game Compl.]]="Scaling the Tower",15,)))</f>
        <v>0</v>
      </c>
      <c r="J207">
        <f>Table2[[#This Row],[AUTO Pts]]+Table2[[#This Row],[Shooting Pts.]]+Table2[[#This Row],[Def. Points]]+Table2[[#This Row],[E. Game Pts.]]</f>
        <v>0</v>
      </c>
    </row>
    <row r="208" spans="1:10" x14ac:dyDescent="0.25">
      <c r="A208">
        <f>DataTable[[#This Row],[Tm.]]</f>
        <v>0</v>
      </c>
      <c r="B208">
        <f>DataTable[[#This Row],[Match Nr.]]</f>
        <v>0</v>
      </c>
      <c r="C2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8">
        <f>DataTable[[#This Row],[Successful Lo. G. S]]*2+DataTable[[#This Row],[Successful Hi. G. S.]]*10</f>
        <v>0</v>
      </c>
      <c r="H2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8">
        <f>IF(DataTable[[#This Row],[E. Game Compl.]]="Nothing",0,IF(DataTable[[#This Row],[E. Game Compl.]]="Challenging the Tower",5,IF(DataTable[[#This Row],[E. Game Compl.]]="Scaling the Tower",15,)))</f>
        <v>0</v>
      </c>
      <c r="J208">
        <f>Table2[[#This Row],[AUTO Pts]]+Table2[[#This Row],[Shooting Pts.]]+Table2[[#This Row],[Def. Points]]+Table2[[#This Row],[E. Game Pts.]]</f>
        <v>0</v>
      </c>
    </row>
    <row r="209" spans="1:10" x14ac:dyDescent="0.25">
      <c r="A209">
        <f>DataTable[[#This Row],[Tm.]]</f>
        <v>0</v>
      </c>
      <c r="B209">
        <f>DataTable[[#This Row],[Match Nr.]]</f>
        <v>0</v>
      </c>
      <c r="C2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9">
        <f>DataTable[[#This Row],[Successful Lo. G. S]]*2+DataTable[[#This Row],[Successful Hi. G. S.]]*10</f>
        <v>0</v>
      </c>
      <c r="H2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9">
        <f>IF(DataTable[[#This Row],[E. Game Compl.]]="Nothing",0,IF(DataTable[[#This Row],[E. Game Compl.]]="Challenging the Tower",5,IF(DataTable[[#This Row],[E. Game Compl.]]="Scaling the Tower",15,)))</f>
        <v>0</v>
      </c>
      <c r="J209">
        <f>Table2[[#This Row],[AUTO Pts]]+Table2[[#This Row],[Shooting Pts.]]+Table2[[#This Row],[Def. Points]]+Table2[[#This Row],[E. Game Pts.]]</f>
        <v>0</v>
      </c>
    </row>
    <row r="210" spans="1:10" x14ac:dyDescent="0.25">
      <c r="A210">
        <f>DataTable[[#This Row],[Tm.]]</f>
        <v>0</v>
      </c>
      <c r="B210">
        <f>DataTable[[#This Row],[Match Nr.]]</f>
        <v>0</v>
      </c>
      <c r="C2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0">
        <f>DataTable[[#This Row],[Successful Lo. G. S]]*2+DataTable[[#This Row],[Successful Hi. G. S.]]*10</f>
        <v>0</v>
      </c>
      <c r="H2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0">
        <f>IF(DataTable[[#This Row],[E. Game Compl.]]="Nothing",0,IF(DataTable[[#This Row],[E. Game Compl.]]="Challenging the Tower",5,IF(DataTable[[#This Row],[E. Game Compl.]]="Scaling the Tower",15,)))</f>
        <v>0</v>
      </c>
      <c r="J210">
        <f>Table2[[#This Row],[AUTO Pts]]+Table2[[#This Row],[Shooting Pts.]]+Table2[[#This Row],[Def. Points]]+Table2[[#This Row],[E. Game Pts.]]</f>
        <v>0</v>
      </c>
    </row>
    <row r="211" spans="1:10" x14ac:dyDescent="0.25">
      <c r="A211">
        <f>DataTable[[#This Row],[Tm.]]</f>
        <v>0</v>
      </c>
      <c r="B211">
        <f>DataTable[[#This Row],[Match Nr.]]</f>
        <v>0</v>
      </c>
      <c r="C2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1">
        <f>DataTable[[#This Row],[Successful Lo. G. S]]*2+DataTable[[#This Row],[Successful Hi. G. S.]]*10</f>
        <v>0</v>
      </c>
      <c r="H2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1">
        <f>IF(DataTable[[#This Row],[E. Game Compl.]]="Nothing",0,IF(DataTable[[#This Row],[E. Game Compl.]]="Challenging the Tower",5,IF(DataTable[[#This Row],[E. Game Compl.]]="Scaling the Tower",15,)))</f>
        <v>0</v>
      </c>
      <c r="J211">
        <f>Table2[[#This Row],[AUTO Pts]]+Table2[[#This Row],[Shooting Pts.]]+Table2[[#This Row],[Def. Points]]+Table2[[#This Row],[E. Game Pts.]]</f>
        <v>0</v>
      </c>
    </row>
    <row r="212" spans="1:10" x14ac:dyDescent="0.25">
      <c r="A212">
        <f>DataTable[[#This Row],[Tm.]]</f>
        <v>0</v>
      </c>
      <c r="B212">
        <f>DataTable[[#This Row],[Match Nr.]]</f>
        <v>0</v>
      </c>
      <c r="C2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2">
        <f>DataTable[[#This Row],[Successful Lo. G. S]]*2+DataTable[[#This Row],[Successful Hi. G. S.]]*10</f>
        <v>0</v>
      </c>
      <c r="H2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2">
        <f>IF(DataTable[[#This Row],[E. Game Compl.]]="Nothing",0,IF(DataTable[[#This Row],[E. Game Compl.]]="Challenging the Tower",5,IF(DataTable[[#This Row],[E. Game Compl.]]="Scaling the Tower",15,)))</f>
        <v>0</v>
      </c>
      <c r="J212">
        <f>Table2[[#This Row],[AUTO Pts]]+Table2[[#This Row],[Shooting Pts.]]+Table2[[#This Row],[Def. Points]]+Table2[[#This Row],[E. Game Pts.]]</f>
        <v>0</v>
      </c>
    </row>
    <row r="213" spans="1:10" x14ac:dyDescent="0.25">
      <c r="A213">
        <f>DataTable[[#This Row],[Tm.]]</f>
        <v>0</v>
      </c>
      <c r="B213">
        <f>DataTable[[#This Row],[Match Nr.]]</f>
        <v>0</v>
      </c>
      <c r="C2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3">
        <f>DataTable[[#This Row],[Successful Lo. G. S]]*2+DataTable[[#This Row],[Successful Hi. G. S.]]*10</f>
        <v>0</v>
      </c>
      <c r="H2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3">
        <f>IF(DataTable[[#This Row],[E. Game Compl.]]="Nothing",0,IF(DataTable[[#This Row],[E. Game Compl.]]="Challenging the Tower",5,IF(DataTable[[#This Row],[E. Game Compl.]]="Scaling the Tower",15,)))</f>
        <v>0</v>
      </c>
      <c r="J213">
        <f>Table2[[#This Row],[AUTO Pts]]+Table2[[#This Row],[Shooting Pts.]]+Table2[[#This Row],[Def. Points]]+Table2[[#This Row],[E. Game Pts.]]</f>
        <v>0</v>
      </c>
    </row>
    <row r="214" spans="1:10" x14ac:dyDescent="0.25">
      <c r="A214">
        <f>DataTable[[#This Row],[Tm.]]</f>
        <v>0</v>
      </c>
      <c r="B214">
        <f>DataTable[[#This Row],[Match Nr.]]</f>
        <v>0</v>
      </c>
      <c r="C2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4">
        <f>DataTable[[#This Row],[Successful Lo. G. S]]*2+DataTable[[#This Row],[Successful Hi. G. S.]]*10</f>
        <v>0</v>
      </c>
      <c r="H2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4">
        <f>IF(DataTable[[#This Row],[E. Game Compl.]]="Nothing",0,IF(DataTable[[#This Row],[E. Game Compl.]]="Challenging the Tower",5,IF(DataTable[[#This Row],[E. Game Compl.]]="Scaling the Tower",15,)))</f>
        <v>0</v>
      </c>
      <c r="J214">
        <f>Table2[[#This Row],[AUTO Pts]]+Table2[[#This Row],[Shooting Pts.]]+Table2[[#This Row],[Def. Points]]+Table2[[#This Row],[E. Game Pts.]]</f>
        <v>0</v>
      </c>
    </row>
    <row r="215" spans="1:10" x14ac:dyDescent="0.25">
      <c r="A215">
        <f>DataTable[[#This Row],[Tm.]]</f>
        <v>0</v>
      </c>
      <c r="B215">
        <f>DataTable[[#This Row],[Match Nr.]]</f>
        <v>0</v>
      </c>
      <c r="C2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5">
        <f>DataTable[[#This Row],[Successful Lo. G. S]]*2+DataTable[[#This Row],[Successful Hi. G. S.]]*10</f>
        <v>0</v>
      </c>
      <c r="H2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5">
        <f>IF(DataTable[[#This Row],[E. Game Compl.]]="Nothing",0,IF(DataTable[[#This Row],[E. Game Compl.]]="Challenging the Tower",5,IF(DataTable[[#This Row],[E. Game Compl.]]="Scaling the Tower",15,)))</f>
        <v>0</v>
      </c>
      <c r="J215">
        <f>Table2[[#This Row],[AUTO Pts]]+Table2[[#This Row],[Shooting Pts.]]+Table2[[#This Row],[Def. Points]]+Table2[[#This Row],[E. Game Pts.]]</f>
        <v>0</v>
      </c>
    </row>
    <row r="216" spans="1:10" x14ac:dyDescent="0.25">
      <c r="A216">
        <f>DataTable[[#This Row],[Tm.]]</f>
        <v>0</v>
      </c>
      <c r="B216">
        <f>DataTable[[#This Row],[Match Nr.]]</f>
        <v>0</v>
      </c>
      <c r="C2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6">
        <f>DataTable[[#This Row],[Successful Lo. G. S]]*2+DataTable[[#This Row],[Successful Hi. G. S.]]*10</f>
        <v>0</v>
      </c>
      <c r="H2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6">
        <f>IF(DataTable[[#This Row],[E. Game Compl.]]="Nothing",0,IF(DataTable[[#This Row],[E. Game Compl.]]="Challenging the Tower",5,IF(DataTable[[#This Row],[E. Game Compl.]]="Scaling the Tower",15,)))</f>
        <v>0</v>
      </c>
      <c r="J216">
        <f>Table2[[#This Row],[AUTO Pts]]+Table2[[#This Row],[Shooting Pts.]]+Table2[[#This Row],[Def. Points]]+Table2[[#This Row],[E. Game Pts.]]</f>
        <v>0</v>
      </c>
    </row>
    <row r="217" spans="1:10" x14ac:dyDescent="0.25">
      <c r="A217">
        <f>DataTable[[#This Row],[Tm.]]</f>
        <v>0</v>
      </c>
      <c r="B217">
        <f>DataTable[[#This Row],[Match Nr.]]</f>
        <v>0</v>
      </c>
      <c r="C2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7">
        <f>DataTable[[#This Row],[Successful Lo. G. S]]*2+DataTable[[#This Row],[Successful Hi. G. S.]]*10</f>
        <v>0</v>
      </c>
      <c r="H2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7">
        <f>IF(DataTable[[#This Row],[E. Game Compl.]]="Nothing",0,IF(DataTable[[#This Row],[E. Game Compl.]]="Challenging the Tower",5,IF(DataTable[[#This Row],[E. Game Compl.]]="Scaling the Tower",15,)))</f>
        <v>0</v>
      </c>
      <c r="J217">
        <f>Table2[[#This Row],[AUTO Pts]]+Table2[[#This Row],[Shooting Pts.]]+Table2[[#This Row],[Def. Points]]+Table2[[#This Row],[E. Game Pts.]]</f>
        <v>0</v>
      </c>
    </row>
    <row r="218" spans="1:10" x14ac:dyDescent="0.25">
      <c r="A218">
        <f>DataTable[[#This Row],[Tm.]]</f>
        <v>0</v>
      </c>
      <c r="B218">
        <f>DataTable[[#This Row],[Match Nr.]]</f>
        <v>0</v>
      </c>
      <c r="C2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8">
        <f>DataTable[[#This Row],[Successful Lo. G. S]]*2+DataTable[[#This Row],[Successful Hi. G. S.]]*10</f>
        <v>0</v>
      </c>
      <c r="H2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8">
        <f>IF(DataTable[[#This Row],[E. Game Compl.]]="Nothing",0,IF(DataTable[[#This Row],[E. Game Compl.]]="Challenging the Tower",5,IF(DataTable[[#This Row],[E. Game Compl.]]="Scaling the Tower",15,)))</f>
        <v>0</v>
      </c>
      <c r="J218">
        <f>Table2[[#This Row],[AUTO Pts]]+Table2[[#This Row],[Shooting Pts.]]+Table2[[#This Row],[Def. Points]]+Table2[[#This Row],[E. Game Pts.]]</f>
        <v>0</v>
      </c>
    </row>
    <row r="219" spans="1:10" x14ac:dyDescent="0.25">
      <c r="A219">
        <f>DataTable[[#This Row],[Tm.]]</f>
        <v>0</v>
      </c>
      <c r="B219">
        <f>DataTable[[#This Row],[Match Nr.]]</f>
        <v>0</v>
      </c>
      <c r="C2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9">
        <f>DataTable[[#This Row],[Successful Lo. G. S]]*2+DataTable[[#This Row],[Successful Hi. G. S.]]*10</f>
        <v>0</v>
      </c>
      <c r="H2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9">
        <f>IF(DataTable[[#This Row],[E. Game Compl.]]="Nothing",0,IF(DataTable[[#This Row],[E. Game Compl.]]="Challenging the Tower",5,IF(DataTable[[#This Row],[E. Game Compl.]]="Scaling the Tower",15,)))</f>
        <v>0</v>
      </c>
      <c r="J219">
        <f>Table2[[#This Row],[AUTO Pts]]+Table2[[#This Row],[Shooting Pts.]]+Table2[[#This Row],[Def. Points]]+Table2[[#This Row],[E. Game Pts.]]</f>
        <v>0</v>
      </c>
    </row>
    <row r="220" spans="1:10" x14ac:dyDescent="0.25">
      <c r="A220">
        <f>DataTable[[#This Row],[Tm.]]</f>
        <v>0</v>
      </c>
      <c r="B220">
        <f>DataTable[[#This Row],[Match Nr.]]</f>
        <v>0</v>
      </c>
      <c r="C2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0">
        <f>DataTable[[#This Row],[Successful Lo. G. S]]*2+DataTable[[#This Row],[Successful Hi. G. S.]]*10</f>
        <v>0</v>
      </c>
      <c r="H2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0">
        <f>IF(DataTable[[#This Row],[E. Game Compl.]]="Nothing",0,IF(DataTable[[#This Row],[E. Game Compl.]]="Challenging the Tower",5,IF(DataTable[[#This Row],[E. Game Compl.]]="Scaling the Tower",15,)))</f>
        <v>0</v>
      </c>
      <c r="J220">
        <f>Table2[[#This Row],[AUTO Pts]]+Table2[[#This Row],[Shooting Pts.]]+Table2[[#This Row],[Def. Points]]+Table2[[#This Row],[E. Game Pts.]]</f>
        <v>0</v>
      </c>
    </row>
    <row r="221" spans="1:10" x14ac:dyDescent="0.25">
      <c r="A221">
        <f>DataTable[[#This Row],[Tm.]]</f>
        <v>0</v>
      </c>
      <c r="B221">
        <f>DataTable[[#This Row],[Match Nr.]]</f>
        <v>0</v>
      </c>
      <c r="C2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1">
        <f>DataTable[[#This Row],[Successful Lo. G. S]]*2+DataTable[[#This Row],[Successful Hi. G. S.]]*10</f>
        <v>0</v>
      </c>
      <c r="H2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1">
        <f>IF(DataTable[[#This Row],[E. Game Compl.]]="Nothing",0,IF(DataTable[[#This Row],[E. Game Compl.]]="Challenging the Tower",5,IF(DataTable[[#This Row],[E. Game Compl.]]="Scaling the Tower",15,)))</f>
        <v>0</v>
      </c>
      <c r="J221">
        <f>Table2[[#This Row],[AUTO Pts]]+Table2[[#This Row],[Shooting Pts.]]+Table2[[#This Row],[Def. Points]]+Table2[[#This Row],[E. Game Pts.]]</f>
        <v>0</v>
      </c>
    </row>
    <row r="222" spans="1:10" x14ac:dyDescent="0.25">
      <c r="A222">
        <f>DataTable[[#This Row],[Tm.]]</f>
        <v>0</v>
      </c>
      <c r="B222">
        <f>DataTable[[#This Row],[Match Nr.]]</f>
        <v>0</v>
      </c>
      <c r="C2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2">
        <f>DataTable[[#This Row],[Successful Lo. G. S]]*2+DataTable[[#This Row],[Successful Hi. G. S.]]*10</f>
        <v>0</v>
      </c>
      <c r="H2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2">
        <f>IF(DataTable[[#This Row],[E. Game Compl.]]="Nothing",0,IF(DataTable[[#This Row],[E. Game Compl.]]="Challenging the Tower",5,IF(DataTable[[#This Row],[E. Game Compl.]]="Scaling the Tower",15,)))</f>
        <v>0</v>
      </c>
      <c r="J222">
        <f>Table2[[#This Row],[AUTO Pts]]+Table2[[#This Row],[Shooting Pts.]]+Table2[[#This Row],[Def. Points]]+Table2[[#This Row],[E. Game Pts.]]</f>
        <v>0</v>
      </c>
    </row>
    <row r="223" spans="1:10" x14ac:dyDescent="0.25">
      <c r="A223">
        <f>DataTable[[#This Row],[Tm.]]</f>
        <v>0</v>
      </c>
      <c r="B223">
        <f>DataTable[[#This Row],[Match Nr.]]</f>
        <v>0</v>
      </c>
      <c r="C2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3">
        <f>DataTable[[#This Row],[Successful Lo. G. S]]*2+DataTable[[#This Row],[Successful Hi. G. S.]]*10</f>
        <v>0</v>
      </c>
      <c r="H2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3">
        <f>IF(DataTable[[#This Row],[E. Game Compl.]]="Nothing",0,IF(DataTable[[#This Row],[E. Game Compl.]]="Challenging the Tower",5,IF(DataTable[[#This Row],[E. Game Compl.]]="Scaling the Tower",15,)))</f>
        <v>0</v>
      </c>
      <c r="J223">
        <f>Table2[[#This Row],[AUTO Pts]]+Table2[[#This Row],[Shooting Pts.]]+Table2[[#This Row],[Def. Points]]+Table2[[#This Row],[E. Game Pts.]]</f>
        <v>0</v>
      </c>
    </row>
    <row r="224" spans="1:10" x14ac:dyDescent="0.25">
      <c r="A224">
        <f>DataTable[[#This Row],[Tm.]]</f>
        <v>0</v>
      </c>
      <c r="B224">
        <f>DataTable[[#This Row],[Match Nr.]]</f>
        <v>0</v>
      </c>
      <c r="C2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4">
        <f>DataTable[[#This Row],[Successful Lo. G. S]]*2+DataTable[[#This Row],[Successful Hi. G. S.]]*10</f>
        <v>0</v>
      </c>
      <c r="H2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4">
        <f>IF(DataTable[[#This Row],[E. Game Compl.]]="Nothing",0,IF(DataTable[[#This Row],[E. Game Compl.]]="Challenging the Tower",5,IF(DataTable[[#This Row],[E. Game Compl.]]="Scaling the Tower",15,)))</f>
        <v>0</v>
      </c>
      <c r="J224">
        <f>Table2[[#This Row],[AUTO Pts]]+Table2[[#This Row],[Shooting Pts.]]+Table2[[#This Row],[Def. Points]]+Table2[[#This Row],[E. Game Pts.]]</f>
        <v>0</v>
      </c>
    </row>
    <row r="225" spans="1:10" x14ac:dyDescent="0.25">
      <c r="A225">
        <f>DataTable[[#This Row],[Tm.]]</f>
        <v>0</v>
      </c>
      <c r="B225">
        <f>DataTable[[#This Row],[Match Nr.]]</f>
        <v>0</v>
      </c>
      <c r="C2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5">
        <f>DataTable[[#This Row],[Successful Lo. G. S]]*2+DataTable[[#This Row],[Successful Hi. G. S.]]*10</f>
        <v>0</v>
      </c>
      <c r="H2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5">
        <f>IF(DataTable[[#This Row],[E. Game Compl.]]="Nothing",0,IF(DataTable[[#This Row],[E. Game Compl.]]="Challenging the Tower",5,IF(DataTable[[#This Row],[E. Game Compl.]]="Scaling the Tower",15,)))</f>
        <v>0</v>
      </c>
      <c r="J225">
        <f>Table2[[#This Row],[AUTO Pts]]+Table2[[#This Row],[Shooting Pts.]]+Table2[[#This Row],[Def. Points]]+Table2[[#This Row],[E. Game Pts.]]</f>
        <v>0</v>
      </c>
    </row>
    <row r="226" spans="1:10" x14ac:dyDescent="0.25">
      <c r="A226">
        <f>DataTable[[#This Row],[Tm.]]</f>
        <v>0</v>
      </c>
      <c r="B226">
        <f>DataTable[[#This Row],[Match Nr.]]</f>
        <v>0</v>
      </c>
      <c r="C2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6">
        <f>DataTable[[#This Row],[Successful Lo. G. S]]*2+DataTable[[#This Row],[Successful Hi. G. S.]]*10</f>
        <v>0</v>
      </c>
      <c r="H2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6">
        <f>IF(DataTable[[#This Row],[E. Game Compl.]]="Nothing",0,IF(DataTable[[#This Row],[E. Game Compl.]]="Challenging the Tower",5,IF(DataTable[[#This Row],[E. Game Compl.]]="Scaling the Tower",15,)))</f>
        <v>0</v>
      </c>
      <c r="J226">
        <f>Table2[[#This Row],[AUTO Pts]]+Table2[[#This Row],[Shooting Pts.]]+Table2[[#This Row],[Def. Points]]+Table2[[#This Row],[E. Game Pts.]]</f>
        <v>0</v>
      </c>
    </row>
    <row r="227" spans="1:10" x14ac:dyDescent="0.25">
      <c r="A227">
        <f>DataTable[[#This Row],[Tm.]]</f>
        <v>0</v>
      </c>
      <c r="B227">
        <f>DataTable[[#This Row],[Match Nr.]]</f>
        <v>0</v>
      </c>
      <c r="C2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7">
        <f>DataTable[[#This Row],[Successful Lo. G. S]]*2+DataTable[[#This Row],[Successful Hi. G. S.]]*10</f>
        <v>0</v>
      </c>
      <c r="H2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7">
        <f>IF(DataTable[[#This Row],[E. Game Compl.]]="Nothing",0,IF(DataTable[[#This Row],[E. Game Compl.]]="Challenging the Tower",5,IF(DataTable[[#This Row],[E. Game Compl.]]="Scaling the Tower",15,)))</f>
        <v>0</v>
      </c>
      <c r="J227">
        <f>Table2[[#This Row],[AUTO Pts]]+Table2[[#This Row],[Shooting Pts.]]+Table2[[#This Row],[Def. Points]]+Table2[[#This Row],[E. Game Pts.]]</f>
        <v>0</v>
      </c>
    </row>
    <row r="228" spans="1:10" x14ac:dyDescent="0.25">
      <c r="A228">
        <f>DataTable[[#This Row],[Tm.]]</f>
        <v>0</v>
      </c>
      <c r="B228">
        <f>DataTable[[#This Row],[Match Nr.]]</f>
        <v>0</v>
      </c>
      <c r="C2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8">
        <f>DataTable[[#This Row],[Successful Lo. G. S]]*2+DataTable[[#This Row],[Successful Hi. G. S.]]*10</f>
        <v>0</v>
      </c>
      <c r="H2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8">
        <f>IF(DataTable[[#This Row],[E. Game Compl.]]="Nothing",0,IF(DataTable[[#This Row],[E. Game Compl.]]="Challenging the Tower",5,IF(DataTable[[#This Row],[E. Game Compl.]]="Scaling the Tower",15,)))</f>
        <v>0</v>
      </c>
      <c r="J228">
        <f>Table2[[#This Row],[AUTO Pts]]+Table2[[#This Row],[Shooting Pts.]]+Table2[[#This Row],[Def. Points]]+Table2[[#This Row],[E. Game Pts.]]</f>
        <v>0</v>
      </c>
    </row>
    <row r="229" spans="1:10" x14ac:dyDescent="0.25">
      <c r="A229">
        <f>DataTable[[#This Row],[Tm.]]</f>
        <v>0</v>
      </c>
      <c r="B229">
        <f>DataTable[[#This Row],[Match Nr.]]</f>
        <v>0</v>
      </c>
      <c r="C2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9">
        <f>DataTable[[#This Row],[Successful Lo. G. S]]*2+DataTable[[#This Row],[Successful Hi. G. S.]]*10</f>
        <v>0</v>
      </c>
      <c r="H2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9">
        <f>IF(DataTable[[#This Row],[E. Game Compl.]]="Nothing",0,IF(DataTable[[#This Row],[E. Game Compl.]]="Challenging the Tower",5,IF(DataTable[[#This Row],[E. Game Compl.]]="Scaling the Tower",15,)))</f>
        <v>0</v>
      </c>
      <c r="J229">
        <f>Table2[[#This Row],[AUTO Pts]]+Table2[[#This Row],[Shooting Pts.]]+Table2[[#This Row],[Def. Points]]+Table2[[#This Row],[E. Game Pts.]]</f>
        <v>0</v>
      </c>
    </row>
    <row r="230" spans="1:10" x14ac:dyDescent="0.25">
      <c r="A230">
        <f>DataTable[[#This Row],[Tm.]]</f>
        <v>0</v>
      </c>
      <c r="B230">
        <f>DataTable[[#This Row],[Match Nr.]]</f>
        <v>0</v>
      </c>
      <c r="C2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0">
        <f>DataTable[[#This Row],[Successful Lo. G. S]]*2+DataTable[[#This Row],[Successful Hi. G. S.]]*10</f>
        <v>0</v>
      </c>
      <c r="H2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0">
        <f>IF(DataTable[[#This Row],[E. Game Compl.]]="Nothing",0,IF(DataTable[[#This Row],[E. Game Compl.]]="Challenging the Tower",5,IF(DataTable[[#This Row],[E. Game Compl.]]="Scaling the Tower",15,)))</f>
        <v>0</v>
      </c>
      <c r="J230">
        <f>Table2[[#This Row],[AUTO Pts]]+Table2[[#This Row],[Shooting Pts.]]+Table2[[#This Row],[Def. Points]]+Table2[[#This Row],[E. Game Pts.]]</f>
        <v>0</v>
      </c>
    </row>
    <row r="231" spans="1:10" x14ac:dyDescent="0.25">
      <c r="A231">
        <f>DataTable[[#This Row],[Tm.]]</f>
        <v>0</v>
      </c>
      <c r="B231">
        <f>DataTable[[#This Row],[Match Nr.]]</f>
        <v>0</v>
      </c>
      <c r="C2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1">
        <f>DataTable[[#This Row],[Successful Lo. G. S]]*2+DataTable[[#This Row],[Successful Hi. G. S.]]*10</f>
        <v>0</v>
      </c>
      <c r="H2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1">
        <f>IF(DataTable[[#This Row],[E. Game Compl.]]="Nothing",0,IF(DataTable[[#This Row],[E. Game Compl.]]="Challenging the Tower",5,IF(DataTable[[#This Row],[E. Game Compl.]]="Scaling the Tower",15,)))</f>
        <v>0</v>
      </c>
      <c r="J231">
        <f>Table2[[#This Row],[AUTO Pts]]+Table2[[#This Row],[Shooting Pts.]]+Table2[[#This Row],[Def. Points]]+Table2[[#This Row],[E. Game Pts.]]</f>
        <v>0</v>
      </c>
    </row>
    <row r="232" spans="1:10" x14ac:dyDescent="0.25">
      <c r="A232">
        <f>DataTable[[#This Row],[Tm.]]</f>
        <v>0</v>
      </c>
      <c r="B232">
        <f>DataTable[[#This Row],[Match Nr.]]</f>
        <v>0</v>
      </c>
      <c r="C2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2">
        <f>DataTable[[#This Row],[Successful Lo. G. S]]*2+DataTable[[#This Row],[Successful Hi. G. S.]]*10</f>
        <v>0</v>
      </c>
      <c r="H2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2">
        <f>IF(DataTable[[#This Row],[E. Game Compl.]]="Nothing",0,IF(DataTable[[#This Row],[E. Game Compl.]]="Challenging the Tower",5,IF(DataTable[[#This Row],[E. Game Compl.]]="Scaling the Tower",15,)))</f>
        <v>0</v>
      </c>
      <c r="J232">
        <f>Table2[[#This Row],[AUTO Pts]]+Table2[[#This Row],[Shooting Pts.]]+Table2[[#This Row],[Def. Points]]+Table2[[#This Row],[E. Game Pts.]]</f>
        <v>0</v>
      </c>
    </row>
    <row r="233" spans="1:10" x14ac:dyDescent="0.25">
      <c r="A233">
        <f>DataTable[[#This Row],[Tm.]]</f>
        <v>0</v>
      </c>
      <c r="B233">
        <f>DataTable[[#This Row],[Match Nr.]]</f>
        <v>0</v>
      </c>
      <c r="C2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3">
        <f>DataTable[[#This Row],[Successful Lo. G. S]]*2+DataTable[[#This Row],[Successful Hi. G. S.]]*10</f>
        <v>0</v>
      </c>
      <c r="H2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3">
        <f>IF(DataTable[[#This Row],[E. Game Compl.]]="Nothing",0,IF(DataTable[[#This Row],[E. Game Compl.]]="Challenging the Tower",5,IF(DataTable[[#This Row],[E. Game Compl.]]="Scaling the Tower",15,)))</f>
        <v>0</v>
      </c>
      <c r="J233">
        <f>Table2[[#This Row],[AUTO Pts]]+Table2[[#This Row],[Shooting Pts.]]+Table2[[#This Row],[Def. Points]]+Table2[[#This Row],[E. Game Pts.]]</f>
        <v>0</v>
      </c>
    </row>
    <row r="234" spans="1:10" x14ac:dyDescent="0.25">
      <c r="A234">
        <f>DataTable[[#This Row],[Tm.]]</f>
        <v>0</v>
      </c>
      <c r="B234">
        <f>DataTable[[#This Row],[Match Nr.]]</f>
        <v>0</v>
      </c>
      <c r="C2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4">
        <f>DataTable[[#This Row],[Successful Lo. G. S]]*2+DataTable[[#This Row],[Successful Hi. G. S.]]*10</f>
        <v>0</v>
      </c>
      <c r="H2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4">
        <f>IF(DataTable[[#This Row],[E. Game Compl.]]="Nothing",0,IF(DataTable[[#This Row],[E. Game Compl.]]="Challenging the Tower",5,IF(DataTable[[#This Row],[E. Game Compl.]]="Scaling the Tower",15,)))</f>
        <v>0</v>
      </c>
      <c r="J234">
        <f>Table2[[#This Row],[AUTO Pts]]+Table2[[#This Row],[Shooting Pts.]]+Table2[[#This Row],[Def. Points]]+Table2[[#This Row],[E. Game Pts.]]</f>
        <v>0</v>
      </c>
    </row>
    <row r="235" spans="1:10" x14ac:dyDescent="0.25">
      <c r="A235">
        <f>DataTable[[#This Row],[Tm.]]</f>
        <v>0</v>
      </c>
      <c r="B235">
        <f>DataTable[[#This Row],[Match Nr.]]</f>
        <v>0</v>
      </c>
      <c r="C2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5">
        <f>DataTable[[#This Row],[Successful Lo. G. S]]*2+DataTable[[#This Row],[Successful Hi. G. S.]]*10</f>
        <v>0</v>
      </c>
      <c r="H2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5">
        <f>IF(DataTable[[#This Row],[E. Game Compl.]]="Nothing",0,IF(DataTable[[#This Row],[E. Game Compl.]]="Challenging the Tower",5,IF(DataTable[[#This Row],[E. Game Compl.]]="Scaling the Tower",15,)))</f>
        <v>0</v>
      </c>
      <c r="J235">
        <f>Table2[[#This Row],[AUTO Pts]]+Table2[[#This Row],[Shooting Pts.]]+Table2[[#This Row],[Def. Points]]+Table2[[#This Row],[E. Game Pts.]]</f>
        <v>0</v>
      </c>
    </row>
    <row r="236" spans="1:10" x14ac:dyDescent="0.25">
      <c r="A236">
        <f>DataTable[[#This Row],[Tm.]]</f>
        <v>0</v>
      </c>
      <c r="B236">
        <f>DataTable[[#This Row],[Match Nr.]]</f>
        <v>0</v>
      </c>
      <c r="C2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6">
        <f>DataTable[[#This Row],[Successful Lo. G. S]]*2+DataTable[[#This Row],[Successful Hi. G. S.]]*10</f>
        <v>0</v>
      </c>
      <c r="H2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6">
        <f>IF(DataTable[[#This Row],[E. Game Compl.]]="Nothing",0,IF(DataTable[[#This Row],[E. Game Compl.]]="Challenging the Tower",5,IF(DataTable[[#This Row],[E. Game Compl.]]="Scaling the Tower",15,)))</f>
        <v>0</v>
      </c>
      <c r="J236">
        <f>Table2[[#This Row],[AUTO Pts]]+Table2[[#This Row],[Shooting Pts.]]+Table2[[#This Row],[Def. Points]]+Table2[[#This Row],[E. Game Pts.]]</f>
        <v>0</v>
      </c>
    </row>
    <row r="237" spans="1:10" x14ac:dyDescent="0.25">
      <c r="A237">
        <f>DataTable[[#This Row],[Tm.]]</f>
        <v>0</v>
      </c>
      <c r="B237">
        <f>DataTable[[#This Row],[Match Nr.]]</f>
        <v>0</v>
      </c>
      <c r="C2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7">
        <f>DataTable[[#This Row],[Successful Lo. G. S]]*2+DataTable[[#This Row],[Successful Hi. G. S.]]*10</f>
        <v>0</v>
      </c>
      <c r="H2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7">
        <f>IF(DataTable[[#This Row],[E. Game Compl.]]="Nothing",0,IF(DataTable[[#This Row],[E. Game Compl.]]="Challenging the Tower",5,IF(DataTable[[#This Row],[E. Game Compl.]]="Scaling the Tower",15,)))</f>
        <v>0</v>
      </c>
      <c r="J237">
        <f>Table2[[#This Row],[AUTO Pts]]+Table2[[#This Row],[Shooting Pts.]]+Table2[[#This Row],[Def. Points]]+Table2[[#This Row],[E. Game Pts.]]</f>
        <v>0</v>
      </c>
    </row>
    <row r="238" spans="1:10" x14ac:dyDescent="0.25">
      <c r="A238">
        <f>DataTable[[#This Row],[Tm.]]</f>
        <v>0</v>
      </c>
      <c r="B238">
        <f>DataTable[[#This Row],[Match Nr.]]</f>
        <v>0</v>
      </c>
      <c r="C2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8">
        <f>DataTable[[#This Row],[Successful Lo. G. S]]*2+DataTable[[#This Row],[Successful Hi. G. S.]]*10</f>
        <v>0</v>
      </c>
      <c r="H2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8">
        <f>IF(DataTable[[#This Row],[E. Game Compl.]]="Nothing",0,IF(DataTable[[#This Row],[E. Game Compl.]]="Challenging the Tower",5,IF(DataTable[[#This Row],[E. Game Compl.]]="Scaling the Tower",15,)))</f>
        <v>0</v>
      </c>
      <c r="J238">
        <f>Table2[[#This Row],[AUTO Pts]]+Table2[[#This Row],[Shooting Pts.]]+Table2[[#This Row],[Def. Points]]+Table2[[#This Row],[E. Game Pts.]]</f>
        <v>0</v>
      </c>
    </row>
    <row r="239" spans="1:10" x14ac:dyDescent="0.25">
      <c r="A239">
        <f>DataTable[[#This Row],[Tm.]]</f>
        <v>0</v>
      </c>
      <c r="B239">
        <f>DataTable[[#This Row],[Match Nr.]]</f>
        <v>0</v>
      </c>
      <c r="C2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9">
        <f>DataTable[[#This Row],[Successful Lo. G. S]]*2+DataTable[[#This Row],[Successful Hi. G. S.]]*10</f>
        <v>0</v>
      </c>
      <c r="H2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9">
        <f>IF(DataTable[[#This Row],[E. Game Compl.]]="Nothing",0,IF(DataTable[[#This Row],[E. Game Compl.]]="Challenging the Tower",5,IF(DataTable[[#This Row],[E. Game Compl.]]="Scaling the Tower",15,)))</f>
        <v>0</v>
      </c>
      <c r="J239">
        <f>Table2[[#This Row],[AUTO Pts]]+Table2[[#This Row],[Shooting Pts.]]+Table2[[#This Row],[Def. Points]]+Table2[[#This Row],[E. Game Pts.]]</f>
        <v>0</v>
      </c>
    </row>
    <row r="240" spans="1:10" x14ac:dyDescent="0.25">
      <c r="A240">
        <f>DataTable[[#This Row],[Tm.]]</f>
        <v>0</v>
      </c>
      <c r="B240">
        <f>DataTable[[#This Row],[Match Nr.]]</f>
        <v>0</v>
      </c>
      <c r="C2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0">
        <f>DataTable[[#This Row],[Successful Lo. G. S]]*2+DataTable[[#This Row],[Successful Hi. G. S.]]*10</f>
        <v>0</v>
      </c>
      <c r="H2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0">
        <f>IF(DataTable[[#This Row],[E. Game Compl.]]="Nothing",0,IF(DataTable[[#This Row],[E. Game Compl.]]="Challenging the Tower",5,IF(DataTable[[#This Row],[E. Game Compl.]]="Scaling the Tower",15,)))</f>
        <v>0</v>
      </c>
      <c r="J240">
        <f>Table2[[#This Row],[AUTO Pts]]+Table2[[#This Row],[Shooting Pts.]]+Table2[[#This Row],[Def. Points]]+Table2[[#This Row],[E. Game Pts.]]</f>
        <v>0</v>
      </c>
    </row>
    <row r="241" spans="1:10" x14ac:dyDescent="0.25">
      <c r="A241">
        <f>DataTable[[#This Row],[Tm.]]</f>
        <v>0</v>
      </c>
      <c r="B241">
        <f>DataTable[[#This Row],[Match Nr.]]</f>
        <v>0</v>
      </c>
      <c r="C2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1">
        <f>DataTable[[#This Row],[Successful Lo. G. S]]*2+DataTable[[#This Row],[Successful Hi. G. S.]]*10</f>
        <v>0</v>
      </c>
      <c r="H2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1">
        <f>IF(DataTable[[#This Row],[E. Game Compl.]]="Nothing",0,IF(DataTable[[#This Row],[E. Game Compl.]]="Challenging the Tower",5,IF(DataTable[[#This Row],[E. Game Compl.]]="Scaling the Tower",15,)))</f>
        <v>0</v>
      </c>
      <c r="J241">
        <f>Table2[[#This Row],[AUTO Pts]]+Table2[[#This Row],[Shooting Pts.]]+Table2[[#This Row],[Def. Points]]+Table2[[#This Row],[E. Game Pts.]]</f>
        <v>0</v>
      </c>
    </row>
    <row r="242" spans="1:10" x14ac:dyDescent="0.25">
      <c r="A242">
        <f>DataTable[[#This Row],[Tm.]]</f>
        <v>0</v>
      </c>
      <c r="B242">
        <f>DataTable[[#This Row],[Match Nr.]]</f>
        <v>0</v>
      </c>
      <c r="C2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2">
        <f>DataTable[[#This Row],[Successful Lo. G. S]]*2+DataTable[[#This Row],[Successful Hi. G. S.]]*10</f>
        <v>0</v>
      </c>
      <c r="H2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2">
        <f>IF(DataTable[[#This Row],[E. Game Compl.]]="Nothing",0,IF(DataTable[[#This Row],[E. Game Compl.]]="Challenging the Tower",5,IF(DataTable[[#This Row],[E. Game Compl.]]="Scaling the Tower",15,)))</f>
        <v>0</v>
      </c>
      <c r="J242">
        <f>Table2[[#This Row],[AUTO Pts]]+Table2[[#This Row],[Shooting Pts.]]+Table2[[#This Row],[Def. Points]]+Table2[[#This Row],[E. Game Pts.]]</f>
        <v>0</v>
      </c>
    </row>
    <row r="243" spans="1:10" x14ac:dyDescent="0.25">
      <c r="A243">
        <f>DataTable[[#This Row],[Tm.]]</f>
        <v>0</v>
      </c>
      <c r="B243">
        <f>DataTable[[#This Row],[Match Nr.]]</f>
        <v>0</v>
      </c>
      <c r="C2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3">
        <f>DataTable[[#This Row],[Successful Lo. G. S]]*2+DataTable[[#This Row],[Successful Hi. G. S.]]*10</f>
        <v>0</v>
      </c>
      <c r="H2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3">
        <f>IF(DataTable[[#This Row],[E. Game Compl.]]="Nothing",0,IF(DataTable[[#This Row],[E. Game Compl.]]="Challenging the Tower",5,IF(DataTable[[#This Row],[E. Game Compl.]]="Scaling the Tower",15,)))</f>
        <v>0</v>
      </c>
      <c r="J243">
        <f>Table2[[#This Row],[AUTO Pts]]+Table2[[#This Row],[Shooting Pts.]]+Table2[[#This Row],[Def. Points]]+Table2[[#This Row],[E. Game Pts.]]</f>
        <v>0</v>
      </c>
    </row>
    <row r="244" spans="1:10" x14ac:dyDescent="0.25">
      <c r="A244">
        <f>DataTable[[#This Row],[Tm.]]</f>
        <v>0</v>
      </c>
      <c r="B244">
        <f>DataTable[[#This Row],[Match Nr.]]</f>
        <v>0</v>
      </c>
      <c r="C2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4">
        <f>DataTable[[#This Row],[Successful Lo. G. S]]*2+DataTable[[#This Row],[Successful Hi. G. S.]]*10</f>
        <v>0</v>
      </c>
      <c r="H2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4">
        <f>IF(DataTable[[#This Row],[E. Game Compl.]]="Nothing",0,IF(DataTable[[#This Row],[E. Game Compl.]]="Challenging the Tower",5,IF(DataTable[[#This Row],[E. Game Compl.]]="Scaling the Tower",15,)))</f>
        <v>0</v>
      </c>
      <c r="J244">
        <f>Table2[[#This Row],[AUTO Pts]]+Table2[[#This Row],[Shooting Pts.]]+Table2[[#This Row],[Def. Points]]+Table2[[#This Row],[E. Game Pts.]]</f>
        <v>0</v>
      </c>
    </row>
    <row r="245" spans="1:10" x14ac:dyDescent="0.25">
      <c r="A245">
        <f>DataTable[[#This Row],[Tm.]]</f>
        <v>0</v>
      </c>
      <c r="B245">
        <f>DataTable[[#This Row],[Match Nr.]]</f>
        <v>0</v>
      </c>
      <c r="C2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5">
        <f>DataTable[[#This Row],[Successful Lo. G. S]]*2+DataTable[[#This Row],[Successful Hi. G. S.]]*10</f>
        <v>0</v>
      </c>
      <c r="H2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5">
        <f>IF(DataTable[[#This Row],[E. Game Compl.]]="Nothing",0,IF(DataTable[[#This Row],[E. Game Compl.]]="Challenging the Tower",5,IF(DataTable[[#This Row],[E. Game Compl.]]="Scaling the Tower",15,)))</f>
        <v>0</v>
      </c>
      <c r="J245">
        <f>Table2[[#This Row],[AUTO Pts]]+Table2[[#This Row],[Shooting Pts.]]+Table2[[#This Row],[Def. Points]]+Table2[[#This Row],[E. Game Pts.]]</f>
        <v>0</v>
      </c>
    </row>
    <row r="246" spans="1:10" x14ac:dyDescent="0.25">
      <c r="A246">
        <f>DataTable[[#This Row],[Tm.]]</f>
        <v>0</v>
      </c>
      <c r="B246">
        <f>DataTable[[#This Row],[Match Nr.]]</f>
        <v>0</v>
      </c>
      <c r="C2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6">
        <f>DataTable[[#This Row],[Successful Lo. G. S]]*2+DataTable[[#This Row],[Successful Hi. G. S.]]*10</f>
        <v>0</v>
      </c>
      <c r="H2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6">
        <f>IF(DataTable[[#This Row],[E. Game Compl.]]="Nothing",0,IF(DataTable[[#This Row],[E. Game Compl.]]="Challenging the Tower",5,IF(DataTable[[#This Row],[E. Game Compl.]]="Scaling the Tower",15,)))</f>
        <v>0</v>
      </c>
      <c r="J246">
        <f>Table2[[#This Row],[AUTO Pts]]+Table2[[#This Row],[Shooting Pts.]]+Table2[[#This Row],[Def. Points]]+Table2[[#This Row],[E. Game Pts.]]</f>
        <v>0</v>
      </c>
    </row>
    <row r="247" spans="1:10" x14ac:dyDescent="0.25">
      <c r="A247">
        <f>DataTable[[#This Row],[Tm.]]</f>
        <v>0</v>
      </c>
      <c r="B247">
        <f>DataTable[[#This Row],[Match Nr.]]</f>
        <v>0</v>
      </c>
      <c r="C2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7">
        <f>DataTable[[#This Row],[Successful Lo. G. S]]*2+DataTable[[#This Row],[Successful Hi. G. S.]]*10</f>
        <v>0</v>
      </c>
      <c r="H2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7">
        <f>IF(DataTable[[#This Row],[E. Game Compl.]]="Nothing",0,IF(DataTable[[#This Row],[E. Game Compl.]]="Challenging the Tower",5,IF(DataTable[[#This Row],[E. Game Compl.]]="Scaling the Tower",15,)))</f>
        <v>0</v>
      </c>
      <c r="J247">
        <f>Table2[[#This Row],[AUTO Pts]]+Table2[[#This Row],[Shooting Pts.]]+Table2[[#This Row],[Def. Points]]+Table2[[#This Row],[E. Game Pts.]]</f>
        <v>0</v>
      </c>
    </row>
    <row r="248" spans="1:10" x14ac:dyDescent="0.25">
      <c r="A248">
        <f>DataTable[[#This Row],[Tm.]]</f>
        <v>0</v>
      </c>
      <c r="B248">
        <f>DataTable[[#This Row],[Match Nr.]]</f>
        <v>0</v>
      </c>
      <c r="C2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8">
        <f>DataTable[[#This Row],[Successful Lo. G. S]]*2+DataTable[[#This Row],[Successful Hi. G. S.]]*10</f>
        <v>0</v>
      </c>
      <c r="H2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8">
        <f>IF(DataTable[[#This Row],[E. Game Compl.]]="Nothing",0,IF(DataTable[[#This Row],[E. Game Compl.]]="Challenging the Tower",5,IF(DataTable[[#This Row],[E. Game Compl.]]="Scaling the Tower",15,)))</f>
        <v>0</v>
      </c>
      <c r="J248">
        <f>Table2[[#This Row],[AUTO Pts]]+Table2[[#This Row],[Shooting Pts.]]+Table2[[#This Row],[Def. Points]]+Table2[[#This Row],[E. Game Pts.]]</f>
        <v>0</v>
      </c>
    </row>
    <row r="249" spans="1:10" x14ac:dyDescent="0.25">
      <c r="A249">
        <f>DataTable[[#This Row],[Tm.]]</f>
        <v>0</v>
      </c>
      <c r="B249">
        <f>DataTable[[#This Row],[Match Nr.]]</f>
        <v>0</v>
      </c>
      <c r="C2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9">
        <f>DataTable[[#This Row],[Successful Lo. G. S]]*2+DataTable[[#This Row],[Successful Hi. G. S.]]*10</f>
        <v>0</v>
      </c>
      <c r="H2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9">
        <f>IF(DataTable[[#This Row],[E. Game Compl.]]="Nothing",0,IF(DataTable[[#This Row],[E. Game Compl.]]="Challenging the Tower",5,IF(DataTable[[#This Row],[E. Game Compl.]]="Scaling the Tower",15,)))</f>
        <v>0</v>
      </c>
      <c r="J249">
        <f>Table2[[#This Row],[AUTO Pts]]+Table2[[#This Row],[Shooting Pts.]]+Table2[[#This Row],[Def. Points]]+Table2[[#This Row],[E. Game Pts.]]</f>
        <v>0</v>
      </c>
    </row>
    <row r="250" spans="1:10" x14ac:dyDescent="0.25">
      <c r="A250">
        <f>DataTable[[#This Row],[Tm.]]</f>
        <v>0</v>
      </c>
      <c r="B250">
        <f>DataTable[[#This Row],[Match Nr.]]</f>
        <v>0</v>
      </c>
      <c r="C2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0">
        <f>DataTable[[#This Row],[Successful Lo. G. S]]*2+DataTable[[#This Row],[Successful Hi. G. S.]]*10</f>
        <v>0</v>
      </c>
      <c r="H2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0">
        <f>IF(DataTable[[#This Row],[E. Game Compl.]]="Nothing",0,IF(DataTable[[#This Row],[E. Game Compl.]]="Challenging the Tower",5,IF(DataTable[[#This Row],[E. Game Compl.]]="Scaling the Tower",15,)))</f>
        <v>0</v>
      </c>
      <c r="J250">
        <f>Table2[[#This Row],[AUTO Pts]]+Table2[[#This Row],[Shooting Pts.]]+Table2[[#This Row],[Def. Points]]+Table2[[#This Row],[E. Game Pts.]]</f>
        <v>0</v>
      </c>
    </row>
    <row r="251" spans="1:10" x14ac:dyDescent="0.25">
      <c r="A251">
        <f>DataTable[[#This Row],[Tm.]]</f>
        <v>0</v>
      </c>
      <c r="B251">
        <f>DataTable[[#This Row],[Match Nr.]]</f>
        <v>0</v>
      </c>
      <c r="C2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1">
        <f>DataTable[[#This Row],[Successful Lo. G. S]]*2+DataTable[[#This Row],[Successful Hi. G. S.]]*10</f>
        <v>0</v>
      </c>
      <c r="H2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1">
        <f>IF(DataTable[[#This Row],[E. Game Compl.]]="Nothing",0,IF(DataTable[[#This Row],[E. Game Compl.]]="Challenging the Tower",5,IF(DataTable[[#This Row],[E. Game Compl.]]="Scaling the Tower",15,)))</f>
        <v>0</v>
      </c>
      <c r="J251">
        <f>Table2[[#This Row],[AUTO Pts]]+Table2[[#This Row],[Shooting Pts.]]+Table2[[#This Row],[Def. Points]]+Table2[[#This Row],[E. Game Pts.]]</f>
        <v>0</v>
      </c>
    </row>
    <row r="252" spans="1:10" x14ac:dyDescent="0.25">
      <c r="A252">
        <f>DataTable[[#This Row],[Tm.]]</f>
        <v>0</v>
      </c>
      <c r="B252">
        <f>DataTable[[#This Row],[Match Nr.]]</f>
        <v>0</v>
      </c>
      <c r="C2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2">
        <f>DataTable[[#This Row],[Successful Lo. G. S]]*2+DataTable[[#This Row],[Successful Hi. G. S.]]*10</f>
        <v>0</v>
      </c>
      <c r="H2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2">
        <f>IF(DataTable[[#This Row],[E. Game Compl.]]="Nothing",0,IF(DataTable[[#This Row],[E. Game Compl.]]="Challenging the Tower",5,IF(DataTable[[#This Row],[E. Game Compl.]]="Scaling the Tower",15,)))</f>
        <v>0</v>
      </c>
      <c r="J252">
        <f>Table2[[#This Row],[AUTO Pts]]+Table2[[#This Row],[Shooting Pts.]]+Table2[[#This Row],[Def. Points]]+Table2[[#This Row],[E. Game Pts.]]</f>
        <v>0</v>
      </c>
    </row>
    <row r="253" spans="1:10" x14ac:dyDescent="0.25">
      <c r="A253">
        <f>DataTable[[#This Row],[Tm.]]</f>
        <v>0</v>
      </c>
      <c r="B253">
        <f>DataTable[[#This Row],[Match Nr.]]</f>
        <v>0</v>
      </c>
      <c r="C2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3">
        <f>DataTable[[#This Row],[Successful Lo. G. S]]*2+DataTable[[#This Row],[Successful Hi. G. S.]]*10</f>
        <v>0</v>
      </c>
      <c r="H2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3">
        <f>IF(DataTable[[#This Row],[E. Game Compl.]]="Nothing",0,IF(DataTable[[#This Row],[E. Game Compl.]]="Challenging the Tower",5,IF(DataTable[[#This Row],[E. Game Compl.]]="Scaling the Tower",15,)))</f>
        <v>0</v>
      </c>
      <c r="J253">
        <f>Table2[[#This Row],[AUTO Pts]]+Table2[[#This Row],[Shooting Pts.]]+Table2[[#This Row],[Def. Points]]+Table2[[#This Row],[E. Game Pts.]]</f>
        <v>0</v>
      </c>
    </row>
    <row r="254" spans="1:10" x14ac:dyDescent="0.25">
      <c r="A254">
        <f>DataTable[[#This Row],[Tm.]]</f>
        <v>0</v>
      </c>
      <c r="B254">
        <f>DataTable[[#This Row],[Match Nr.]]</f>
        <v>0</v>
      </c>
      <c r="C2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4">
        <f>DataTable[[#This Row],[Successful Lo. G. S]]*2+DataTable[[#This Row],[Successful Hi. G. S.]]*10</f>
        <v>0</v>
      </c>
      <c r="H2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4">
        <f>IF(DataTable[[#This Row],[E. Game Compl.]]="Nothing",0,IF(DataTable[[#This Row],[E. Game Compl.]]="Challenging the Tower",5,IF(DataTable[[#This Row],[E. Game Compl.]]="Scaling the Tower",15,)))</f>
        <v>0</v>
      </c>
      <c r="J254">
        <f>Table2[[#This Row],[AUTO Pts]]+Table2[[#This Row],[Shooting Pts.]]+Table2[[#This Row],[Def. Points]]+Table2[[#This Row],[E. Game Pts.]]</f>
        <v>0</v>
      </c>
    </row>
    <row r="255" spans="1:10" x14ac:dyDescent="0.25">
      <c r="A255">
        <f>DataTable[[#This Row],[Tm.]]</f>
        <v>0</v>
      </c>
      <c r="B255">
        <f>DataTable[[#This Row],[Match Nr.]]</f>
        <v>0</v>
      </c>
      <c r="C2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5">
        <f>DataTable[[#This Row],[Successful Lo. G. S]]*2+DataTable[[#This Row],[Successful Hi. G. S.]]*10</f>
        <v>0</v>
      </c>
      <c r="H2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5">
        <f>IF(DataTable[[#This Row],[E. Game Compl.]]="Nothing",0,IF(DataTable[[#This Row],[E. Game Compl.]]="Challenging the Tower",5,IF(DataTable[[#This Row],[E. Game Compl.]]="Scaling the Tower",15,)))</f>
        <v>0</v>
      </c>
      <c r="J255">
        <f>Table2[[#This Row],[AUTO Pts]]+Table2[[#This Row],[Shooting Pts.]]+Table2[[#This Row],[Def. Points]]+Table2[[#This Row],[E. Game Pts.]]</f>
        <v>0</v>
      </c>
    </row>
    <row r="256" spans="1:10" x14ac:dyDescent="0.25">
      <c r="A256">
        <f>DataTable[[#This Row],[Tm.]]</f>
        <v>0</v>
      </c>
      <c r="B256">
        <f>DataTable[[#This Row],[Match Nr.]]</f>
        <v>0</v>
      </c>
      <c r="C2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6">
        <f>DataTable[[#This Row],[Successful Lo. G. S]]*2+DataTable[[#This Row],[Successful Hi. G. S.]]*10</f>
        <v>0</v>
      </c>
      <c r="H2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6">
        <f>IF(DataTable[[#This Row],[E. Game Compl.]]="Nothing",0,IF(DataTable[[#This Row],[E. Game Compl.]]="Challenging the Tower",5,IF(DataTable[[#This Row],[E. Game Compl.]]="Scaling the Tower",15,)))</f>
        <v>0</v>
      </c>
      <c r="J256">
        <f>Table2[[#This Row],[AUTO Pts]]+Table2[[#This Row],[Shooting Pts.]]+Table2[[#This Row],[Def. Points]]+Table2[[#This Row],[E. Game Pts.]]</f>
        <v>0</v>
      </c>
    </row>
    <row r="257" spans="1:10" x14ac:dyDescent="0.25">
      <c r="A257">
        <f>DataTable[[#This Row],[Tm.]]</f>
        <v>0</v>
      </c>
      <c r="B257">
        <f>DataTable[[#This Row],[Match Nr.]]</f>
        <v>0</v>
      </c>
      <c r="C2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7">
        <f>DataTable[[#This Row],[Successful Lo. G. S]]*2+DataTable[[#This Row],[Successful Hi. G. S.]]*10</f>
        <v>0</v>
      </c>
      <c r="H2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7">
        <f>IF(DataTable[[#This Row],[E. Game Compl.]]="Nothing",0,IF(DataTable[[#This Row],[E. Game Compl.]]="Challenging the Tower",5,IF(DataTable[[#This Row],[E. Game Compl.]]="Scaling the Tower",15,)))</f>
        <v>0</v>
      </c>
      <c r="J257">
        <f>Table2[[#This Row],[AUTO Pts]]+Table2[[#This Row],[Shooting Pts.]]+Table2[[#This Row],[Def. Points]]+Table2[[#This Row],[E. Game Pts.]]</f>
        <v>0</v>
      </c>
    </row>
    <row r="258" spans="1:10" x14ac:dyDescent="0.25">
      <c r="A258">
        <f>DataTable[[#This Row],[Tm.]]</f>
        <v>0</v>
      </c>
      <c r="B258">
        <f>DataTable[[#This Row],[Match Nr.]]</f>
        <v>0</v>
      </c>
      <c r="C2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8">
        <f>DataTable[[#This Row],[Successful Lo. G. S]]*2+DataTable[[#This Row],[Successful Hi. G. S.]]*10</f>
        <v>0</v>
      </c>
      <c r="H2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8">
        <f>IF(DataTable[[#This Row],[E. Game Compl.]]="Nothing",0,IF(DataTable[[#This Row],[E. Game Compl.]]="Challenging the Tower",5,IF(DataTable[[#This Row],[E. Game Compl.]]="Scaling the Tower",15,)))</f>
        <v>0</v>
      </c>
      <c r="J258">
        <f>Table2[[#This Row],[AUTO Pts]]+Table2[[#This Row],[Shooting Pts.]]+Table2[[#This Row],[Def. Points]]+Table2[[#This Row],[E. Game Pts.]]</f>
        <v>0</v>
      </c>
    </row>
    <row r="259" spans="1:10" x14ac:dyDescent="0.25">
      <c r="A259">
        <f>DataTable[[#This Row],[Tm.]]</f>
        <v>0</v>
      </c>
      <c r="B259">
        <f>DataTable[[#This Row],[Match Nr.]]</f>
        <v>0</v>
      </c>
      <c r="C2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9">
        <f>DataTable[[#This Row],[Successful Lo. G. S]]*2+DataTable[[#This Row],[Successful Hi. G. S.]]*10</f>
        <v>0</v>
      </c>
      <c r="H2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9">
        <f>IF(DataTable[[#This Row],[E. Game Compl.]]="Nothing",0,IF(DataTable[[#This Row],[E. Game Compl.]]="Challenging the Tower",5,IF(DataTable[[#This Row],[E. Game Compl.]]="Scaling the Tower",15,)))</f>
        <v>0</v>
      </c>
      <c r="J259">
        <f>Table2[[#This Row],[AUTO Pts]]+Table2[[#This Row],[Shooting Pts.]]+Table2[[#This Row],[Def. Points]]+Table2[[#This Row],[E. Game Pts.]]</f>
        <v>0</v>
      </c>
    </row>
    <row r="260" spans="1:10" x14ac:dyDescent="0.25">
      <c r="A260">
        <f>DataTable[[#This Row],[Tm.]]</f>
        <v>0</v>
      </c>
      <c r="B260">
        <f>DataTable[[#This Row],[Match Nr.]]</f>
        <v>0</v>
      </c>
      <c r="C2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0">
        <f>DataTable[[#This Row],[Successful Lo. G. S]]*2+DataTable[[#This Row],[Successful Hi. G. S.]]*10</f>
        <v>0</v>
      </c>
      <c r="H2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0">
        <f>IF(DataTable[[#This Row],[E. Game Compl.]]="Nothing",0,IF(DataTable[[#This Row],[E. Game Compl.]]="Challenging the Tower",5,IF(DataTable[[#This Row],[E. Game Compl.]]="Scaling the Tower",15,)))</f>
        <v>0</v>
      </c>
      <c r="J260">
        <f>Table2[[#This Row],[AUTO Pts]]+Table2[[#This Row],[Shooting Pts.]]+Table2[[#This Row],[Def. Points]]+Table2[[#This Row],[E. Game Pts.]]</f>
        <v>0</v>
      </c>
    </row>
    <row r="261" spans="1:10" x14ac:dyDescent="0.25">
      <c r="A261">
        <f>DataTable[[#This Row],[Tm.]]</f>
        <v>0</v>
      </c>
      <c r="B261">
        <f>DataTable[[#This Row],[Match Nr.]]</f>
        <v>0</v>
      </c>
      <c r="C2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1">
        <f>DataTable[[#This Row],[Successful Lo. G. S]]*2+DataTable[[#This Row],[Successful Hi. G. S.]]*10</f>
        <v>0</v>
      </c>
      <c r="H2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1">
        <f>IF(DataTable[[#This Row],[E. Game Compl.]]="Nothing",0,IF(DataTable[[#This Row],[E. Game Compl.]]="Challenging the Tower",5,IF(DataTable[[#This Row],[E. Game Compl.]]="Scaling the Tower",15,)))</f>
        <v>0</v>
      </c>
      <c r="J261">
        <f>Table2[[#This Row],[AUTO Pts]]+Table2[[#This Row],[Shooting Pts.]]+Table2[[#This Row],[Def. Points]]+Table2[[#This Row],[E. Game Pts.]]</f>
        <v>0</v>
      </c>
    </row>
    <row r="262" spans="1:10" x14ac:dyDescent="0.25">
      <c r="A262">
        <f>DataTable[[#This Row],[Tm.]]</f>
        <v>0</v>
      </c>
      <c r="B262">
        <f>DataTable[[#This Row],[Match Nr.]]</f>
        <v>0</v>
      </c>
      <c r="C2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2">
        <f>DataTable[[#This Row],[Successful Lo. G. S]]*2+DataTable[[#This Row],[Successful Hi. G. S.]]*10</f>
        <v>0</v>
      </c>
      <c r="H2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2">
        <f>IF(DataTable[[#This Row],[E. Game Compl.]]="Nothing",0,IF(DataTable[[#This Row],[E. Game Compl.]]="Challenging the Tower",5,IF(DataTable[[#This Row],[E. Game Compl.]]="Scaling the Tower",15,)))</f>
        <v>0</v>
      </c>
      <c r="J262">
        <f>Table2[[#This Row],[AUTO Pts]]+Table2[[#This Row],[Shooting Pts.]]+Table2[[#This Row],[Def. Points]]+Table2[[#This Row],[E. Game Pts.]]</f>
        <v>0</v>
      </c>
    </row>
    <row r="263" spans="1:10" x14ac:dyDescent="0.25">
      <c r="A263">
        <f>DataTable[[#This Row],[Tm.]]</f>
        <v>0</v>
      </c>
      <c r="B263">
        <f>DataTable[[#This Row],[Match Nr.]]</f>
        <v>0</v>
      </c>
      <c r="C2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3">
        <f>DataTable[[#This Row],[Successful Lo. G. S]]*2+DataTable[[#This Row],[Successful Hi. G. S.]]*10</f>
        <v>0</v>
      </c>
      <c r="H2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3">
        <f>IF(DataTable[[#This Row],[E. Game Compl.]]="Nothing",0,IF(DataTable[[#This Row],[E. Game Compl.]]="Challenging the Tower",5,IF(DataTable[[#This Row],[E. Game Compl.]]="Scaling the Tower",15,)))</f>
        <v>0</v>
      </c>
      <c r="J263">
        <f>Table2[[#This Row],[AUTO Pts]]+Table2[[#This Row],[Shooting Pts.]]+Table2[[#This Row],[Def. Points]]+Table2[[#This Row],[E. Game Pts.]]</f>
        <v>0</v>
      </c>
    </row>
    <row r="264" spans="1:10" x14ac:dyDescent="0.25">
      <c r="A264">
        <f>DataTable[[#This Row],[Tm.]]</f>
        <v>0</v>
      </c>
      <c r="B264">
        <f>DataTable[[#This Row],[Match Nr.]]</f>
        <v>0</v>
      </c>
      <c r="C2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4">
        <f>DataTable[[#This Row],[Successful Lo. G. S]]*2+DataTable[[#This Row],[Successful Hi. G. S.]]*10</f>
        <v>0</v>
      </c>
      <c r="H2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4">
        <f>IF(DataTable[[#This Row],[E. Game Compl.]]="Nothing",0,IF(DataTable[[#This Row],[E. Game Compl.]]="Challenging the Tower",5,IF(DataTable[[#This Row],[E. Game Compl.]]="Scaling the Tower",15,)))</f>
        <v>0</v>
      </c>
      <c r="J264">
        <f>Table2[[#This Row],[AUTO Pts]]+Table2[[#This Row],[Shooting Pts.]]+Table2[[#This Row],[Def. Points]]+Table2[[#This Row],[E. Game Pts.]]</f>
        <v>0</v>
      </c>
    </row>
    <row r="265" spans="1:10" x14ac:dyDescent="0.25">
      <c r="A265">
        <f>DataTable[[#This Row],[Tm.]]</f>
        <v>0</v>
      </c>
      <c r="B265">
        <f>DataTable[[#This Row],[Match Nr.]]</f>
        <v>0</v>
      </c>
      <c r="C2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5">
        <f>DataTable[[#This Row],[Successful Lo. G. S]]*2+DataTable[[#This Row],[Successful Hi. G. S.]]*10</f>
        <v>0</v>
      </c>
      <c r="H2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5">
        <f>IF(DataTable[[#This Row],[E. Game Compl.]]="Nothing",0,IF(DataTable[[#This Row],[E. Game Compl.]]="Challenging the Tower",5,IF(DataTable[[#This Row],[E. Game Compl.]]="Scaling the Tower",15,)))</f>
        <v>0</v>
      </c>
      <c r="J265">
        <f>Table2[[#This Row],[AUTO Pts]]+Table2[[#This Row],[Shooting Pts.]]+Table2[[#This Row],[Def. Points]]+Table2[[#This Row],[E. Game Pts.]]</f>
        <v>0</v>
      </c>
    </row>
    <row r="266" spans="1:10" x14ac:dyDescent="0.25">
      <c r="A266">
        <f>DataTable[[#This Row],[Tm.]]</f>
        <v>0</v>
      </c>
      <c r="B266">
        <f>DataTable[[#This Row],[Match Nr.]]</f>
        <v>0</v>
      </c>
      <c r="C2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6">
        <f>DataTable[[#This Row],[Successful Lo. G. S]]*2+DataTable[[#This Row],[Successful Hi. G. S.]]*10</f>
        <v>0</v>
      </c>
      <c r="H2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6">
        <f>IF(DataTable[[#This Row],[E. Game Compl.]]="Nothing",0,IF(DataTable[[#This Row],[E. Game Compl.]]="Challenging the Tower",5,IF(DataTable[[#This Row],[E. Game Compl.]]="Scaling the Tower",15,)))</f>
        <v>0</v>
      </c>
      <c r="J266">
        <f>Table2[[#This Row],[AUTO Pts]]+Table2[[#This Row],[Shooting Pts.]]+Table2[[#This Row],[Def. Points]]+Table2[[#This Row],[E. Game Pts.]]</f>
        <v>0</v>
      </c>
    </row>
    <row r="267" spans="1:10" x14ac:dyDescent="0.25">
      <c r="A267">
        <f>DataTable[[#This Row],[Tm.]]</f>
        <v>0</v>
      </c>
      <c r="B267">
        <f>DataTable[[#This Row],[Match Nr.]]</f>
        <v>0</v>
      </c>
      <c r="C2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7">
        <f>DataTable[[#This Row],[Successful Lo. G. S]]*2+DataTable[[#This Row],[Successful Hi. G. S.]]*10</f>
        <v>0</v>
      </c>
      <c r="H2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7">
        <f>IF(DataTable[[#This Row],[E. Game Compl.]]="Nothing",0,IF(DataTable[[#This Row],[E. Game Compl.]]="Challenging the Tower",5,IF(DataTable[[#This Row],[E. Game Compl.]]="Scaling the Tower",15,)))</f>
        <v>0</v>
      </c>
      <c r="J267">
        <f>Table2[[#This Row],[AUTO Pts]]+Table2[[#This Row],[Shooting Pts.]]+Table2[[#This Row],[Def. Points]]+Table2[[#This Row],[E. Game Pts.]]</f>
        <v>0</v>
      </c>
    </row>
    <row r="268" spans="1:10" x14ac:dyDescent="0.25">
      <c r="A268">
        <f>DataTable[[#This Row],[Tm.]]</f>
        <v>0</v>
      </c>
      <c r="B268">
        <f>DataTable[[#This Row],[Match Nr.]]</f>
        <v>0</v>
      </c>
      <c r="C2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8">
        <f>DataTable[[#This Row],[Successful Lo. G. S]]*2+DataTable[[#This Row],[Successful Hi. G. S.]]*10</f>
        <v>0</v>
      </c>
      <c r="H2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8">
        <f>IF(DataTable[[#This Row],[E. Game Compl.]]="Nothing",0,IF(DataTable[[#This Row],[E. Game Compl.]]="Challenging the Tower",5,IF(DataTable[[#This Row],[E. Game Compl.]]="Scaling the Tower",15,)))</f>
        <v>0</v>
      </c>
      <c r="J268">
        <f>Table2[[#This Row],[AUTO Pts]]+Table2[[#This Row],[Shooting Pts.]]+Table2[[#This Row],[Def. Points]]+Table2[[#This Row],[E. Game Pts.]]</f>
        <v>0</v>
      </c>
    </row>
    <row r="269" spans="1:10" x14ac:dyDescent="0.25">
      <c r="A269">
        <f>DataTable[[#This Row],[Tm.]]</f>
        <v>0</v>
      </c>
      <c r="B269">
        <f>DataTable[[#This Row],[Match Nr.]]</f>
        <v>0</v>
      </c>
      <c r="C2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9">
        <f>DataTable[[#This Row],[Successful Lo. G. S]]*2+DataTable[[#This Row],[Successful Hi. G. S.]]*10</f>
        <v>0</v>
      </c>
      <c r="H2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9">
        <f>IF(DataTable[[#This Row],[E. Game Compl.]]="Nothing",0,IF(DataTable[[#This Row],[E. Game Compl.]]="Challenging the Tower",5,IF(DataTable[[#This Row],[E. Game Compl.]]="Scaling the Tower",15,)))</f>
        <v>0</v>
      </c>
      <c r="J269">
        <f>Table2[[#This Row],[AUTO Pts]]+Table2[[#This Row],[Shooting Pts.]]+Table2[[#This Row],[Def. Points]]+Table2[[#This Row],[E. Game Pts.]]</f>
        <v>0</v>
      </c>
    </row>
    <row r="270" spans="1:10" x14ac:dyDescent="0.25">
      <c r="A270">
        <f>DataTable[[#This Row],[Tm.]]</f>
        <v>0</v>
      </c>
      <c r="B270">
        <f>DataTable[[#This Row],[Match Nr.]]</f>
        <v>0</v>
      </c>
      <c r="C2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0">
        <f>DataTable[[#This Row],[Successful Lo. G. S]]*2+DataTable[[#This Row],[Successful Hi. G. S.]]*10</f>
        <v>0</v>
      </c>
      <c r="H2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0">
        <f>IF(DataTable[[#This Row],[E. Game Compl.]]="Nothing",0,IF(DataTable[[#This Row],[E. Game Compl.]]="Challenging the Tower",5,IF(DataTable[[#This Row],[E. Game Compl.]]="Scaling the Tower",15,)))</f>
        <v>0</v>
      </c>
      <c r="J270">
        <f>Table2[[#This Row],[AUTO Pts]]+Table2[[#This Row],[Shooting Pts.]]+Table2[[#This Row],[Def. Points]]+Table2[[#This Row],[E. Game Pts.]]</f>
        <v>0</v>
      </c>
    </row>
    <row r="271" spans="1:10" x14ac:dyDescent="0.25">
      <c r="A271">
        <f>DataTable[[#This Row],[Tm.]]</f>
        <v>0</v>
      </c>
      <c r="B271">
        <f>DataTable[[#This Row],[Match Nr.]]</f>
        <v>0</v>
      </c>
      <c r="C2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1">
        <f>DataTable[[#This Row],[Successful Lo. G. S]]*2+DataTable[[#This Row],[Successful Hi. G. S.]]*10</f>
        <v>0</v>
      </c>
      <c r="H2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1">
        <f>IF(DataTable[[#This Row],[E. Game Compl.]]="Nothing",0,IF(DataTable[[#This Row],[E. Game Compl.]]="Challenging the Tower",5,IF(DataTable[[#This Row],[E. Game Compl.]]="Scaling the Tower",15,)))</f>
        <v>0</v>
      </c>
      <c r="J271">
        <f>Table2[[#This Row],[AUTO Pts]]+Table2[[#This Row],[Shooting Pts.]]+Table2[[#This Row],[Def. Points]]+Table2[[#This Row],[E. Game Pts.]]</f>
        <v>0</v>
      </c>
    </row>
    <row r="272" spans="1:10" x14ac:dyDescent="0.25">
      <c r="A272">
        <f>DataTable[[#This Row],[Tm.]]</f>
        <v>0</v>
      </c>
      <c r="B272">
        <f>DataTable[[#This Row],[Match Nr.]]</f>
        <v>0</v>
      </c>
      <c r="C2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2">
        <f>DataTable[[#This Row],[Successful Lo. G. S]]*2+DataTable[[#This Row],[Successful Hi. G. S.]]*10</f>
        <v>0</v>
      </c>
      <c r="H2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2">
        <f>IF(DataTable[[#This Row],[E. Game Compl.]]="Nothing",0,IF(DataTable[[#This Row],[E. Game Compl.]]="Challenging the Tower",5,IF(DataTable[[#This Row],[E. Game Compl.]]="Scaling the Tower",15,)))</f>
        <v>0</v>
      </c>
      <c r="J272">
        <f>Table2[[#This Row],[AUTO Pts]]+Table2[[#This Row],[Shooting Pts.]]+Table2[[#This Row],[Def. Points]]+Table2[[#This Row],[E. Game Pts.]]</f>
        <v>0</v>
      </c>
    </row>
    <row r="273" spans="1:10" x14ac:dyDescent="0.25">
      <c r="A273">
        <f>DataTable[[#This Row],[Tm.]]</f>
        <v>0</v>
      </c>
      <c r="B273">
        <f>DataTable[[#This Row],[Match Nr.]]</f>
        <v>0</v>
      </c>
      <c r="C2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3">
        <f>DataTable[[#This Row],[Successful Lo. G. S]]*2+DataTable[[#This Row],[Successful Hi. G. S.]]*10</f>
        <v>0</v>
      </c>
      <c r="H2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3">
        <f>IF(DataTable[[#This Row],[E. Game Compl.]]="Nothing",0,IF(DataTable[[#This Row],[E. Game Compl.]]="Challenging the Tower",5,IF(DataTable[[#This Row],[E. Game Compl.]]="Scaling the Tower",15,)))</f>
        <v>0</v>
      </c>
      <c r="J273">
        <f>Table2[[#This Row],[AUTO Pts]]+Table2[[#This Row],[Shooting Pts.]]+Table2[[#This Row],[Def. Points]]+Table2[[#This Row],[E. Game Pts.]]</f>
        <v>0</v>
      </c>
    </row>
    <row r="274" spans="1:10" x14ac:dyDescent="0.25">
      <c r="A274">
        <f>DataTable[[#This Row],[Tm.]]</f>
        <v>0</v>
      </c>
      <c r="B274">
        <f>DataTable[[#This Row],[Match Nr.]]</f>
        <v>0</v>
      </c>
      <c r="C2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4">
        <f>DataTable[[#This Row],[Successful Lo. G. S]]*2+DataTable[[#This Row],[Successful Hi. G. S.]]*10</f>
        <v>0</v>
      </c>
      <c r="H2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4">
        <f>IF(DataTable[[#This Row],[E. Game Compl.]]="Nothing",0,IF(DataTable[[#This Row],[E. Game Compl.]]="Challenging the Tower",5,IF(DataTable[[#This Row],[E. Game Compl.]]="Scaling the Tower",15,)))</f>
        <v>0</v>
      </c>
      <c r="J274">
        <f>Table2[[#This Row],[AUTO Pts]]+Table2[[#This Row],[Shooting Pts.]]+Table2[[#This Row],[Def. Points]]+Table2[[#This Row],[E. Game Pts.]]</f>
        <v>0</v>
      </c>
    </row>
    <row r="275" spans="1:10" x14ac:dyDescent="0.25">
      <c r="A275">
        <f>DataTable[[#This Row],[Tm.]]</f>
        <v>0</v>
      </c>
      <c r="B275">
        <f>DataTable[[#This Row],[Match Nr.]]</f>
        <v>0</v>
      </c>
      <c r="C2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5">
        <f>DataTable[[#This Row],[Successful Lo. G. S]]*2+DataTable[[#This Row],[Successful Hi. G. S.]]*10</f>
        <v>0</v>
      </c>
      <c r="H2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5">
        <f>IF(DataTable[[#This Row],[E. Game Compl.]]="Nothing",0,IF(DataTable[[#This Row],[E. Game Compl.]]="Challenging the Tower",5,IF(DataTable[[#This Row],[E. Game Compl.]]="Scaling the Tower",15,)))</f>
        <v>0</v>
      </c>
      <c r="J275">
        <f>Table2[[#This Row],[AUTO Pts]]+Table2[[#This Row],[Shooting Pts.]]+Table2[[#This Row],[Def. Points]]+Table2[[#This Row],[E. Game Pts.]]</f>
        <v>0</v>
      </c>
    </row>
    <row r="276" spans="1:10" x14ac:dyDescent="0.25">
      <c r="A276">
        <f>DataTable[[#This Row],[Tm.]]</f>
        <v>0</v>
      </c>
      <c r="B276">
        <f>DataTable[[#This Row],[Match Nr.]]</f>
        <v>0</v>
      </c>
      <c r="C2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6">
        <f>DataTable[[#This Row],[Successful Lo. G. S]]*2+DataTable[[#This Row],[Successful Hi. G. S.]]*10</f>
        <v>0</v>
      </c>
      <c r="H2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6">
        <f>IF(DataTable[[#This Row],[E. Game Compl.]]="Nothing",0,IF(DataTable[[#This Row],[E. Game Compl.]]="Challenging the Tower",5,IF(DataTable[[#This Row],[E. Game Compl.]]="Scaling the Tower",15,)))</f>
        <v>0</v>
      </c>
      <c r="J276">
        <f>Table2[[#This Row],[AUTO Pts]]+Table2[[#This Row],[Shooting Pts.]]+Table2[[#This Row],[Def. Points]]+Table2[[#This Row],[E. Game Pts.]]</f>
        <v>0</v>
      </c>
    </row>
    <row r="277" spans="1:10" x14ac:dyDescent="0.25">
      <c r="A277">
        <f>DataTable[[#This Row],[Tm.]]</f>
        <v>0</v>
      </c>
      <c r="B277">
        <f>DataTable[[#This Row],[Match Nr.]]</f>
        <v>0</v>
      </c>
      <c r="C2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7">
        <f>DataTable[[#This Row],[Successful Lo. G. S]]*2+DataTable[[#This Row],[Successful Hi. G. S.]]*10</f>
        <v>0</v>
      </c>
      <c r="H2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7">
        <f>IF(DataTable[[#This Row],[E. Game Compl.]]="Nothing",0,IF(DataTable[[#This Row],[E. Game Compl.]]="Challenging the Tower",5,IF(DataTable[[#This Row],[E. Game Compl.]]="Scaling the Tower",15,)))</f>
        <v>0</v>
      </c>
      <c r="J277">
        <f>Table2[[#This Row],[AUTO Pts]]+Table2[[#This Row],[Shooting Pts.]]+Table2[[#This Row],[Def. Points]]+Table2[[#This Row],[E. Game Pts.]]</f>
        <v>0</v>
      </c>
    </row>
    <row r="278" spans="1:10" x14ac:dyDescent="0.25">
      <c r="A278">
        <f>DataTable[[#This Row],[Tm.]]</f>
        <v>0</v>
      </c>
      <c r="B278">
        <f>DataTable[[#This Row],[Match Nr.]]</f>
        <v>0</v>
      </c>
      <c r="C2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8">
        <f>DataTable[[#This Row],[Successful Lo. G. S]]*2+DataTable[[#This Row],[Successful Hi. G. S.]]*10</f>
        <v>0</v>
      </c>
      <c r="H2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8">
        <f>IF(DataTable[[#This Row],[E. Game Compl.]]="Nothing",0,IF(DataTable[[#This Row],[E. Game Compl.]]="Challenging the Tower",5,IF(DataTable[[#This Row],[E. Game Compl.]]="Scaling the Tower",15,)))</f>
        <v>0</v>
      </c>
      <c r="J278">
        <f>Table2[[#This Row],[AUTO Pts]]+Table2[[#This Row],[Shooting Pts.]]+Table2[[#This Row],[Def. Points]]+Table2[[#This Row],[E. Game Pts.]]</f>
        <v>0</v>
      </c>
    </row>
    <row r="279" spans="1:10" x14ac:dyDescent="0.25">
      <c r="A279">
        <f>DataTable[[#This Row],[Tm.]]</f>
        <v>0</v>
      </c>
      <c r="B279">
        <f>DataTable[[#This Row],[Match Nr.]]</f>
        <v>0</v>
      </c>
      <c r="C2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9">
        <f>DataTable[[#This Row],[Successful Lo. G. S]]*2+DataTable[[#This Row],[Successful Hi. G. S.]]*10</f>
        <v>0</v>
      </c>
      <c r="H2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9">
        <f>IF(DataTable[[#This Row],[E. Game Compl.]]="Nothing",0,IF(DataTable[[#This Row],[E. Game Compl.]]="Challenging the Tower",5,IF(DataTable[[#This Row],[E. Game Compl.]]="Scaling the Tower",15,)))</f>
        <v>0</v>
      </c>
      <c r="J279">
        <f>Table2[[#This Row],[AUTO Pts]]+Table2[[#This Row],[Shooting Pts.]]+Table2[[#This Row],[Def. Points]]+Table2[[#This Row],[E. Game Pts.]]</f>
        <v>0</v>
      </c>
    </row>
    <row r="280" spans="1:10" x14ac:dyDescent="0.25">
      <c r="A280">
        <f>DataTable[[#This Row],[Tm.]]</f>
        <v>0</v>
      </c>
      <c r="B280">
        <f>DataTable[[#This Row],[Match Nr.]]</f>
        <v>0</v>
      </c>
      <c r="C2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0">
        <f>DataTable[[#This Row],[Successful Lo. G. S]]*2+DataTable[[#This Row],[Successful Hi. G. S.]]*10</f>
        <v>0</v>
      </c>
      <c r="H2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0">
        <f>IF(DataTable[[#This Row],[E. Game Compl.]]="Nothing",0,IF(DataTable[[#This Row],[E. Game Compl.]]="Challenging the Tower",5,IF(DataTable[[#This Row],[E. Game Compl.]]="Scaling the Tower",15,)))</f>
        <v>0</v>
      </c>
      <c r="J280">
        <f>Table2[[#This Row],[AUTO Pts]]+Table2[[#This Row],[Shooting Pts.]]+Table2[[#This Row],[Def. Points]]+Table2[[#This Row],[E. Game Pts.]]</f>
        <v>0</v>
      </c>
    </row>
    <row r="281" spans="1:10" x14ac:dyDescent="0.25">
      <c r="A281">
        <f>DataTable[[#This Row],[Tm.]]</f>
        <v>0</v>
      </c>
      <c r="B281">
        <f>DataTable[[#This Row],[Match Nr.]]</f>
        <v>0</v>
      </c>
      <c r="C2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1">
        <f>DataTable[[#This Row],[Successful Lo. G. S]]*2+DataTable[[#This Row],[Successful Hi. G. S.]]*10</f>
        <v>0</v>
      </c>
      <c r="H2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1">
        <f>IF(DataTable[[#This Row],[E. Game Compl.]]="Nothing",0,IF(DataTable[[#This Row],[E. Game Compl.]]="Challenging the Tower",5,IF(DataTable[[#This Row],[E. Game Compl.]]="Scaling the Tower",15,)))</f>
        <v>0</v>
      </c>
      <c r="J281">
        <f>Table2[[#This Row],[AUTO Pts]]+Table2[[#This Row],[Shooting Pts.]]+Table2[[#This Row],[Def. Points]]+Table2[[#This Row],[E. Game Pts.]]</f>
        <v>0</v>
      </c>
    </row>
    <row r="282" spans="1:10" x14ac:dyDescent="0.25">
      <c r="A282">
        <f>DataTable[[#This Row],[Tm.]]</f>
        <v>0</v>
      </c>
      <c r="B282">
        <f>DataTable[[#This Row],[Match Nr.]]</f>
        <v>0</v>
      </c>
      <c r="C2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2">
        <f>DataTable[[#This Row],[Successful Lo. G. S]]*2+DataTable[[#This Row],[Successful Hi. G. S.]]*10</f>
        <v>0</v>
      </c>
      <c r="H2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2">
        <f>IF(DataTable[[#This Row],[E. Game Compl.]]="Nothing",0,IF(DataTable[[#This Row],[E. Game Compl.]]="Challenging the Tower",5,IF(DataTable[[#This Row],[E. Game Compl.]]="Scaling the Tower",15,)))</f>
        <v>0</v>
      </c>
      <c r="J282">
        <f>Table2[[#This Row],[AUTO Pts]]+Table2[[#This Row],[Shooting Pts.]]+Table2[[#This Row],[Def. Points]]+Table2[[#This Row],[E. Game Pts.]]</f>
        <v>0</v>
      </c>
    </row>
    <row r="283" spans="1:10" x14ac:dyDescent="0.25">
      <c r="A283">
        <f>DataTable[[#This Row],[Tm.]]</f>
        <v>0</v>
      </c>
      <c r="B283">
        <f>DataTable[[#This Row],[Match Nr.]]</f>
        <v>0</v>
      </c>
      <c r="C2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3">
        <f>DataTable[[#This Row],[Successful Lo. G. S]]*2+DataTable[[#This Row],[Successful Hi. G. S.]]*10</f>
        <v>0</v>
      </c>
      <c r="H2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3">
        <f>IF(DataTable[[#This Row],[E. Game Compl.]]="Nothing",0,IF(DataTable[[#This Row],[E. Game Compl.]]="Challenging the Tower",5,IF(DataTable[[#This Row],[E. Game Compl.]]="Scaling the Tower",15,)))</f>
        <v>0</v>
      </c>
      <c r="J283">
        <f>Table2[[#This Row],[AUTO Pts]]+Table2[[#This Row],[Shooting Pts.]]+Table2[[#This Row],[Def. Points]]+Table2[[#This Row],[E. Game Pts.]]</f>
        <v>0</v>
      </c>
    </row>
    <row r="284" spans="1:10" x14ac:dyDescent="0.25">
      <c r="A284">
        <f>DataTable[[#This Row],[Tm.]]</f>
        <v>0</v>
      </c>
      <c r="B284">
        <f>DataTable[[#This Row],[Match Nr.]]</f>
        <v>0</v>
      </c>
      <c r="C2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4">
        <f>DataTable[[#This Row],[Successful Lo. G. S]]*2+DataTable[[#This Row],[Successful Hi. G. S.]]*10</f>
        <v>0</v>
      </c>
      <c r="H2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4">
        <f>IF(DataTable[[#This Row],[E. Game Compl.]]="Nothing",0,IF(DataTable[[#This Row],[E. Game Compl.]]="Challenging the Tower",5,IF(DataTable[[#This Row],[E. Game Compl.]]="Scaling the Tower",15,)))</f>
        <v>0</v>
      </c>
      <c r="J284">
        <f>Table2[[#This Row],[AUTO Pts]]+Table2[[#This Row],[Shooting Pts.]]+Table2[[#This Row],[Def. Points]]+Table2[[#This Row],[E. Game Pts.]]</f>
        <v>0</v>
      </c>
    </row>
    <row r="285" spans="1:10" x14ac:dyDescent="0.25">
      <c r="A285">
        <f>DataTable[[#This Row],[Tm.]]</f>
        <v>0</v>
      </c>
      <c r="B285">
        <f>DataTable[[#This Row],[Match Nr.]]</f>
        <v>0</v>
      </c>
      <c r="C2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5">
        <f>DataTable[[#This Row],[Successful Lo. G. S]]*2+DataTable[[#This Row],[Successful Hi. G. S.]]*10</f>
        <v>0</v>
      </c>
      <c r="H2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5">
        <f>IF(DataTable[[#This Row],[E. Game Compl.]]="Nothing",0,IF(DataTable[[#This Row],[E. Game Compl.]]="Challenging the Tower",5,IF(DataTable[[#This Row],[E. Game Compl.]]="Scaling the Tower",15,)))</f>
        <v>0</v>
      </c>
      <c r="J285">
        <f>Table2[[#This Row],[AUTO Pts]]+Table2[[#This Row],[Shooting Pts.]]+Table2[[#This Row],[Def. Points]]+Table2[[#This Row],[E. Game Pts.]]</f>
        <v>0</v>
      </c>
    </row>
    <row r="286" spans="1:10" x14ac:dyDescent="0.25">
      <c r="A286">
        <f>DataTable[[#This Row],[Tm.]]</f>
        <v>0</v>
      </c>
      <c r="B286">
        <f>DataTable[[#This Row],[Match Nr.]]</f>
        <v>0</v>
      </c>
      <c r="C2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6">
        <f>DataTable[[#This Row],[Successful Lo. G. S]]*2+DataTable[[#This Row],[Successful Hi. G. S.]]*10</f>
        <v>0</v>
      </c>
      <c r="H2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6">
        <f>IF(DataTable[[#This Row],[E. Game Compl.]]="Nothing",0,IF(DataTable[[#This Row],[E. Game Compl.]]="Challenging the Tower",5,IF(DataTable[[#This Row],[E. Game Compl.]]="Scaling the Tower",15,)))</f>
        <v>0</v>
      </c>
      <c r="J286">
        <f>Table2[[#This Row],[AUTO Pts]]+Table2[[#This Row],[Shooting Pts.]]+Table2[[#This Row],[Def. Points]]+Table2[[#This Row],[E. Game Pts.]]</f>
        <v>0</v>
      </c>
    </row>
    <row r="287" spans="1:10" x14ac:dyDescent="0.25">
      <c r="A287">
        <f>DataTable[[#This Row],[Tm.]]</f>
        <v>0</v>
      </c>
      <c r="B287">
        <f>DataTable[[#This Row],[Match Nr.]]</f>
        <v>0</v>
      </c>
      <c r="C2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7">
        <f>DataTable[[#This Row],[Successful Lo. G. S]]*2+DataTable[[#This Row],[Successful Hi. G. S.]]*10</f>
        <v>0</v>
      </c>
      <c r="H2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7">
        <f>IF(DataTable[[#This Row],[E. Game Compl.]]="Nothing",0,IF(DataTable[[#This Row],[E. Game Compl.]]="Challenging the Tower",5,IF(DataTable[[#This Row],[E. Game Compl.]]="Scaling the Tower",15,)))</f>
        <v>0</v>
      </c>
      <c r="J287">
        <f>Table2[[#This Row],[AUTO Pts]]+Table2[[#This Row],[Shooting Pts.]]+Table2[[#This Row],[Def. Points]]+Table2[[#This Row],[E. Game Pts.]]</f>
        <v>0</v>
      </c>
    </row>
    <row r="288" spans="1:10" x14ac:dyDescent="0.25">
      <c r="A288">
        <f>DataTable[[#This Row],[Tm.]]</f>
        <v>0</v>
      </c>
      <c r="B288">
        <f>DataTable[[#This Row],[Match Nr.]]</f>
        <v>0</v>
      </c>
      <c r="C2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8">
        <f>DataTable[[#This Row],[Successful Lo. G. S]]*2+DataTable[[#This Row],[Successful Hi. G. S.]]*10</f>
        <v>0</v>
      </c>
      <c r="H2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8">
        <f>IF(DataTable[[#This Row],[E. Game Compl.]]="Nothing",0,IF(DataTable[[#This Row],[E. Game Compl.]]="Challenging the Tower",5,IF(DataTable[[#This Row],[E. Game Compl.]]="Scaling the Tower",15,)))</f>
        <v>0</v>
      </c>
      <c r="J288">
        <f>Table2[[#This Row],[AUTO Pts]]+Table2[[#This Row],[Shooting Pts.]]+Table2[[#This Row],[Def. Points]]+Table2[[#This Row],[E. Game Pts.]]</f>
        <v>0</v>
      </c>
    </row>
    <row r="289" spans="1:10" x14ac:dyDescent="0.25">
      <c r="A289">
        <f>DataTable[[#This Row],[Tm.]]</f>
        <v>0</v>
      </c>
      <c r="B289">
        <f>DataTable[[#This Row],[Match Nr.]]</f>
        <v>0</v>
      </c>
      <c r="C2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9">
        <f>DataTable[[#This Row],[Successful Lo. G. S]]*2+DataTable[[#This Row],[Successful Hi. G. S.]]*10</f>
        <v>0</v>
      </c>
      <c r="H2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9">
        <f>IF(DataTable[[#This Row],[E. Game Compl.]]="Nothing",0,IF(DataTable[[#This Row],[E. Game Compl.]]="Challenging the Tower",5,IF(DataTable[[#This Row],[E. Game Compl.]]="Scaling the Tower",15,)))</f>
        <v>0</v>
      </c>
      <c r="J289">
        <f>Table2[[#This Row],[AUTO Pts]]+Table2[[#This Row],[Shooting Pts.]]+Table2[[#This Row],[Def. Points]]+Table2[[#This Row],[E. Game Pts.]]</f>
        <v>0</v>
      </c>
    </row>
    <row r="290" spans="1:10" x14ac:dyDescent="0.25">
      <c r="A290">
        <f>DataTable[[#This Row],[Tm.]]</f>
        <v>0</v>
      </c>
      <c r="B290">
        <f>DataTable[[#This Row],[Match Nr.]]</f>
        <v>0</v>
      </c>
      <c r="C2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0">
        <f>DataTable[[#This Row],[Successful Lo. G. S]]*2+DataTable[[#This Row],[Successful Hi. G. S.]]*10</f>
        <v>0</v>
      </c>
      <c r="H2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0">
        <f>IF(DataTable[[#This Row],[E. Game Compl.]]="Nothing",0,IF(DataTable[[#This Row],[E. Game Compl.]]="Challenging the Tower",5,IF(DataTable[[#This Row],[E. Game Compl.]]="Scaling the Tower",15,)))</f>
        <v>0</v>
      </c>
      <c r="J290">
        <f>Table2[[#This Row],[AUTO Pts]]+Table2[[#This Row],[Shooting Pts.]]+Table2[[#This Row],[Def. Points]]+Table2[[#This Row],[E. Game Pts.]]</f>
        <v>0</v>
      </c>
    </row>
    <row r="291" spans="1:10" x14ac:dyDescent="0.25">
      <c r="A291">
        <f>DataTable[[#This Row],[Tm.]]</f>
        <v>0</v>
      </c>
      <c r="B291">
        <f>DataTable[[#This Row],[Match Nr.]]</f>
        <v>0</v>
      </c>
      <c r="C2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1">
        <f>DataTable[[#This Row],[Successful Lo. G. S]]*2+DataTable[[#This Row],[Successful Hi. G. S.]]*10</f>
        <v>0</v>
      </c>
      <c r="H2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1">
        <f>IF(DataTable[[#This Row],[E. Game Compl.]]="Nothing",0,IF(DataTable[[#This Row],[E. Game Compl.]]="Challenging the Tower",5,IF(DataTable[[#This Row],[E. Game Compl.]]="Scaling the Tower",15,)))</f>
        <v>0</v>
      </c>
      <c r="J291">
        <f>Table2[[#This Row],[AUTO Pts]]+Table2[[#This Row],[Shooting Pts.]]+Table2[[#This Row],[Def. Points]]+Table2[[#This Row],[E. Game Pts.]]</f>
        <v>0</v>
      </c>
    </row>
    <row r="292" spans="1:10" x14ac:dyDescent="0.25">
      <c r="A292">
        <f>DataTable[[#This Row],[Tm.]]</f>
        <v>0</v>
      </c>
      <c r="B292">
        <f>DataTable[[#This Row],[Match Nr.]]</f>
        <v>0</v>
      </c>
      <c r="C2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2">
        <f>DataTable[[#This Row],[Successful Lo. G. S]]*2+DataTable[[#This Row],[Successful Hi. G. S.]]*10</f>
        <v>0</v>
      </c>
      <c r="H2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2">
        <f>IF(DataTable[[#This Row],[E. Game Compl.]]="Nothing",0,IF(DataTable[[#This Row],[E. Game Compl.]]="Challenging the Tower",5,IF(DataTable[[#This Row],[E. Game Compl.]]="Scaling the Tower",15,)))</f>
        <v>0</v>
      </c>
      <c r="J292">
        <f>Table2[[#This Row],[AUTO Pts]]+Table2[[#This Row],[Shooting Pts.]]+Table2[[#This Row],[Def. Points]]+Table2[[#This Row],[E. Game Pts.]]</f>
        <v>0</v>
      </c>
    </row>
    <row r="293" spans="1:10" x14ac:dyDescent="0.25">
      <c r="A293">
        <f>DataTable[[#This Row],[Tm.]]</f>
        <v>0</v>
      </c>
      <c r="B293">
        <f>DataTable[[#This Row],[Match Nr.]]</f>
        <v>0</v>
      </c>
      <c r="C2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3">
        <f>DataTable[[#This Row],[Successful Lo. G. S]]*2+DataTable[[#This Row],[Successful Hi. G. S.]]*10</f>
        <v>0</v>
      </c>
      <c r="H2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3">
        <f>IF(DataTable[[#This Row],[E. Game Compl.]]="Nothing",0,IF(DataTable[[#This Row],[E. Game Compl.]]="Challenging the Tower",5,IF(DataTable[[#This Row],[E. Game Compl.]]="Scaling the Tower",15,)))</f>
        <v>0</v>
      </c>
      <c r="J293">
        <f>Table2[[#This Row],[AUTO Pts]]+Table2[[#This Row],[Shooting Pts.]]+Table2[[#This Row],[Def. Points]]+Table2[[#This Row],[E. Game Pts.]]</f>
        <v>0</v>
      </c>
    </row>
    <row r="294" spans="1:10" x14ac:dyDescent="0.25">
      <c r="A294">
        <f>DataTable[[#This Row],[Tm.]]</f>
        <v>0</v>
      </c>
      <c r="B294">
        <f>DataTable[[#This Row],[Match Nr.]]</f>
        <v>0</v>
      </c>
      <c r="C2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4">
        <f>DataTable[[#This Row],[Successful Lo. G. S]]*2+DataTable[[#This Row],[Successful Hi. G. S.]]*10</f>
        <v>0</v>
      </c>
      <c r="H2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4">
        <f>IF(DataTable[[#This Row],[E. Game Compl.]]="Nothing",0,IF(DataTable[[#This Row],[E. Game Compl.]]="Challenging the Tower",5,IF(DataTable[[#This Row],[E. Game Compl.]]="Scaling the Tower",15,)))</f>
        <v>0</v>
      </c>
      <c r="J294">
        <f>Table2[[#This Row],[AUTO Pts]]+Table2[[#This Row],[Shooting Pts.]]+Table2[[#This Row],[Def. Points]]+Table2[[#This Row],[E. Game Pts.]]</f>
        <v>0</v>
      </c>
    </row>
    <row r="295" spans="1:10" x14ac:dyDescent="0.25">
      <c r="A295">
        <f>DataTable[[#This Row],[Tm.]]</f>
        <v>0</v>
      </c>
      <c r="B295">
        <f>DataTable[[#This Row],[Match Nr.]]</f>
        <v>0</v>
      </c>
      <c r="C2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5">
        <f>DataTable[[#This Row],[Successful Lo. G. S]]*2+DataTable[[#This Row],[Successful Hi. G. S.]]*10</f>
        <v>0</v>
      </c>
      <c r="H2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5">
        <f>IF(DataTable[[#This Row],[E. Game Compl.]]="Nothing",0,IF(DataTable[[#This Row],[E. Game Compl.]]="Challenging the Tower",5,IF(DataTable[[#This Row],[E. Game Compl.]]="Scaling the Tower",15,)))</f>
        <v>0</v>
      </c>
      <c r="J295">
        <f>Table2[[#This Row],[AUTO Pts]]+Table2[[#This Row],[Shooting Pts.]]+Table2[[#This Row],[Def. Points]]+Table2[[#This Row],[E. Game Pts.]]</f>
        <v>0</v>
      </c>
    </row>
    <row r="296" spans="1:10" x14ac:dyDescent="0.25">
      <c r="A296">
        <f>DataTable[[#This Row],[Tm.]]</f>
        <v>0</v>
      </c>
      <c r="B296">
        <f>DataTable[[#This Row],[Match Nr.]]</f>
        <v>0</v>
      </c>
      <c r="C2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6">
        <f>DataTable[[#This Row],[Successful Lo. G. S]]*2+DataTable[[#This Row],[Successful Hi. G. S.]]*10</f>
        <v>0</v>
      </c>
      <c r="H2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6">
        <f>IF(DataTable[[#This Row],[E. Game Compl.]]="Nothing",0,IF(DataTable[[#This Row],[E. Game Compl.]]="Challenging the Tower",5,IF(DataTable[[#This Row],[E. Game Compl.]]="Scaling the Tower",15,)))</f>
        <v>0</v>
      </c>
      <c r="J296">
        <f>Table2[[#This Row],[AUTO Pts]]+Table2[[#This Row],[Shooting Pts.]]+Table2[[#This Row],[Def. Points]]+Table2[[#This Row],[E. Game Pts.]]</f>
        <v>0</v>
      </c>
    </row>
    <row r="297" spans="1:10" x14ac:dyDescent="0.25">
      <c r="A297">
        <f>DataTable[[#This Row],[Tm.]]</f>
        <v>0</v>
      </c>
      <c r="B297">
        <f>DataTable[[#This Row],[Match Nr.]]</f>
        <v>0</v>
      </c>
      <c r="C2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7">
        <f>DataTable[[#This Row],[Successful Lo. G. S]]*2+DataTable[[#This Row],[Successful Hi. G. S.]]*10</f>
        <v>0</v>
      </c>
      <c r="H2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7">
        <f>IF(DataTable[[#This Row],[E. Game Compl.]]="Nothing",0,IF(DataTable[[#This Row],[E. Game Compl.]]="Challenging the Tower",5,IF(DataTable[[#This Row],[E. Game Compl.]]="Scaling the Tower",15,)))</f>
        <v>0</v>
      </c>
      <c r="J297">
        <f>Table2[[#This Row],[AUTO Pts]]+Table2[[#This Row],[Shooting Pts.]]+Table2[[#This Row],[Def. Points]]+Table2[[#This Row],[E. Game Pts.]]</f>
        <v>0</v>
      </c>
    </row>
    <row r="298" spans="1:10" x14ac:dyDescent="0.25">
      <c r="A298">
        <f>DataTable[[#This Row],[Tm.]]</f>
        <v>0</v>
      </c>
      <c r="B298">
        <f>DataTable[[#This Row],[Match Nr.]]</f>
        <v>0</v>
      </c>
      <c r="C2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8">
        <f>DataTable[[#This Row],[Successful Lo. G. S]]*2+DataTable[[#This Row],[Successful Hi. G. S.]]*10</f>
        <v>0</v>
      </c>
      <c r="H2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8">
        <f>IF(DataTable[[#This Row],[E. Game Compl.]]="Nothing",0,IF(DataTable[[#This Row],[E. Game Compl.]]="Challenging the Tower",5,IF(DataTable[[#This Row],[E. Game Compl.]]="Scaling the Tower",15,)))</f>
        <v>0</v>
      </c>
      <c r="J298">
        <f>Table2[[#This Row],[AUTO Pts]]+Table2[[#This Row],[Shooting Pts.]]+Table2[[#This Row],[Def. Points]]+Table2[[#This Row],[E. Game Pts.]]</f>
        <v>0</v>
      </c>
    </row>
    <row r="299" spans="1:10" x14ac:dyDescent="0.25">
      <c r="A299">
        <f>DataTable[[#This Row],[Tm.]]</f>
        <v>0</v>
      </c>
      <c r="B299">
        <f>DataTable[[#This Row],[Match Nr.]]</f>
        <v>0</v>
      </c>
      <c r="C2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9">
        <f>DataTable[[#This Row],[Successful Lo. G. S]]*2+DataTable[[#This Row],[Successful Hi. G. S.]]*10</f>
        <v>0</v>
      </c>
      <c r="H2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9">
        <f>IF(DataTable[[#This Row],[E. Game Compl.]]="Nothing",0,IF(DataTable[[#This Row],[E. Game Compl.]]="Challenging the Tower",5,IF(DataTable[[#This Row],[E. Game Compl.]]="Scaling the Tower",15,)))</f>
        <v>0</v>
      </c>
      <c r="J299">
        <f>Table2[[#This Row],[AUTO Pts]]+Table2[[#This Row],[Shooting Pts.]]+Table2[[#This Row],[Def. Points]]+Table2[[#This Row],[E. Game Pts.]]</f>
        <v>0</v>
      </c>
    </row>
    <row r="300" spans="1:10" x14ac:dyDescent="0.25">
      <c r="A300">
        <f>DataTable[[#This Row],[Tm.]]</f>
        <v>0</v>
      </c>
      <c r="B300">
        <f>DataTable[[#This Row],[Match Nr.]]</f>
        <v>0</v>
      </c>
      <c r="C3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0">
        <f>DataTable[[#This Row],[Successful Lo. G. S]]*2+DataTable[[#This Row],[Successful Hi. G. S.]]*10</f>
        <v>0</v>
      </c>
      <c r="H3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0">
        <f>IF(DataTable[[#This Row],[E. Game Compl.]]="Nothing",0,IF(DataTable[[#This Row],[E. Game Compl.]]="Challenging the Tower",5,IF(DataTable[[#This Row],[E. Game Compl.]]="Scaling the Tower",15,)))</f>
        <v>0</v>
      </c>
      <c r="J300">
        <f>Table2[[#This Row],[AUTO Pts]]+Table2[[#This Row],[Shooting Pts.]]+Table2[[#This Row],[Def. Points]]+Table2[[#This Row],[E. Game Pts.]]</f>
        <v>0</v>
      </c>
    </row>
    <row r="301" spans="1:10" x14ac:dyDescent="0.25">
      <c r="A301">
        <f>DataTable[[#This Row],[Tm.]]</f>
        <v>0</v>
      </c>
      <c r="B301">
        <f>DataTable[[#This Row],[Match Nr.]]</f>
        <v>0</v>
      </c>
      <c r="C3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1">
        <f>DataTable[[#This Row],[Successful Lo. G. S]]*2+DataTable[[#This Row],[Successful Hi. G. S.]]*10</f>
        <v>0</v>
      </c>
      <c r="H3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1">
        <f>IF(DataTable[[#This Row],[E. Game Compl.]]="Nothing",0,IF(DataTable[[#This Row],[E. Game Compl.]]="Challenging the Tower",5,IF(DataTable[[#This Row],[E. Game Compl.]]="Scaling the Tower",15,)))</f>
        <v>0</v>
      </c>
      <c r="J301">
        <f>Table2[[#This Row],[AUTO Pts]]+Table2[[#This Row],[Shooting Pts.]]+Table2[[#This Row],[Def. Points]]+Table2[[#This Row],[E. Game Pts.]]</f>
        <v>0</v>
      </c>
    </row>
    <row r="302" spans="1:10" x14ac:dyDescent="0.25">
      <c r="A302">
        <f>DataTable[[#This Row],[Tm.]]</f>
        <v>0</v>
      </c>
      <c r="B302">
        <f>DataTable[[#This Row],[Match Nr.]]</f>
        <v>0</v>
      </c>
      <c r="C3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2">
        <f>DataTable[[#This Row],[Successful Lo. G. S]]*2+DataTable[[#This Row],[Successful Hi. G. S.]]*10</f>
        <v>0</v>
      </c>
      <c r="H3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2">
        <f>IF(DataTable[[#This Row],[E. Game Compl.]]="Nothing",0,IF(DataTable[[#This Row],[E. Game Compl.]]="Challenging the Tower",5,IF(DataTable[[#This Row],[E. Game Compl.]]="Scaling the Tower",15,)))</f>
        <v>0</v>
      </c>
      <c r="J302">
        <f>Table2[[#This Row],[AUTO Pts]]+Table2[[#This Row],[Shooting Pts.]]+Table2[[#This Row],[Def. Points]]+Table2[[#This Row],[E. Game Pts.]]</f>
        <v>0</v>
      </c>
    </row>
    <row r="303" spans="1:10" x14ac:dyDescent="0.25">
      <c r="A303">
        <f>DataTable[[#This Row],[Tm.]]</f>
        <v>0</v>
      </c>
      <c r="B303">
        <f>DataTable[[#This Row],[Match Nr.]]</f>
        <v>0</v>
      </c>
      <c r="C3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3">
        <f>DataTable[[#This Row],[Successful Lo. G. S]]*2+DataTable[[#This Row],[Successful Hi. G. S.]]*10</f>
        <v>0</v>
      </c>
      <c r="H3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3">
        <f>IF(DataTable[[#This Row],[E. Game Compl.]]="Nothing",0,IF(DataTable[[#This Row],[E. Game Compl.]]="Challenging the Tower",5,IF(DataTable[[#This Row],[E. Game Compl.]]="Scaling the Tower",15,)))</f>
        <v>0</v>
      </c>
      <c r="J303">
        <f>Table2[[#This Row],[AUTO Pts]]+Table2[[#This Row],[Shooting Pts.]]+Table2[[#This Row],[Def. Points]]+Table2[[#This Row],[E. Game Pts.]]</f>
        <v>0</v>
      </c>
    </row>
    <row r="304" spans="1:10" x14ac:dyDescent="0.25">
      <c r="A304">
        <f>DataTable[[#This Row],[Tm.]]</f>
        <v>0</v>
      </c>
      <c r="B304">
        <f>DataTable[[#This Row],[Match Nr.]]</f>
        <v>0</v>
      </c>
      <c r="C3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4">
        <f>DataTable[[#This Row],[Successful Lo. G. S]]*2+DataTable[[#This Row],[Successful Hi. G. S.]]*10</f>
        <v>0</v>
      </c>
      <c r="H3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4">
        <f>IF(DataTable[[#This Row],[E. Game Compl.]]="Nothing",0,IF(DataTable[[#This Row],[E. Game Compl.]]="Challenging the Tower",5,IF(DataTable[[#This Row],[E. Game Compl.]]="Scaling the Tower",15,)))</f>
        <v>0</v>
      </c>
      <c r="J304">
        <f>Table2[[#This Row],[AUTO Pts]]+Table2[[#This Row],[Shooting Pts.]]+Table2[[#This Row],[Def. Points]]+Table2[[#This Row],[E. Game Pts.]]</f>
        <v>0</v>
      </c>
    </row>
    <row r="305" spans="1:10" x14ac:dyDescent="0.25">
      <c r="A305">
        <f>DataTable[[#This Row],[Tm.]]</f>
        <v>0</v>
      </c>
      <c r="B305">
        <f>DataTable[[#This Row],[Match Nr.]]</f>
        <v>0</v>
      </c>
      <c r="C3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5">
        <f>DataTable[[#This Row],[Successful Lo. G. S]]*2+DataTable[[#This Row],[Successful Hi. G. S.]]*10</f>
        <v>0</v>
      </c>
      <c r="H3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5">
        <f>IF(DataTable[[#This Row],[E. Game Compl.]]="Nothing",0,IF(DataTable[[#This Row],[E. Game Compl.]]="Challenging the Tower",5,IF(DataTable[[#This Row],[E. Game Compl.]]="Scaling the Tower",15,)))</f>
        <v>0</v>
      </c>
      <c r="J305">
        <f>Table2[[#This Row],[AUTO Pts]]+Table2[[#This Row],[Shooting Pts.]]+Table2[[#This Row],[Def. Points]]+Table2[[#This Row],[E. Game Pts.]]</f>
        <v>0</v>
      </c>
    </row>
    <row r="306" spans="1:10" x14ac:dyDescent="0.25">
      <c r="A306">
        <f>DataTable[[#This Row],[Tm.]]</f>
        <v>0</v>
      </c>
      <c r="B306">
        <f>DataTable[[#This Row],[Match Nr.]]</f>
        <v>0</v>
      </c>
      <c r="C3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6">
        <f>DataTable[[#This Row],[Successful Lo. G. S]]*2+DataTable[[#This Row],[Successful Hi. G. S.]]*10</f>
        <v>0</v>
      </c>
      <c r="H3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6">
        <f>IF(DataTable[[#This Row],[E. Game Compl.]]="Nothing",0,IF(DataTable[[#This Row],[E. Game Compl.]]="Challenging the Tower",5,IF(DataTable[[#This Row],[E. Game Compl.]]="Scaling the Tower",15,)))</f>
        <v>0</v>
      </c>
      <c r="J306">
        <f>Table2[[#This Row],[AUTO Pts]]+Table2[[#This Row],[Shooting Pts.]]+Table2[[#This Row],[Def. Points]]+Table2[[#This Row],[E. Game Pts.]]</f>
        <v>0</v>
      </c>
    </row>
    <row r="307" spans="1:10" x14ac:dyDescent="0.25">
      <c r="A307">
        <f>DataTable[[#This Row],[Tm.]]</f>
        <v>0</v>
      </c>
      <c r="B307">
        <f>DataTable[[#This Row],[Match Nr.]]</f>
        <v>0</v>
      </c>
      <c r="C3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7">
        <f>DataTable[[#This Row],[Successful Lo. G. S]]*2+DataTable[[#This Row],[Successful Hi. G. S.]]*10</f>
        <v>0</v>
      </c>
      <c r="H3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7">
        <f>IF(DataTable[[#This Row],[E. Game Compl.]]="Nothing",0,IF(DataTable[[#This Row],[E. Game Compl.]]="Challenging the Tower",5,IF(DataTable[[#This Row],[E. Game Compl.]]="Scaling the Tower",15,)))</f>
        <v>0</v>
      </c>
      <c r="J307">
        <f>Table2[[#This Row],[AUTO Pts]]+Table2[[#This Row],[Shooting Pts.]]+Table2[[#This Row],[Def. Points]]+Table2[[#This Row],[E. Game Pts.]]</f>
        <v>0</v>
      </c>
    </row>
    <row r="308" spans="1:10" x14ac:dyDescent="0.25">
      <c r="A308">
        <f>DataTable[[#This Row],[Tm.]]</f>
        <v>0</v>
      </c>
      <c r="B308">
        <f>DataTable[[#This Row],[Match Nr.]]</f>
        <v>0</v>
      </c>
      <c r="C3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8">
        <f>DataTable[[#This Row],[Successful Lo. G. S]]*2+DataTable[[#This Row],[Successful Hi. G. S.]]*10</f>
        <v>0</v>
      </c>
      <c r="H3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8">
        <f>IF(DataTable[[#This Row],[E. Game Compl.]]="Nothing",0,IF(DataTable[[#This Row],[E. Game Compl.]]="Challenging the Tower",5,IF(DataTable[[#This Row],[E. Game Compl.]]="Scaling the Tower",15,)))</f>
        <v>0</v>
      </c>
      <c r="J308">
        <f>Table2[[#This Row],[AUTO Pts]]+Table2[[#This Row],[Shooting Pts.]]+Table2[[#This Row],[Def. Points]]+Table2[[#This Row],[E. Game Pts.]]</f>
        <v>0</v>
      </c>
    </row>
    <row r="309" spans="1:10" x14ac:dyDescent="0.25">
      <c r="A309">
        <f>DataTable[[#This Row],[Tm.]]</f>
        <v>0</v>
      </c>
      <c r="B309">
        <f>DataTable[[#This Row],[Match Nr.]]</f>
        <v>0</v>
      </c>
      <c r="C3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9">
        <f>DataTable[[#This Row],[Successful Lo. G. S]]*2+DataTable[[#This Row],[Successful Hi. G. S.]]*10</f>
        <v>0</v>
      </c>
      <c r="H3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9">
        <f>IF(DataTable[[#This Row],[E. Game Compl.]]="Nothing",0,IF(DataTable[[#This Row],[E. Game Compl.]]="Challenging the Tower",5,IF(DataTable[[#This Row],[E. Game Compl.]]="Scaling the Tower",15,)))</f>
        <v>0</v>
      </c>
      <c r="J309">
        <f>Table2[[#This Row],[AUTO Pts]]+Table2[[#This Row],[Shooting Pts.]]+Table2[[#This Row],[Def. Points]]+Table2[[#This Row],[E. Game Pts.]]</f>
        <v>0</v>
      </c>
    </row>
    <row r="310" spans="1:10" x14ac:dyDescent="0.25">
      <c r="A310">
        <f>DataTable[[#This Row],[Tm.]]</f>
        <v>0</v>
      </c>
      <c r="B310">
        <f>DataTable[[#This Row],[Match Nr.]]</f>
        <v>0</v>
      </c>
      <c r="C3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0">
        <f>DataTable[[#This Row],[Successful Lo. G. S]]*2+DataTable[[#This Row],[Successful Hi. G. S.]]*10</f>
        <v>0</v>
      </c>
      <c r="H3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0">
        <f>IF(DataTable[[#This Row],[E. Game Compl.]]="Nothing",0,IF(DataTable[[#This Row],[E. Game Compl.]]="Challenging the Tower",5,IF(DataTable[[#This Row],[E. Game Compl.]]="Scaling the Tower",15,)))</f>
        <v>0</v>
      </c>
      <c r="J310">
        <f>Table2[[#This Row],[AUTO Pts]]+Table2[[#This Row],[Shooting Pts.]]+Table2[[#This Row],[Def. Points]]+Table2[[#This Row],[E. Game Pts.]]</f>
        <v>0</v>
      </c>
    </row>
    <row r="311" spans="1:10" x14ac:dyDescent="0.25">
      <c r="A311">
        <f>DataTable[[#This Row],[Tm.]]</f>
        <v>0</v>
      </c>
      <c r="B311">
        <f>DataTable[[#This Row],[Match Nr.]]</f>
        <v>0</v>
      </c>
      <c r="C3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1">
        <f>DataTable[[#This Row],[Successful Lo. G. S]]*2+DataTable[[#This Row],[Successful Hi. G. S.]]*10</f>
        <v>0</v>
      </c>
      <c r="H3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1">
        <f>IF(DataTable[[#This Row],[E. Game Compl.]]="Nothing",0,IF(DataTable[[#This Row],[E. Game Compl.]]="Challenging the Tower",5,IF(DataTable[[#This Row],[E. Game Compl.]]="Scaling the Tower",15,)))</f>
        <v>0</v>
      </c>
      <c r="J311">
        <f>Table2[[#This Row],[AUTO Pts]]+Table2[[#This Row],[Shooting Pts.]]+Table2[[#This Row],[Def. Points]]+Table2[[#This Row],[E. Game Pts.]]</f>
        <v>0</v>
      </c>
    </row>
    <row r="312" spans="1:10" x14ac:dyDescent="0.25">
      <c r="A312">
        <f>DataTable[[#This Row],[Tm.]]</f>
        <v>0</v>
      </c>
      <c r="B312">
        <f>DataTable[[#This Row],[Match Nr.]]</f>
        <v>0</v>
      </c>
      <c r="C3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2">
        <f>DataTable[[#This Row],[Successful Lo. G. S]]*2+DataTable[[#This Row],[Successful Hi. G. S.]]*10</f>
        <v>0</v>
      </c>
      <c r="H3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2">
        <f>IF(DataTable[[#This Row],[E. Game Compl.]]="Nothing",0,IF(DataTable[[#This Row],[E. Game Compl.]]="Challenging the Tower",5,IF(DataTable[[#This Row],[E. Game Compl.]]="Scaling the Tower",15,)))</f>
        <v>0</v>
      </c>
      <c r="J312">
        <f>Table2[[#This Row],[AUTO Pts]]+Table2[[#This Row],[Shooting Pts.]]+Table2[[#This Row],[Def. Points]]+Table2[[#This Row],[E. Game Pts.]]</f>
        <v>0</v>
      </c>
    </row>
    <row r="313" spans="1:10" x14ac:dyDescent="0.25">
      <c r="A313">
        <f>DataTable[[#This Row],[Tm.]]</f>
        <v>0</v>
      </c>
      <c r="B313">
        <f>DataTable[[#This Row],[Match Nr.]]</f>
        <v>0</v>
      </c>
      <c r="C3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3">
        <f>DataTable[[#This Row],[Successful Lo. G. S]]*2+DataTable[[#This Row],[Successful Hi. G. S.]]*10</f>
        <v>0</v>
      </c>
      <c r="H3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3">
        <f>IF(DataTable[[#This Row],[E. Game Compl.]]="Nothing",0,IF(DataTable[[#This Row],[E. Game Compl.]]="Challenging the Tower",5,IF(DataTable[[#This Row],[E. Game Compl.]]="Scaling the Tower",15,)))</f>
        <v>0</v>
      </c>
      <c r="J313">
        <f>Table2[[#This Row],[AUTO Pts]]+Table2[[#This Row],[Shooting Pts.]]+Table2[[#This Row],[Def. Points]]+Table2[[#This Row],[E. Game Pts.]]</f>
        <v>0</v>
      </c>
    </row>
    <row r="314" spans="1:10" x14ac:dyDescent="0.25">
      <c r="A314">
        <f>DataTable[[#This Row],[Tm.]]</f>
        <v>0</v>
      </c>
      <c r="B314">
        <f>DataTable[[#This Row],[Match Nr.]]</f>
        <v>0</v>
      </c>
      <c r="C3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4">
        <f>DataTable[[#This Row],[Successful Lo. G. S]]*2+DataTable[[#This Row],[Successful Hi. G. S.]]*10</f>
        <v>0</v>
      </c>
      <c r="H3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4">
        <f>IF(DataTable[[#This Row],[E. Game Compl.]]="Nothing",0,IF(DataTable[[#This Row],[E. Game Compl.]]="Challenging the Tower",5,IF(DataTable[[#This Row],[E. Game Compl.]]="Scaling the Tower",15,)))</f>
        <v>0</v>
      </c>
      <c r="J314">
        <f>Table2[[#This Row],[AUTO Pts]]+Table2[[#This Row],[Shooting Pts.]]+Table2[[#This Row],[Def. Points]]+Table2[[#This Row],[E. Game Pts.]]</f>
        <v>0</v>
      </c>
    </row>
    <row r="315" spans="1:10" x14ac:dyDescent="0.25">
      <c r="A315">
        <f>DataTable[[#This Row],[Tm.]]</f>
        <v>0</v>
      </c>
      <c r="B315">
        <f>DataTable[[#This Row],[Match Nr.]]</f>
        <v>0</v>
      </c>
      <c r="C3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5">
        <f>DataTable[[#This Row],[Successful Lo. G. S]]*2+DataTable[[#This Row],[Successful Hi. G. S.]]*10</f>
        <v>0</v>
      </c>
      <c r="H3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5">
        <f>IF(DataTable[[#This Row],[E. Game Compl.]]="Nothing",0,IF(DataTable[[#This Row],[E. Game Compl.]]="Challenging the Tower",5,IF(DataTable[[#This Row],[E. Game Compl.]]="Scaling the Tower",15,)))</f>
        <v>0</v>
      </c>
      <c r="J315">
        <f>Table2[[#This Row],[AUTO Pts]]+Table2[[#This Row],[Shooting Pts.]]+Table2[[#This Row],[Def. Points]]+Table2[[#This Row],[E. Game Pts.]]</f>
        <v>0</v>
      </c>
    </row>
    <row r="316" spans="1:10" x14ac:dyDescent="0.25">
      <c r="A316">
        <f>DataTable[[#This Row],[Tm.]]</f>
        <v>0</v>
      </c>
      <c r="B316">
        <f>DataTable[[#This Row],[Match Nr.]]</f>
        <v>0</v>
      </c>
      <c r="C3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6">
        <f>DataTable[[#This Row],[Successful Lo. G. S]]*2+DataTable[[#This Row],[Successful Hi. G. S.]]*10</f>
        <v>0</v>
      </c>
      <c r="H3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6">
        <f>IF(DataTable[[#This Row],[E. Game Compl.]]="Nothing",0,IF(DataTable[[#This Row],[E. Game Compl.]]="Challenging the Tower",5,IF(DataTable[[#This Row],[E. Game Compl.]]="Scaling the Tower",15,)))</f>
        <v>0</v>
      </c>
      <c r="J316">
        <f>Table2[[#This Row],[AUTO Pts]]+Table2[[#This Row],[Shooting Pts.]]+Table2[[#This Row],[Def. Points]]+Table2[[#This Row],[E. Game Pts.]]</f>
        <v>0</v>
      </c>
    </row>
    <row r="317" spans="1:10" x14ac:dyDescent="0.25">
      <c r="A317">
        <f>DataTable[[#This Row],[Tm.]]</f>
        <v>0</v>
      </c>
      <c r="B317">
        <f>DataTable[[#This Row],[Match Nr.]]</f>
        <v>0</v>
      </c>
      <c r="C3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7">
        <f>DataTable[[#This Row],[Successful Lo. G. S]]*2+DataTable[[#This Row],[Successful Hi. G. S.]]*10</f>
        <v>0</v>
      </c>
      <c r="H3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7">
        <f>IF(DataTable[[#This Row],[E. Game Compl.]]="Nothing",0,IF(DataTable[[#This Row],[E. Game Compl.]]="Challenging the Tower",5,IF(DataTable[[#This Row],[E. Game Compl.]]="Scaling the Tower",15,)))</f>
        <v>0</v>
      </c>
      <c r="J317">
        <f>Table2[[#This Row],[AUTO Pts]]+Table2[[#This Row],[Shooting Pts.]]+Table2[[#This Row],[Def. Points]]+Table2[[#This Row],[E. Game Pts.]]</f>
        <v>0</v>
      </c>
    </row>
    <row r="318" spans="1:10" x14ac:dyDescent="0.25">
      <c r="A318">
        <f>DataTable[[#This Row],[Tm.]]</f>
        <v>0</v>
      </c>
      <c r="B318">
        <f>DataTable[[#This Row],[Match Nr.]]</f>
        <v>0</v>
      </c>
      <c r="C3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8">
        <f>DataTable[[#This Row],[Successful Lo. G. S]]*2+DataTable[[#This Row],[Successful Hi. G. S.]]*10</f>
        <v>0</v>
      </c>
      <c r="H3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8">
        <f>IF(DataTable[[#This Row],[E. Game Compl.]]="Nothing",0,IF(DataTable[[#This Row],[E. Game Compl.]]="Challenging the Tower",5,IF(DataTable[[#This Row],[E. Game Compl.]]="Scaling the Tower",15,)))</f>
        <v>0</v>
      </c>
      <c r="J318">
        <f>Table2[[#This Row],[AUTO Pts]]+Table2[[#This Row],[Shooting Pts.]]+Table2[[#This Row],[Def. Points]]+Table2[[#This Row],[E. Game Pts.]]</f>
        <v>0</v>
      </c>
    </row>
    <row r="319" spans="1:10" x14ac:dyDescent="0.25">
      <c r="A319">
        <f>DataTable[[#This Row],[Tm.]]</f>
        <v>0</v>
      </c>
      <c r="B319">
        <f>DataTable[[#This Row],[Match Nr.]]</f>
        <v>0</v>
      </c>
      <c r="C3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9">
        <f>DataTable[[#This Row],[Successful Lo. G. S]]*2+DataTable[[#This Row],[Successful Hi. G. S.]]*10</f>
        <v>0</v>
      </c>
      <c r="H3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9">
        <f>IF(DataTable[[#This Row],[E. Game Compl.]]="Nothing",0,IF(DataTable[[#This Row],[E. Game Compl.]]="Challenging the Tower",5,IF(DataTable[[#This Row],[E. Game Compl.]]="Scaling the Tower",15,)))</f>
        <v>0</v>
      </c>
      <c r="J319">
        <f>Table2[[#This Row],[AUTO Pts]]+Table2[[#This Row],[Shooting Pts.]]+Table2[[#This Row],[Def. Points]]+Table2[[#This Row],[E. Game Pts.]]</f>
        <v>0</v>
      </c>
    </row>
    <row r="320" spans="1:10" x14ac:dyDescent="0.25">
      <c r="A320">
        <f>DataTable[[#This Row],[Tm.]]</f>
        <v>0</v>
      </c>
      <c r="B320">
        <f>DataTable[[#This Row],[Match Nr.]]</f>
        <v>0</v>
      </c>
      <c r="C3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0">
        <f>DataTable[[#This Row],[Successful Lo. G. S]]*2+DataTable[[#This Row],[Successful Hi. G. S.]]*10</f>
        <v>0</v>
      </c>
      <c r="H3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0">
        <f>IF(DataTable[[#This Row],[E. Game Compl.]]="Nothing",0,IF(DataTable[[#This Row],[E. Game Compl.]]="Challenging the Tower",5,IF(DataTable[[#This Row],[E. Game Compl.]]="Scaling the Tower",15,)))</f>
        <v>0</v>
      </c>
      <c r="J320">
        <f>Table2[[#This Row],[AUTO Pts]]+Table2[[#This Row],[Shooting Pts.]]+Table2[[#This Row],[Def. Points]]+Table2[[#This Row],[E. Game Pts.]]</f>
        <v>0</v>
      </c>
    </row>
    <row r="321" spans="1:10" x14ac:dyDescent="0.25">
      <c r="A321">
        <f>DataTable[[#This Row],[Tm.]]</f>
        <v>0</v>
      </c>
      <c r="B321">
        <f>DataTable[[#This Row],[Match Nr.]]</f>
        <v>0</v>
      </c>
      <c r="C3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1">
        <f>DataTable[[#This Row],[Successful Lo. G. S]]*2+DataTable[[#This Row],[Successful Hi. G. S.]]*10</f>
        <v>0</v>
      </c>
      <c r="H3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1">
        <f>IF(DataTable[[#This Row],[E. Game Compl.]]="Nothing",0,IF(DataTable[[#This Row],[E. Game Compl.]]="Challenging the Tower",5,IF(DataTable[[#This Row],[E. Game Compl.]]="Scaling the Tower",15,)))</f>
        <v>0</v>
      </c>
      <c r="J321">
        <f>Table2[[#This Row],[AUTO Pts]]+Table2[[#This Row],[Shooting Pts.]]+Table2[[#This Row],[Def. Points]]+Table2[[#This Row],[E. Game Pts.]]</f>
        <v>0</v>
      </c>
    </row>
    <row r="322" spans="1:10" x14ac:dyDescent="0.25">
      <c r="A322">
        <f>DataTable[[#This Row],[Tm.]]</f>
        <v>0</v>
      </c>
      <c r="B322">
        <f>DataTable[[#This Row],[Match Nr.]]</f>
        <v>0</v>
      </c>
      <c r="C3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2">
        <f>DataTable[[#This Row],[Successful Lo. G. S]]*2+DataTable[[#This Row],[Successful Hi. G. S.]]*10</f>
        <v>0</v>
      </c>
      <c r="H3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2">
        <f>IF(DataTable[[#This Row],[E. Game Compl.]]="Nothing",0,IF(DataTable[[#This Row],[E. Game Compl.]]="Challenging the Tower",5,IF(DataTable[[#This Row],[E. Game Compl.]]="Scaling the Tower",15,)))</f>
        <v>0</v>
      </c>
      <c r="J322">
        <f>Table2[[#This Row],[AUTO Pts]]+Table2[[#This Row],[Shooting Pts.]]+Table2[[#This Row],[Def. Points]]+Table2[[#This Row],[E. Game Pts.]]</f>
        <v>0</v>
      </c>
    </row>
    <row r="323" spans="1:10" x14ac:dyDescent="0.25">
      <c r="A323">
        <f>DataTable[[#This Row],[Tm.]]</f>
        <v>0</v>
      </c>
      <c r="B323">
        <f>DataTable[[#This Row],[Match Nr.]]</f>
        <v>0</v>
      </c>
      <c r="C3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3">
        <f>DataTable[[#This Row],[Successful Lo. G. S]]*2+DataTable[[#This Row],[Successful Hi. G. S.]]*10</f>
        <v>0</v>
      </c>
      <c r="H3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3">
        <f>IF(DataTable[[#This Row],[E. Game Compl.]]="Nothing",0,IF(DataTable[[#This Row],[E. Game Compl.]]="Challenging the Tower",5,IF(DataTable[[#This Row],[E. Game Compl.]]="Scaling the Tower",15,)))</f>
        <v>0</v>
      </c>
      <c r="J323">
        <f>Table2[[#This Row],[AUTO Pts]]+Table2[[#This Row],[Shooting Pts.]]+Table2[[#This Row],[Def. Points]]+Table2[[#This Row],[E. Game Pts.]]</f>
        <v>0</v>
      </c>
    </row>
    <row r="324" spans="1:10" x14ac:dyDescent="0.25">
      <c r="A324">
        <f>DataTable[[#This Row],[Tm.]]</f>
        <v>0</v>
      </c>
      <c r="B324">
        <f>DataTable[[#This Row],[Match Nr.]]</f>
        <v>0</v>
      </c>
      <c r="C3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4">
        <f>DataTable[[#This Row],[Successful Lo. G. S]]*2+DataTable[[#This Row],[Successful Hi. G. S.]]*10</f>
        <v>0</v>
      </c>
      <c r="H3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4">
        <f>IF(DataTable[[#This Row],[E. Game Compl.]]="Nothing",0,IF(DataTable[[#This Row],[E. Game Compl.]]="Challenging the Tower",5,IF(DataTable[[#This Row],[E. Game Compl.]]="Scaling the Tower",15,)))</f>
        <v>0</v>
      </c>
      <c r="J324">
        <f>Table2[[#This Row],[AUTO Pts]]+Table2[[#This Row],[Shooting Pts.]]+Table2[[#This Row],[Def. Points]]+Table2[[#This Row],[E. Game Pts.]]</f>
        <v>0</v>
      </c>
    </row>
    <row r="325" spans="1:10" x14ac:dyDescent="0.25">
      <c r="A325">
        <f>DataTable[[#This Row],[Tm.]]</f>
        <v>0</v>
      </c>
      <c r="B325">
        <f>DataTable[[#This Row],[Match Nr.]]</f>
        <v>0</v>
      </c>
      <c r="C3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5">
        <f>DataTable[[#This Row],[Successful Lo. G. S]]*2+DataTable[[#This Row],[Successful Hi. G. S.]]*10</f>
        <v>0</v>
      </c>
      <c r="H3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5">
        <f>IF(DataTable[[#This Row],[E. Game Compl.]]="Nothing",0,IF(DataTable[[#This Row],[E. Game Compl.]]="Challenging the Tower",5,IF(DataTable[[#This Row],[E. Game Compl.]]="Scaling the Tower",15,)))</f>
        <v>0</v>
      </c>
      <c r="J325">
        <f>Table2[[#This Row],[AUTO Pts]]+Table2[[#This Row],[Shooting Pts.]]+Table2[[#This Row],[Def. Points]]+Table2[[#This Row],[E. Game Pts.]]</f>
        <v>0</v>
      </c>
    </row>
    <row r="326" spans="1:10" x14ac:dyDescent="0.25">
      <c r="A326">
        <f>DataTable[[#This Row],[Tm.]]</f>
        <v>0</v>
      </c>
      <c r="B326">
        <f>DataTable[[#This Row],[Match Nr.]]</f>
        <v>0</v>
      </c>
      <c r="C3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6">
        <f>DataTable[[#This Row],[Successful Lo. G. S]]*2+DataTable[[#This Row],[Successful Hi. G. S.]]*10</f>
        <v>0</v>
      </c>
      <c r="H3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6">
        <f>IF(DataTable[[#This Row],[E. Game Compl.]]="Nothing",0,IF(DataTable[[#This Row],[E. Game Compl.]]="Challenging the Tower",5,IF(DataTable[[#This Row],[E. Game Compl.]]="Scaling the Tower",15,)))</f>
        <v>0</v>
      </c>
      <c r="J326">
        <f>Table2[[#This Row],[AUTO Pts]]+Table2[[#This Row],[Shooting Pts.]]+Table2[[#This Row],[Def. Points]]+Table2[[#This Row],[E. Game Pts.]]</f>
        <v>0</v>
      </c>
    </row>
    <row r="327" spans="1:10" x14ac:dyDescent="0.25">
      <c r="A327">
        <f>DataTable[[#This Row],[Tm.]]</f>
        <v>0</v>
      </c>
      <c r="B327">
        <f>DataTable[[#This Row],[Match Nr.]]</f>
        <v>0</v>
      </c>
      <c r="C3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7">
        <f>DataTable[[#This Row],[Successful Lo. G. S]]*2+DataTable[[#This Row],[Successful Hi. G. S.]]*10</f>
        <v>0</v>
      </c>
      <c r="H3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7">
        <f>IF(DataTable[[#This Row],[E. Game Compl.]]="Nothing",0,IF(DataTable[[#This Row],[E. Game Compl.]]="Challenging the Tower",5,IF(DataTable[[#This Row],[E. Game Compl.]]="Scaling the Tower",15,)))</f>
        <v>0</v>
      </c>
      <c r="J327">
        <f>Table2[[#This Row],[AUTO Pts]]+Table2[[#This Row],[Shooting Pts.]]+Table2[[#This Row],[Def. Points]]+Table2[[#This Row],[E. Game Pts.]]</f>
        <v>0</v>
      </c>
    </row>
    <row r="328" spans="1:10" x14ac:dyDescent="0.25">
      <c r="A328">
        <f>DataTable[[#This Row],[Tm.]]</f>
        <v>0</v>
      </c>
      <c r="B328">
        <f>DataTable[[#This Row],[Match Nr.]]</f>
        <v>0</v>
      </c>
      <c r="C3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8">
        <f>DataTable[[#This Row],[Successful Lo. G. S]]*2+DataTable[[#This Row],[Successful Hi. G. S.]]*10</f>
        <v>0</v>
      </c>
      <c r="H3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8">
        <f>IF(DataTable[[#This Row],[E. Game Compl.]]="Nothing",0,IF(DataTable[[#This Row],[E. Game Compl.]]="Challenging the Tower",5,IF(DataTable[[#This Row],[E. Game Compl.]]="Scaling the Tower",15,)))</f>
        <v>0</v>
      </c>
      <c r="J328">
        <f>Table2[[#This Row],[AUTO Pts]]+Table2[[#This Row],[Shooting Pts.]]+Table2[[#This Row],[Def. Points]]+Table2[[#This Row],[E. Game Pts.]]</f>
        <v>0</v>
      </c>
    </row>
    <row r="329" spans="1:10" x14ac:dyDescent="0.25">
      <c r="A329">
        <f>DataTable[[#This Row],[Tm.]]</f>
        <v>0</v>
      </c>
      <c r="B329">
        <f>DataTable[[#This Row],[Match Nr.]]</f>
        <v>0</v>
      </c>
      <c r="C3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9">
        <f>DataTable[[#This Row],[Successful Lo. G. S]]*2+DataTable[[#This Row],[Successful Hi. G. S.]]*10</f>
        <v>0</v>
      </c>
      <c r="H3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9">
        <f>IF(DataTable[[#This Row],[E. Game Compl.]]="Nothing",0,IF(DataTable[[#This Row],[E. Game Compl.]]="Challenging the Tower",5,IF(DataTable[[#This Row],[E. Game Compl.]]="Scaling the Tower",15,)))</f>
        <v>0</v>
      </c>
      <c r="J329">
        <f>Table2[[#This Row],[AUTO Pts]]+Table2[[#This Row],[Shooting Pts.]]+Table2[[#This Row],[Def. Points]]+Table2[[#This Row],[E. Game Pts.]]</f>
        <v>0</v>
      </c>
    </row>
    <row r="330" spans="1:10" x14ac:dyDescent="0.25">
      <c r="A330">
        <f>DataTable[[#This Row],[Tm.]]</f>
        <v>0</v>
      </c>
      <c r="B330">
        <f>DataTable[[#This Row],[Match Nr.]]</f>
        <v>0</v>
      </c>
      <c r="C3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0">
        <f>DataTable[[#This Row],[Successful Lo. G. S]]*2+DataTable[[#This Row],[Successful Hi. G. S.]]*10</f>
        <v>0</v>
      </c>
      <c r="H3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0">
        <f>IF(DataTable[[#This Row],[E. Game Compl.]]="Nothing",0,IF(DataTable[[#This Row],[E. Game Compl.]]="Challenging the Tower",5,IF(DataTable[[#This Row],[E. Game Compl.]]="Scaling the Tower",15,)))</f>
        <v>0</v>
      </c>
      <c r="J330">
        <f>Table2[[#This Row],[AUTO Pts]]+Table2[[#This Row],[Shooting Pts.]]+Table2[[#This Row],[Def. Points]]+Table2[[#This Row],[E. Game Pts.]]</f>
        <v>0</v>
      </c>
    </row>
    <row r="331" spans="1:10" x14ac:dyDescent="0.25">
      <c r="A331">
        <f>DataTable[[#This Row],[Tm.]]</f>
        <v>0</v>
      </c>
      <c r="B331">
        <f>DataTable[[#This Row],[Match Nr.]]</f>
        <v>0</v>
      </c>
      <c r="C3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1">
        <f>DataTable[[#This Row],[Successful Lo. G. S]]*2+DataTable[[#This Row],[Successful Hi. G. S.]]*10</f>
        <v>0</v>
      </c>
      <c r="H3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1">
        <f>IF(DataTable[[#This Row],[E. Game Compl.]]="Nothing",0,IF(DataTable[[#This Row],[E. Game Compl.]]="Challenging the Tower",5,IF(DataTable[[#This Row],[E. Game Compl.]]="Scaling the Tower",15,)))</f>
        <v>0</v>
      </c>
      <c r="J331">
        <f>Table2[[#This Row],[AUTO Pts]]+Table2[[#This Row],[Shooting Pts.]]+Table2[[#This Row],[Def. Points]]+Table2[[#This Row],[E. Game Pts.]]</f>
        <v>0</v>
      </c>
    </row>
    <row r="332" spans="1:10" x14ac:dyDescent="0.25">
      <c r="A332">
        <f>DataTable[[#This Row],[Tm.]]</f>
        <v>0</v>
      </c>
      <c r="B332">
        <f>DataTable[[#This Row],[Match Nr.]]</f>
        <v>0</v>
      </c>
      <c r="C3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2">
        <f>DataTable[[#This Row],[Successful Lo. G. S]]*2+DataTable[[#This Row],[Successful Hi. G. S.]]*10</f>
        <v>0</v>
      </c>
      <c r="H3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2">
        <f>IF(DataTable[[#This Row],[E. Game Compl.]]="Nothing",0,IF(DataTable[[#This Row],[E. Game Compl.]]="Challenging the Tower",5,IF(DataTable[[#This Row],[E. Game Compl.]]="Scaling the Tower",15,)))</f>
        <v>0</v>
      </c>
      <c r="J332">
        <f>Table2[[#This Row],[AUTO Pts]]+Table2[[#This Row],[Shooting Pts.]]+Table2[[#This Row],[Def. Points]]+Table2[[#This Row],[E. Game Pts.]]</f>
        <v>0</v>
      </c>
    </row>
    <row r="333" spans="1:10" x14ac:dyDescent="0.25">
      <c r="A333">
        <f>DataTable[[#This Row],[Tm.]]</f>
        <v>0</v>
      </c>
      <c r="B333">
        <f>DataTable[[#This Row],[Match Nr.]]</f>
        <v>0</v>
      </c>
      <c r="C3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3">
        <f>DataTable[[#This Row],[Successful Lo. G. S]]*2+DataTable[[#This Row],[Successful Hi. G. S.]]*10</f>
        <v>0</v>
      </c>
      <c r="H3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3">
        <f>IF(DataTable[[#This Row],[E. Game Compl.]]="Nothing",0,IF(DataTable[[#This Row],[E. Game Compl.]]="Challenging the Tower",5,IF(DataTable[[#This Row],[E. Game Compl.]]="Scaling the Tower",15,)))</f>
        <v>0</v>
      </c>
      <c r="J333">
        <f>Table2[[#This Row],[AUTO Pts]]+Table2[[#This Row],[Shooting Pts.]]+Table2[[#This Row],[Def. Points]]+Table2[[#This Row],[E. Game Pts.]]</f>
        <v>0</v>
      </c>
    </row>
    <row r="334" spans="1:10" x14ac:dyDescent="0.25">
      <c r="A334">
        <f>DataTable[[#This Row],[Tm.]]</f>
        <v>0</v>
      </c>
      <c r="B334">
        <f>DataTable[[#This Row],[Match Nr.]]</f>
        <v>0</v>
      </c>
      <c r="C3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4">
        <f>DataTable[[#This Row],[Successful Lo. G. S]]*2+DataTable[[#This Row],[Successful Hi. G. S.]]*10</f>
        <v>0</v>
      </c>
      <c r="H3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4">
        <f>IF(DataTable[[#This Row],[E. Game Compl.]]="Nothing",0,IF(DataTable[[#This Row],[E. Game Compl.]]="Challenging the Tower",5,IF(DataTable[[#This Row],[E. Game Compl.]]="Scaling the Tower",15,)))</f>
        <v>0</v>
      </c>
      <c r="J334">
        <f>Table2[[#This Row],[AUTO Pts]]+Table2[[#This Row],[Shooting Pts.]]+Table2[[#This Row],[Def. Points]]+Table2[[#This Row],[E. Game Pts.]]</f>
        <v>0</v>
      </c>
    </row>
    <row r="335" spans="1:10" x14ac:dyDescent="0.25">
      <c r="A335">
        <f>DataTable[[#This Row],[Tm.]]</f>
        <v>0</v>
      </c>
      <c r="B335">
        <f>DataTable[[#This Row],[Match Nr.]]</f>
        <v>0</v>
      </c>
      <c r="C3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5">
        <f>DataTable[[#This Row],[Successful Lo. G. S]]*2+DataTable[[#This Row],[Successful Hi. G. S.]]*10</f>
        <v>0</v>
      </c>
      <c r="H3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5">
        <f>IF(DataTable[[#This Row],[E. Game Compl.]]="Nothing",0,IF(DataTable[[#This Row],[E. Game Compl.]]="Challenging the Tower",5,IF(DataTable[[#This Row],[E. Game Compl.]]="Scaling the Tower",15,)))</f>
        <v>0</v>
      </c>
      <c r="J335">
        <f>Table2[[#This Row],[AUTO Pts]]+Table2[[#This Row],[Shooting Pts.]]+Table2[[#This Row],[Def. Points]]+Table2[[#This Row],[E. Game Pts.]]</f>
        <v>0</v>
      </c>
    </row>
    <row r="336" spans="1:10" x14ac:dyDescent="0.25">
      <c r="A336">
        <f>DataTable[[#This Row],[Tm.]]</f>
        <v>0</v>
      </c>
      <c r="B336">
        <f>DataTable[[#This Row],[Match Nr.]]</f>
        <v>0</v>
      </c>
      <c r="C3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6">
        <f>DataTable[[#This Row],[Successful Lo. G. S]]*2+DataTable[[#This Row],[Successful Hi. G. S.]]*10</f>
        <v>0</v>
      </c>
      <c r="H3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6">
        <f>IF(DataTable[[#This Row],[E. Game Compl.]]="Nothing",0,IF(DataTable[[#This Row],[E. Game Compl.]]="Challenging the Tower",5,IF(DataTable[[#This Row],[E. Game Compl.]]="Scaling the Tower",15,)))</f>
        <v>0</v>
      </c>
      <c r="J336">
        <f>Table2[[#This Row],[AUTO Pts]]+Table2[[#This Row],[Shooting Pts.]]+Table2[[#This Row],[Def. Points]]+Table2[[#This Row],[E. Game Pts.]]</f>
        <v>0</v>
      </c>
    </row>
    <row r="337" spans="1:10" x14ac:dyDescent="0.25">
      <c r="A337">
        <f>DataTable[[#This Row],[Tm.]]</f>
        <v>0</v>
      </c>
      <c r="B337">
        <f>DataTable[[#This Row],[Match Nr.]]</f>
        <v>0</v>
      </c>
      <c r="C3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7">
        <f>DataTable[[#This Row],[Successful Lo. G. S]]*2+DataTable[[#This Row],[Successful Hi. G. S.]]*10</f>
        <v>0</v>
      </c>
      <c r="H3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7">
        <f>IF(DataTable[[#This Row],[E. Game Compl.]]="Nothing",0,IF(DataTable[[#This Row],[E. Game Compl.]]="Challenging the Tower",5,IF(DataTable[[#This Row],[E. Game Compl.]]="Scaling the Tower",15,)))</f>
        <v>0</v>
      </c>
      <c r="J337">
        <f>Table2[[#This Row],[AUTO Pts]]+Table2[[#This Row],[Shooting Pts.]]+Table2[[#This Row],[Def. Points]]+Table2[[#This Row],[E. Game Pts.]]</f>
        <v>0</v>
      </c>
    </row>
    <row r="338" spans="1:10" x14ac:dyDescent="0.25">
      <c r="A338">
        <f>DataTable[[#This Row],[Tm.]]</f>
        <v>0</v>
      </c>
      <c r="B338">
        <f>DataTable[[#This Row],[Match Nr.]]</f>
        <v>0</v>
      </c>
      <c r="C3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8">
        <f>DataTable[[#This Row],[Successful Lo. G. S]]*2+DataTable[[#This Row],[Successful Hi. G. S.]]*10</f>
        <v>0</v>
      </c>
      <c r="H3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8">
        <f>IF(DataTable[[#This Row],[E. Game Compl.]]="Nothing",0,IF(DataTable[[#This Row],[E. Game Compl.]]="Challenging the Tower",5,IF(DataTable[[#This Row],[E. Game Compl.]]="Scaling the Tower",15,)))</f>
        <v>0</v>
      </c>
      <c r="J338">
        <f>Table2[[#This Row],[AUTO Pts]]+Table2[[#This Row],[Shooting Pts.]]+Table2[[#This Row],[Def. Points]]+Table2[[#This Row],[E. Game Pts.]]</f>
        <v>0</v>
      </c>
    </row>
    <row r="339" spans="1:10" x14ac:dyDescent="0.25">
      <c r="A339">
        <f>DataTable[[#This Row],[Tm.]]</f>
        <v>0</v>
      </c>
      <c r="B339">
        <f>DataTable[[#This Row],[Match Nr.]]</f>
        <v>0</v>
      </c>
      <c r="C3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9">
        <f>DataTable[[#This Row],[Successful Lo. G. S]]*2+DataTable[[#This Row],[Successful Hi. G. S.]]*10</f>
        <v>0</v>
      </c>
      <c r="H3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9">
        <f>IF(DataTable[[#This Row],[E. Game Compl.]]="Nothing",0,IF(DataTable[[#This Row],[E. Game Compl.]]="Challenging the Tower",5,IF(DataTable[[#This Row],[E. Game Compl.]]="Scaling the Tower",15,)))</f>
        <v>0</v>
      </c>
      <c r="J339">
        <f>Table2[[#This Row],[AUTO Pts]]+Table2[[#This Row],[Shooting Pts.]]+Table2[[#This Row],[Def. Points]]+Table2[[#This Row],[E. Game Pts.]]</f>
        <v>0</v>
      </c>
    </row>
    <row r="340" spans="1:10" x14ac:dyDescent="0.25">
      <c r="A340">
        <f>DataTable[[#This Row],[Tm.]]</f>
        <v>0</v>
      </c>
      <c r="B340">
        <f>DataTable[[#This Row],[Match Nr.]]</f>
        <v>0</v>
      </c>
      <c r="C3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0">
        <f>DataTable[[#This Row],[Successful Lo. G. S]]*2+DataTable[[#This Row],[Successful Hi. G. S.]]*10</f>
        <v>0</v>
      </c>
      <c r="H3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0">
        <f>IF(DataTable[[#This Row],[E. Game Compl.]]="Nothing",0,IF(DataTable[[#This Row],[E. Game Compl.]]="Challenging the Tower",5,IF(DataTable[[#This Row],[E. Game Compl.]]="Scaling the Tower",15,)))</f>
        <v>0</v>
      </c>
      <c r="J340">
        <f>Table2[[#This Row],[AUTO Pts]]+Table2[[#This Row],[Shooting Pts.]]+Table2[[#This Row],[Def. Points]]+Table2[[#This Row],[E. Game Pts.]]</f>
        <v>0</v>
      </c>
    </row>
    <row r="341" spans="1:10" x14ac:dyDescent="0.25">
      <c r="A341">
        <f>DataTable[[#This Row],[Tm.]]</f>
        <v>0</v>
      </c>
      <c r="B341">
        <f>DataTable[[#This Row],[Match Nr.]]</f>
        <v>0</v>
      </c>
      <c r="C3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1">
        <f>DataTable[[#This Row],[Successful Lo. G. S]]*2+DataTable[[#This Row],[Successful Hi. G. S.]]*10</f>
        <v>0</v>
      </c>
      <c r="H3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1">
        <f>IF(DataTable[[#This Row],[E. Game Compl.]]="Nothing",0,IF(DataTable[[#This Row],[E. Game Compl.]]="Challenging the Tower",5,IF(DataTable[[#This Row],[E. Game Compl.]]="Scaling the Tower",15,)))</f>
        <v>0</v>
      </c>
      <c r="J341">
        <f>Table2[[#This Row],[AUTO Pts]]+Table2[[#This Row],[Shooting Pts.]]+Table2[[#This Row],[Def. Points]]+Table2[[#This Row],[E. Game Pts.]]</f>
        <v>0</v>
      </c>
    </row>
    <row r="342" spans="1:10" x14ac:dyDescent="0.25">
      <c r="A342">
        <f>DataTable[[#This Row],[Tm.]]</f>
        <v>0</v>
      </c>
      <c r="B342">
        <f>DataTable[[#This Row],[Match Nr.]]</f>
        <v>0</v>
      </c>
      <c r="C3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2">
        <f>DataTable[[#This Row],[Successful Lo. G. S]]*2+DataTable[[#This Row],[Successful Hi. G. S.]]*10</f>
        <v>0</v>
      </c>
      <c r="H3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2">
        <f>IF(DataTable[[#This Row],[E. Game Compl.]]="Nothing",0,IF(DataTable[[#This Row],[E. Game Compl.]]="Challenging the Tower",5,IF(DataTable[[#This Row],[E. Game Compl.]]="Scaling the Tower",15,)))</f>
        <v>0</v>
      </c>
      <c r="J342">
        <f>Table2[[#This Row],[AUTO Pts]]+Table2[[#This Row],[Shooting Pts.]]+Table2[[#This Row],[Def. Points]]+Table2[[#This Row],[E. Game Pts.]]</f>
        <v>0</v>
      </c>
    </row>
    <row r="343" spans="1:10" x14ac:dyDescent="0.25">
      <c r="A343">
        <f>DataTable[[#This Row],[Tm.]]</f>
        <v>0</v>
      </c>
      <c r="B343">
        <f>DataTable[[#This Row],[Match Nr.]]</f>
        <v>0</v>
      </c>
      <c r="C3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3">
        <f>DataTable[[#This Row],[Successful Lo. G. S]]*2+DataTable[[#This Row],[Successful Hi. G. S.]]*10</f>
        <v>0</v>
      </c>
      <c r="H3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3">
        <f>IF(DataTable[[#This Row],[E. Game Compl.]]="Nothing",0,IF(DataTable[[#This Row],[E. Game Compl.]]="Challenging the Tower",5,IF(DataTable[[#This Row],[E. Game Compl.]]="Scaling the Tower",15,)))</f>
        <v>0</v>
      </c>
      <c r="J343">
        <f>Table2[[#This Row],[AUTO Pts]]+Table2[[#This Row],[Shooting Pts.]]+Table2[[#This Row],[Def. Points]]+Table2[[#This Row],[E. Game Pts.]]</f>
        <v>0</v>
      </c>
    </row>
    <row r="344" spans="1:10" x14ac:dyDescent="0.25">
      <c r="A344">
        <f>DataTable[[#This Row],[Tm.]]</f>
        <v>0</v>
      </c>
      <c r="B344">
        <f>DataTable[[#This Row],[Match Nr.]]</f>
        <v>0</v>
      </c>
      <c r="C3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4">
        <f>DataTable[[#This Row],[Successful Lo. G. S]]*2+DataTable[[#This Row],[Successful Hi. G. S.]]*10</f>
        <v>0</v>
      </c>
      <c r="H3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4">
        <f>IF(DataTable[[#This Row],[E. Game Compl.]]="Nothing",0,IF(DataTable[[#This Row],[E. Game Compl.]]="Challenging the Tower",5,IF(DataTable[[#This Row],[E. Game Compl.]]="Scaling the Tower",15,)))</f>
        <v>0</v>
      </c>
      <c r="J344">
        <f>Table2[[#This Row],[AUTO Pts]]+Table2[[#This Row],[Shooting Pts.]]+Table2[[#This Row],[Def. Points]]+Table2[[#This Row],[E. Game Pts.]]</f>
        <v>0</v>
      </c>
    </row>
    <row r="345" spans="1:10" x14ac:dyDescent="0.25">
      <c r="A345">
        <f>DataTable[[#This Row],[Tm.]]</f>
        <v>0</v>
      </c>
      <c r="B345">
        <f>DataTable[[#This Row],[Match Nr.]]</f>
        <v>0</v>
      </c>
      <c r="C3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5">
        <f>DataTable[[#This Row],[Successful Lo. G. S]]*2+DataTable[[#This Row],[Successful Hi. G. S.]]*10</f>
        <v>0</v>
      </c>
      <c r="H3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5">
        <f>IF(DataTable[[#This Row],[E. Game Compl.]]="Nothing",0,IF(DataTable[[#This Row],[E. Game Compl.]]="Challenging the Tower",5,IF(DataTable[[#This Row],[E. Game Compl.]]="Scaling the Tower",15,)))</f>
        <v>0</v>
      </c>
      <c r="J345">
        <f>Table2[[#This Row],[AUTO Pts]]+Table2[[#This Row],[Shooting Pts.]]+Table2[[#This Row],[Def. Points]]+Table2[[#This Row],[E. Game Pts.]]</f>
        <v>0</v>
      </c>
    </row>
    <row r="346" spans="1:10" x14ac:dyDescent="0.25">
      <c r="A346">
        <f>DataTable[[#This Row],[Tm.]]</f>
        <v>0</v>
      </c>
      <c r="B346">
        <f>DataTable[[#This Row],[Match Nr.]]</f>
        <v>0</v>
      </c>
      <c r="C3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6">
        <f>DataTable[[#This Row],[Successful Lo. G. S]]*2+DataTable[[#This Row],[Successful Hi. G. S.]]*10</f>
        <v>0</v>
      </c>
      <c r="H3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6">
        <f>IF(DataTable[[#This Row],[E. Game Compl.]]="Nothing",0,IF(DataTable[[#This Row],[E. Game Compl.]]="Challenging the Tower",5,IF(DataTable[[#This Row],[E. Game Compl.]]="Scaling the Tower",15,)))</f>
        <v>0</v>
      </c>
      <c r="J346">
        <f>Table2[[#This Row],[AUTO Pts]]+Table2[[#This Row],[Shooting Pts.]]+Table2[[#This Row],[Def. Points]]+Table2[[#This Row],[E. Game Pts.]]</f>
        <v>0</v>
      </c>
    </row>
    <row r="347" spans="1:10" x14ac:dyDescent="0.25">
      <c r="A347">
        <f>DataTable[[#This Row],[Tm.]]</f>
        <v>0</v>
      </c>
      <c r="B347">
        <f>DataTable[[#This Row],[Match Nr.]]</f>
        <v>0</v>
      </c>
      <c r="C3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7">
        <f>DataTable[[#This Row],[Successful Lo. G. S]]*2+DataTable[[#This Row],[Successful Hi. G. S.]]*10</f>
        <v>0</v>
      </c>
      <c r="H3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7">
        <f>IF(DataTable[[#This Row],[E. Game Compl.]]="Nothing",0,IF(DataTable[[#This Row],[E. Game Compl.]]="Challenging the Tower",5,IF(DataTable[[#This Row],[E. Game Compl.]]="Scaling the Tower",15,)))</f>
        <v>0</v>
      </c>
      <c r="J347">
        <f>Table2[[#This Row],[AUTO Pts]]+Table2[[#This Row],[Shooting Pts.]]+Table2[[#This Row],[Def. Points]]+Table2[[#This Row],[E. Game Pts.]]</f>
        <v>0</v>
      </c>
    </row>
    <row r="348" spans="1:10" x14ac:dyDescent="0.25">
      <c r="A348">
        <f>DataTable[[#This Row],[Tm.]]</f>
        <v>0</v>
      </c>
      <c r="B348">
        <f>DataTable[[#This Row],[Match Nr.]]</f>
        <v>0</v>
      </c>
      <c r="C3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8">
        <f>DataTable[[#This Row],[Successful Lo. G. S]]*2+DataTable[[#This Row],[Successful Hi. G. S.]]*10</f>
        <v>0</v>
      </c>
      <c r="H3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8">
        <f>IF(DataTable[[#This Row],[E. Game Compl.]]="Nothing",0,IF(DataTable[[#This Row],[E. Game Compl.]]="Challenging the Tower",5,IF(DataTable[[#This Row],[E. Game Compl.]]="Scaling the Tower",15,)))</f>
        <v>0</v>
      </c>
      <c r="J348">
        <f>Table2[[#This Row],[AUTO Pts]]+Table2[[#This Row],[Shooting Pts.]]+Table2[[#This Row],[Def. Points]]+Table2[[#This Row],[E. Game Pts.]]</f>
        <v>0</v>
      </c>
    </row>
    <row r="349" spans="1:10" x14ac:dyDescent="0.25">
      <c r="A349">
        <f>DataTable[[#This Row],[Tm.]]</f>
        <v>0</v>
      </c>
      <c r="B349">
        <f>DataTable[[#This Row],[Match Nr.]]</f>
        <v>0</v>
      </c>
      <c r="C3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9">
        <f>DataTable[[#This Row],[Successful Lo. G. S]]*2+DataTable[[#This Row],[Successful Hi. G. S.]]*10</f>
        <v>0</v>
      </c>
      <c r="H3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9">
        <f>IF(DataTable[[#This Row],[E. Game Compl.]]="Nothing",0,IF(DataTable[[#This Row],[E. Game Compl.]]="Challenging the Tower",5,IF(DataTable[[#This Row],[E. Game Compl.]]="Scaling the Tower",15,)))</f>
        <v>0</v>
      </c>
      <c r="J349">
        <f>Table2[[#This Row],[AUTO Pts]]+Table2[[#This Row],[Shooting Pts.]]+Table2[[#This Row],[Def. Points]]+Table2[[#This Row],[E. Game Pts.]]</f>
        <v>0</v>
      </c>
    </row>
    <row r="350" spans="1:10" x14ac:dyDescent="0.25">
      <c r="A350">
        <f>DataTable[[#This Row],[Tm.]]</f>
        <v>0</v>
      </c>
      <c r="B350">
        <f>DataTable[[#This Row],[Match Nr.]]</f>
        <v>0</v>
      </c>
      <c r="C3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0">
        <f>DataTable[[#This Row],[Successful Lo. G. S]]*2+DataTable[[#This Row],[Successful Hi. G. S.]]*10</f>
        <v>0</v>
      </c>
      <c r="H3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0">
        <f>IF(DataTable[[#This Row],[E. Game Compl.]]="Nothing",0,IF(DataTable[[#This Row],[E. Game Compl.]]="Challenging the Tower",5,IF(DataTable[[#This Row],[E. Game Compl.]]="Scaling the Tower",15,)))</f>
        <v>0</v>
      </c>
      <c r="J350">
        <f>Table2[[#This Row],[AUTO Pts]]+Table2[[#This Row],[Shooting Pts.]]+Table2[[#This Row],[Def. Points]]+Table2[[#This Row],[E. Game Pts.]]</f>
        <v>0</v>
      </c>
    </row>
    <row r="351" spans="1:10" x14ac:dyDescent="0.25">
      <c r="A351">
        <f>DataTable[[#This Row],[Tm.]]</f>
        <v>0</v>
      </c>
      <c r="B351">
        <f>DataTable[[#This Row],[Match Nr.]]</f>
        <v>0</v>
      </c>
      <c r="C3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1">
        <f>DataTable[[#This Row],[Successful Lo. G. S]]*2+DataTable[[#This Row],[Successful Hi. G. S.]]*10</f>
        <v>0</v>
      </c>
      <c r="H3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1">
        <f>IF(DataTable[[#This Row],[E. Game Compl.]]="Nothing",0,IF(DataTable[[#This Row],[E. Game Compl.]]="Challenging the Tower",5,IF(DataTable[[#This Row],[E. Game Compl.]]="Scaling the Tower",15,)))</f>
        <v>0</v>
      </c>
      <c r="J351">
        <f>Table2[[#This Row],[AUTO Pts]]+Table2[[#This Row],[Shooting Pts.]]+Table2[[#This Row],[Def. Points]]+Table2[[#This Row],[E. Game Pts.]]</f>
        <v>0</v>
      </c>
    </row>
    <row r="352" spans="1:10" x14ac:dyDescent="0.25">
      <c r="A352">
        <f>DataTable[[#This Row],[Tm.]]</f>
        <v>0</v>
      </c>
      <c r="B352">
        <f>DataTable[[#This Row],[Match Nr.]]</f>
        <v>0</v>
      </c>
      <c r="C3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2">
        <f>DataTable[[#This Row],[Successful Lo. G. S]]*2+DataTable[[#This Row],[Successful Hi. G. S.]]*10</f>
        <v>0</v>
      </c>
      <c r="H3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2">
        <f>IF(DataTable[[#This Row],[E. Game Compl.]]="Nothing",0,IF(DataTable[[#This Row],[E. Game Compl.]]="Challenging the Tower",5,IF(DataTable[[#This Row],[E. Game Compl.]]="Scaling the Tower",15,)))</f>
        <v>0</v>
      </c>
      <c r="J352">
        <f>Table2[[#This Row],[AUTO Pts]]+Table2[[#This Row],[Shooting Pts.]]+Table2[[#This Row],[Def. Points]]+Table2[[#This Row],[E. Game Pts.]]</f>
        <v>0</v>
      </c>
    </row>
    <row r="353" spans="1:10" x14ac:dyDescent="0.25">
      <c r="A353">
        <f>DataTable[[#This Row],[Tm.]]</f>
        <v>0</v>
      </c>
      <c r="B353">
        <f>DataTable[[#This Row],[Match Nr.]]</f>
        <v>0</v>
      </c>
      <c r="C3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3">
        <f>DataTable[[#This Row],[Successful Lo. G. S]]*2+DataTable[[#This Row],[Successful Hi. G. S.]]*10</f>
        <v>0</v>
      </c>
      <c r="H3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3">
        <f>IF(DataTable[[#This Row],[E. Game Compl.]]="Nothing",0,IF(DataTable[[#This Row],[E. Game Compl.]]="Challenging the Tower",5,IF(DataTable[[#This Row],[E. Game Compl.]]="Scaling the Tower",15,)))</f>
        <v>0</v>
      </c>
      <c r="J353">
        <f>Table2[[#This Row],[AUTO Pts]]+Table2[[#This Row],[Shooting Pts.]]+Table2[[#This Row],[Def. Points]]+Table2[[#This Row],[E. Game Pts.]]</f>
        <v>0</v>
      </c>
    </row>
    <row r="354" spans="1:10" x14ac:dyDescent="0.25">
      <c r="A354">
        <f>DataTable[[#This Row],[Tm.]]</f>
        <v>0</v>
      </c>
      <c r="B354">
        <f>DataTable[[#This Row],[Match Nr.]]</f>
        <v>0</v>
      </c>
      <c r="C3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4">
        <f>DataTable[[#This Row],[Successful Lo. G. S]]*2+DataTable[[#This Row],[Successful Hi. G. S.]]*10</f>
        <v>0</v>
      </c>
      <c r="H3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4">
        <f>IF(DataTable[[#This Row],[E. Game Compl.]]="Nothing",0,IF(DataTable[[#This Row],[E. Game Compl.]]="Challenging the Tower",5,IF(DataTable[[#This Row],[E. Game Compl.]]="Scaling the Tower",15,)))</f>
        <v>0</v>
      </c>
      <c r="J354">
        <f>Table2[[#This Row],[AUTO Pts]]+Table2[[#This Row],[Shooting Pts.]]+Table2[[#This Row],[Def. Points]]+Table2[[#This Row],[E. Game Pts.]]</f>
        <v>0</v>
      </c>
    </row>
    <row r="355" spans="1:10" x14ac:dyDescent="0.25">
      <c r="A355">
        <f>DataTable[[#This Row],[Tm.]]</f>
        <v>0</v>
      </c>
      <c r="B355">
        <f>DataTable[[#This Row],[Match Nr.]]</f>
        <v>0</v>
      </c>
      <c r="C3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5">
        <f>DataTable[[#This Row],[Successful Lo. G. S]]*2+DataTable[[#This Row],[Successful Hi. G. S.]]*10</f>
        <v>0</v>
      </c>
      <c r="H3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5">
        <f>IF(DataTable[[#This Row],[E. Game Compl.]]="Nothing",0,IF(DataTable[[#This Row],[E. Game Compl.]]="Challenging the Tower",5,IF(DataTable[[#This Row],[E. Game Compl.]]="Scaling the Tower",15,)))</f>
        <v>0</v>
      </c>
      <c r="J355">
        <f>Table2[[#This Row],[AUTO Pts]]+Table2[[#This Row],[Shooting Pts.]]+Table2[[#This Row],[Def. Points]]+Table2[[#This Row],[E. Game Pts.]]</f>
        <v>0</v>
      </c>
    </row>
    <row r="356" spans="1:10" x14ac:dyDescent="0.25">
      <c r="A356">
        <f>DataTable[[#This Row],[Tm.]]</f>
        <v>0</v>
      </c>
      <c r="B356">
        <f>DataTable[[#This Row],[Match Nr.]]</f>
        <v>0</v>
      </c>
      <c r="C3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6">
        <f>DataTable[[#This Row],[Successful Lo. G. S]]*2+DataTable[[#This Row],[Successful Hi. G. S.]]*10</f>
        <v>0</v>
      </c>
      <c r="H3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6">
        <f>IF(DataTable[[#This Row],[E. Game Compl.]]="Nothing",0,IF(DataTable[[#This Row],[E. Game Compl.]]="Challenging the Tower",5,IF(DataTable[[#This Row],[E. Game Compl.]]="Scaling the Tower",15,)))</f>
        <v>0</v>
      </c>
      <c r="J356">
        <f>Table2[[#This Row],[AUTO Pts]]+Table2[[#This Row],[Shooting Pts.]]+Table2[[#This Row],[Def. Points]]+Table2[[#This Row],[E. Game Pts.]]</f>
        <v>0</v>
      </c>
    </row>
    <row r="357" spans="1:10" x14ac:dyDescent="0.25">
      <c r="A357">
        <f>DataTable[[#This Row],[Tm.]]</f>
        <v>0</v>
      </c>
      <c r="B357">
        <f>DataTable[[#This Row],[Match Nr.]]</f>
        <v>0</v>
      </c>
      <c r="C3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7">
        <f>DataTable[[#This Row],[Successful Lo. G. S]]*2+DataTable[[#This Row],[Successful Hi. G. S.]]*10</f>
        <v>0</v>
      </c>
      <c r="H3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7">
        <f>IF(DataTable[[#This Row],[E. Game Compl.]]="Nothing",0,IF(DataTable[[#This Row],[E. Game Compl.]]="Challenging the Tower",5,IF(DataTable[[#This Row],[E. Game Compl.]]="Scaling the Tower",15,)))</f>
        <v>0</v>
      </c>
      <c r="J357">
        <f>Table2[[#This Row],[AUTO Pts]]+Table2[[#This Row],[Shooting Pts.]]+Table2[[#This Row],[Def. Points]]+Table2[[#This Row],[E. Game Pts.]]</f>
        <v>0</v>
      </c>
    </row>
    <row r="358" spans="1:10" x14ac:dyDescent="0.25">
      <c r="A358">
        <f>DataTable[[#This Row],[Tm.]]</f>
        <v>0</v>
      </c>
      <c r="B358">
        <f>DataTable[[#This Row],[Match Nr.]]</f>
        <v>0</v>
      </c>
      <c r="C3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8">
        <f>DataTable[[#This Row],[Successful Lo. G. S]]*2+DataTable[[#This Row],[Successful Hi. G. S.]]*10</f>
        <v>0</v>
      </c>
      <c r="H3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8">
        <f>IF(DataTable[[#This Row],[E. Game Compl.]]="Nothing",0,IF(DataTable[[#This Row],[E. Game Compl.]]="Challenging the Tower",5,IF(DataTable[[#This Row],[E. Game Compl.]]="Scaling the Tower",15,)))</f>
        <v>0</v>
      </c>
      <c r="J358">
        <f>Table2[[#This Row],[AUTO Pts]]+Table2[[#This Row],[Shooting Pts.]]+Table2[[#This Row],[Def. Points]]+Table2[[#This Row],[E. Game Pts.]]</f>
        <v>0</v>
      </c>
    </row>
    <row r="359" spans="1:10" x14ac:dyDescent="0.25">
      <c r="A359">
        <f>DataTable[[#This Row],[Tm.]]</f>
        <v>0</v>
      </c>
      <c r="B359">
        <f>DataTable[[#This Row],[Match Nr.]]</f>
        <v>0</v>
      </c>
      <c r="C3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9">
        <f>DataTable[[#This Row],[Successful Lo. G. S]]*2+DataTable[[#This Row],[Successful Hi. G. S.]]*10</f>
        <v>0</v>
      </c>
      <c r="H3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9">
        <f>IF(DataTable[[#This Row],[E. Game Compl.]]="Nothing",0,IF(DataTable[[#This Row],[E. Game Compl.]]="Challenging the Tower",5,IF(DataTable[[#This Row],[E. Game Compl.]]="Scaling the Tower",15,)))</f>
        <v>0</v>
      </c>
      <c r="J359">
        <f>Table2[[#This Row],[AUTO Pts]]+Table2[[#This Row],[Shooting Pts.]]+Table2[[#This Row],[Def. Points]]+Table2[[#This Row],[E. Game Pts.]]</f>
        <v>0</v>
      </c>
    </row>
    <row r="360" spans="1:10" x14ac:dyDescent="0.25">
      <c r="A360">
        <f>DataTable[[#This Row],[Tm.]]</f>
        <v>0</v>
      </c>
      <c r="B360">
        <f>DataTable[[#This Row],[Match Nr.]]</f>
        <v>0</v>
      </c>
      <c r="C3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0">
        <f>DataTable[[#This Row],[Successful Lo. G. S]]*2+DataTable[[#This Row],[Successful Hi. G. S.]]*10</f>
        <v>0</v>
      </c>
      <c r="H3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0">
        <f>IF(DataTable[[#This Row],[E. Game Compl.]]="Nothing",0,IF(DataTable[[#This Row],[E. Game Compl.]]="Challenging the Tower",5,IF(DataTable[[#This Row],[E. Game Compl.]]="Scaling the Tower",15,)))</f>
        <v>0</v>
      </c>
      <c r="J360">
        <f>Table2[[#This Row],[AUTO Pts]]+Table2[[#This Row],[Shooting Pts.]]+Table2[[#This Row],[Def. Points]]+Table2[[#This Row],[E. Game Pts.]]</f>
        <v>0</v>
      </c>
    </row>
    <row r="361" spans="1:10" x14ac:dyDescent="0.25">
      <c r="A361">
        <f>DataTable[[#This Row],[Tm.]]</f>
        <v>0</v>
      </c>
      <c r="B361">
        <f>DataTable[[#This Row],[Match Nr.]]</f>
        <v>0</v>
      </c>
      <c r="C3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1">
        <f>DataTable[[#This Row],[Successful Lo. G. S]]*2+DataTable[[#This Row],[Successful Hi. G. S.]]*10</f>
        <v>0</v>
      </c>
      <c r="H3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1">
        <f>IF(DataTable[[#This Row],[E. Game Compl.]]="Nothing",0,IF(DataTable[[#This Row],[E. Game Compl.]]="Challenging the Tower",5,IF(DataTable[[#This Row],[E. Game Compl.]]="Scaling the Tower",15,)))</f>
        <v>0</v>
      </c>
      <c r="J361">
        <f>Table2[[#This Row],[AUTO Pts]]+Table2[[#This Row],[Shooting Pts.]]+Table2[[#This Row],[Def. Points]]+Table2[[#This Row],[E. Game Pts.]]</f>
        <v>0</v>
      </c>
    </row>
    <row r="362" spans="1:10" x14ac:dyDescent="0.25">
      <c r="A362">
        <f>DataTable[[#This Row],[Tm.]]</f>
        <v>0</v>
      </c>
      <c r="B362">
        <f>DataTable[[#This Row],[Match Nr.]]</f>
        <v>0</v>
      </c>
      <c r="C3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2">
        <f>DataTable[[#This Row],[Successful Lo. G. S]]*2+DataTable[[#This Row],[Successful Hi. G. S.]]*10</f>
        <v>0</v>
      </c>
      <c r="H3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2">
        <f>IF(DataTable[[#This Row],[E. Game Compl.]]="Nothing",0,IF(DataTable[[#This Row],[E. Game Compl.]]="Challenging the Tower",5,IF(DataTable[[#This Row],[E. Game Compl.]]="Scaling the Tower",15,)))</f>
        <v>0</v>
      </c>
      <c r="J362">
        <f>Table2[[#This Row],[AUTO Pts]]+Table2[[#This Row],[Shooting Pts.]]+Table2[[#This Row],[Def. Points]]+Table2[[#This Row],[E. Game Pts.]]</f>
        <v>0</v>
      </c>
    </row>
    <row r="363" spans="1:10" x14ac:dyDescent="0.25">
      <c r="A363">
        <f>DataTable[[#This Row],[Tm.]]</f>
        <v>0</v>
      </c>
      <c r="B363">
        <f>DataTable[[#This Row],[Match Nr.]]</f>
        <v>0</v>
      </c>
      <c r="C3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3">
        <f>DataTable[[#This Row],[Successful Lo. G. S]]*2+DataTable[[#This Row],[Successful Hi. G. S.]]*10</f>
        <v>0</v>
      </c>
      <c r="H3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3">
        <f>IF(DataTable[[#This Row],[E. Game Compl.]]="Nothing",0,IF(DataTable[[#This Row],[E. Game Compl.]]="Challenging the Tower",5,IF(DataTable[[#This Row],[E. Game Compl.]]="Scaling the Tower",15,)))</f>
        <v>0</v>
      </c>
      <c r="J363">
        <f>Table2[[#This Row],[AUTO Pts]]+Table2[[#This Row],[Shooting Pts.]]+Table2[[#This Row],[Def. Points]]+Table2[[#This Row],[E. Game Pts.]]</f>
        <v>0</v>
      </c>
    </row>
    <row r="364" spans="1:10" x14ac:dyDescent="0.25">
      <c r="A364">
        <f>DataTable[[#This Row],[Tm.]]</f>
        <v>0</v>
      </c>
      <c r="B364">
        <f>DataTable[[#This Row],[Match Nr.]]</f>
        <v>0</v>
      </c>
      <c r="C3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4">
        <f>DataTable[[#This Row],[Successful Lo. G. S]]*2+DataTable[[#This Row],[Successful Hi. G. S.]]*10</f>
        <v>0</v>
      </c>
      <c r="H3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4">
        <f>IF(DataTable[[#This Row],[E. Game Compl.]]="Nothing",0,IF(DataTable[[#This Row],[E. Game Compl.]]="Challenging the Tower",5,IF(DataTable[[#This Row],[E. Game Compl.]]="Scaling the Tower",15,)))</f>
        <v>0</v>
      </c>
      <c r="J364">
        <f>Table2[[#This Row],[AUTO Pts]]+Table2[[#This Row],[Shooting Pts.]]+Table2[[#This Row],[Def. Points]]+Table2[[#This Row],[E. Game Pts.]]</f>
        <v>0</v>
      </c>
    </row>
    <row r="365" spans="1:10" x14ac:dyDescent="0.25">
      <c r="A365">
        <f>DataTable[[#This Row],[Tm.]]</f>
        <v>0</v>
      </c>
      <c r="B365">
        <f>DataTable[[#This Row],[Match Nr.]]</f>
        <v>0</v>
      </c>
      <c r="C3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5">
        <f>DataTable[[#This Row],[Successful Lo. G. S]]*2+DataTable[[#This Row],[Successful Hi. G. S.]]*10</f>
        <v>0</v>
      </c>
      <c r="H3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5">
        <f>IF(DataTable[[#This Row],[E. Game Compl.]]="Nothing",0,IF(DataTable[[#This Row],[E. Game Compl.]]="Challenging the Tower",5,IF(DataTable[[#This Row],[E. Game Compl.]]="Scaling the Tower",15,)))</f>
        <v>0</v>
      </c>
      <c r="J365">
        <f>Table2[[#This Row],[AUTO Pts]]+Table2[[#This Row],[Shooting Pts.]]+Table2[[#This Row],[Def. Points]]+Table2[[#This Row],[E. Game Pts.]]</f>
        <v>0</v>
      </c>
    </row>
    <row r="366" spans="1:10" x14ac:dyDescent="0.25">
      <c r="A366">
        <f>DataTable[[#This Row],[Tm.]]</f>
        <v>0</v>
      </c>
      <c r="B366">
        <f>DataTable[[#This Row],[Match Nr.]]</f>
        <v>0</v>
      </c>
      <c r="C3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6">
        <f>DataTable[[#This Row],[Successful Lo. G. S]]*2+DataTable[[#This Row],[Successful Hi. G. S.]]*10</f>
        <v>0</v>
      </c>
      <c r="H3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6">
        <f>IF(DataTable[[#This Row],[E. Game Compl.]]="Nothing",0,IF(DataTable[[#This Row],[E. Game Compl.]]="Challenging the Tower",5,IF(DataTable[[#This Row],[E. Game Compl.]]="Scaling the Tower",15,)))</f>
        <v>0</v>
      </c>
      <c r="J366">
        <f>Table2[[#This Row],[AUTO Pts]]+Table2[[#This Row],[Shooting Pts.]]+Table2[[#This Row],[Def. Points]]+Table2[[#This Row],[E. Game Pts.]]</f>
        <v>0</v>
      </c>
    </row>
    <row r="367" spans="1:10" x14ac:dyDescent="0.25">
      <c r="A367">
        <f>DataTable[[#This Row],[Tm.]]</f>
        <v>0</v>
      </c>
      <c r="B367">
        <f>DataTable[[#This Row],[Match Nr.]]</f>
        <v>0</v>
      </c>
      <c r="C3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7">
        <f>DataTable[[#This Row],[Successful Lo. G. S]]*2+DataTable[[#This Row],[Successful Hi. G. S.]]*10</f>
        <v>0</v>
      </c>
      <c r="H3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7">
        <f>IF(DataTable[[#This Row],[E. Game Compl.]]="Nothing",0,IF(DataTable[[#This Row],[E. Game Compl.]]="Challenging the Tower",5,IF(DataTable[[#This Row],[E. Game Compl.]]="Scaling the Tower",15,)))</f>
        <v>0</v>
      </c>
      <c r="J367">
        <f>Table2[[#This Row],[AUTO Pts]]+Table2[[#This Row],[Shooting Pts.]]+Table2[[#This Row],[Def. Points]]+Table2[[#This Row],[E. Game Pts.]]</f>
        <v>0</v>
      </c>
    </row>
    <row r="368" spans="1:10" x14ac:dyDescent="0.25">
      <c r="A368">
        <f>DataTable[[#This Row],[Tm.]]</f>
        <v>0</v>
      </c>
      <c r="B368">
        <f>DataTable[[#This Row],[Match Nr.]]</f>
        <v>0</v>
      </c>
      <c r="C3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8">
        <f>DataTable[[#This Row],[Successful Lo. G. S]]*2+DataTable[[#This Row],[Successful Hi. G. S.]]*10</f>
        <v>0</v>
      </c>
      <c r="H3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8">
        <f>IF(DataTable[[#This Row],[E. Game Compl.]]="Nothing",0,IF(DataTable[[#This Row],[E. Game Compl.]]="Challenging the Tower",5,IF(DataTable[[#This Row],[E. Game Compl.]]="Scaling the Tower",15,)))</f>
        <v>0</v>
      </c>
      <c r="J368">
        <f>Table2[[#This Row],[AUTO Pts]]+Table2[[#This Row],[Shooting Pts.]]+Table2[[#This Row],[Def. Points]]+Table2[[#This Row],[E. Game Pts.]]</f>
        <v>0</v>
      </c>
    </row>
    <row r="369" spans="1:10" x14ac:dyDescent="0.25">
      <c r="A369">
        <f>DataTable[[#This Row],[Tm.]]</f>
        <v>0</v>
      </c>
      <c r="B369">
        <f>DataTable[[#This Row],[Match Nr.]]</f>
        <v>0</v>
      </c>
      <c r="C3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9">
        <f>DataTable[[#This Row],[Successful Lo. G. S]]*2+DataTable[[#This Row],[Successful Hi. G. S.]]*10</f>
        <v>0</v>
      </c>
      <c r="H3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9">
        <f>IF(DataTable[[#This Row],[E. Game Compl.]]="Nothing",0,IF(DataTable[[#This Row],[E. Game Compl.]]="Challenging the Tower",5,IF(DataTable[[#This Row],[E. Game Compl.]]="Scaling the Tower",15,)))</f>
        <v>0</v>
      </c>
      <c r="J369">
        <f>Table2[[#This Row],[AUTO Pts]]+Table2[[#This Row],[Shooting Pts.]]+Table2[[#This Row],[Def. Points]]+Table2[[#This Row],[E. Game Pts.]]</f>
        <v>0</v>
      </c>
    </row>
    <row r="370" spans="1:10" x14ac:dyDescent="0.25">
      <c r="A370">
        <f>DataTable[[#This Row],[Tm.]]</f>
        <v>0</v>
      </c>
      <c r="B370">
        <f>DataTable[[#This Row],[Match Nr.]]</f>
        <v>0</v>
      </c>
      <c r="C3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0">
        <f>DataTable[[#This Row],[Successful Lo. G. S]]*2+DataTable[[#This Row],[Successful Hi. G. S.]]*10</f>
        <v>0</v>
      </c>
      <c r="H3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0">
        <f>IF(DataTable[[#This Row],[E. Game Compl.]]="Nothing",0,IF(DataTable[[#This Row],[E. Game Compl.]]="Challenging the Tower",5,IF(DataTable[[#This Row],[E. Game Compl.]]="Scaling the Tower",15,)))</f>
        <v>0</v>
      </c>
      <c r="J370">
        <f>Table2[[#This Row],[AUTO Pts]]+Table2[[#This Row],[Shooting Pts.]]+Table2[[#This Row],[Def. Points]]+Table2[[#This Row],[E. Game Pts.]]</f>
        <v>0</v>
      </c>
    </row>
    <row r="371" spans="1:10" x14ac:dyDescent="0.25">
      <c r="A371">
        <f>DataTable[[#This Row],[Tm.]]</f>
        <v>0</v>
      </c>
      <c r="B371">
        <f>DataTable[[#This Row],[Match Nr.]]</f>
        <v>0</v>
      </c>
      <c r="C3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1">
        <f>DataTable[[#This Row],[Successful Lo. G. S]]*2+DataTable[[#This Row],[Successful Hi. G. S.]]*10</f>
        <v>0</v>
      </c>
      <c r="H3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1">
        <f>IF(DataTable[[#This Row],[E. Game Compl.]]="Nothing",0,IF(DataTable[[#This Row],[E. Game Compl.]]="Challenging the Tower",5,IF(DataTable[[#This Row],[E. Game Compl.]]="Scaling the Tower",15,)))</f>
        <v>0</v>
      </c>
      <c r="J371">
        <f>Table2[[#This Row],[AUTO Pts]]+Table2[[#This Row],[Shooting Pts.]]+Table2[[#This Row],[Def. Points]]+Table2[[#This Row],[E. Game Pts.]]</f>
        <v>0</v>
      </c>
    </row>
    <row r="372" spans="1:10" x14ac:dyDescent="0.25">
      <c r="A372">
        <f>DataTable[[#This Row],[Tm.]]</f>
        <v>0</v>
      </c>
      <c r="B372">
        <f>DataTable[[#This Row],[Match Nr.]]</f>
        <v>0</v>
      </c>
      <c r="C3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2">
        <f>DataTable[[#This Row],[Successful Lo. G. S]]*2+DataTable[[#This Row],[Successful Hi. G. S.]]*10</f>
        <v>0</v>
      </c>
      <c r="H3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2">
        <f>IF(DataTable[[#This Row],[E. Game Compl.]]="Nothing",0,IF(DataTable[[#This Row],[E. Game Compl.]]="Challenging the Tower",5,IF(DataTable[[#This Row],[E. Game Compl.]]="Scaling the Tower",15,)))</f>
        <v>0</v>
      </c>
      <c r="J372">
        <f>Table2[[#This Row],[AUTO Pts]]+Table2[[#This Row],[Shooting Pts.]]+Table2[[#This Row],[Def. Points]]+Table2[[#This Row],[E. Game Pts.]]</f>
        <v>0</v>
      </c>
    </row>
    <row r="373" spans="1:10" x14ac:dyDescent="0.25">
      <c r="A373">
        <f>DataTable[[#This Row],[Tm.]]</f>
        <v>0</v>
      </c>
      <c r="B373">
        <f>DataTable[[#This Row],[Match Nr.]]</f>
        <v>0</v>
      </c>
      <c r="C3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3">
        <f>DataTable[[#This Row],[Successful Lo. G. S]]*2+DataTable[[#This Row],[Successful Hi. G. S.]]*10</f>
        <v>0</v>
      </c>
      <c r="H3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3">
        <f>IF(DataTable[[#This Row],[E. Game Compl.]]="Nothing",0,IF(DataTable[[#This Row],[E. Game Compl.]]="Challenging the Tower",5,IF(DataTable[[#This Row],[E. Game Compl.]]="Scaling the Tower",15,)))</f>
        <v>0</v>
      </c>
      <c r="J373">
        <f>Table2[[#This Row],[AUTO Pts]]+Table2[[#This Row],[Shooting Pts.]]+Table2[[#This Row],[Def. Points]]+Table2[[#This Row],[E. Game Pts.]]</f>
        <v>0</v>
      </c>
    </row>
    <row r="374" spans="1:10" x14ac:dyDescent="0.25">
      <c r="A374">
        <f>DataTable[[#This Row],[Tm.]]</f>
        <v>0</v>
      </c>
      <c r="B374">
        <f>DataTable[[#This Row],[Match Nr.]]</f>
        <v>0</v>
      </c>
      <c r="C3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4">
        <f>DataTable[[#This Row],[Successful Lo. G. S]]*2+DataTable[[#This Row],[Successful Hi. G. S.]]*10</f>
        <v>0</v>
      </c>
      <c r="H3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4">
        <f>IF(DataTable[[#This Row],[E. Game Compl.]]="Nothing",0,IF(DataTable[[#This Row],[E. Game Compl.]]="Challenging the Tower",5,IF(DataTable[[#This Row],[E. Game Compl.]]="Scaling the Tower",15,)))</f>
        <v>0</v>
      </c>
      <c r="J374">
        <f>Table2[[#This Row],[AUTO Pts]]+Table2[[#This Row],[Shooting Pts.]]+Table2[[#This Row],[Def. Points]]+Table2[[#This Row],[E. Game Pts.]]</f>
        <v>0</v>
      </c>
    </row>
    <row r="375" spans="1:10" x14ac:dyDescent="0.25">
      <c r="A375">
        <f>DataTable[[#This Row],[Tm.]]</f>
        <v>0</v>
      </c>
      <c r="B375">
        <f>DataTable[[#This Row],[Match Nr.]]</f>
        <v>0</v>
      </c>
      <c r="C3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5">
        <f>DataTable[[#This Row],[Successful Lo. G. S]]*2+DataTable[[#This Row],[Successful Hi. G. S.]]*10</f>
        <v>0</v>
      </c>
      <c r="H3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5">
        <f>IF(DataTable[[#This Row],[E. Game Compl.]]="Nothing",0,IF(DataTable[[#This Row],[E. Game Compl.]]="Challenging the Tower",5,IF(DataTable[[#This Row],[E. Game Compl.]]="Scaling the Tower",15,)))</f>
        <v>0</v>
      </c>
      <c r="J375">
        <f>Table2[[#This Row],[AUTO Pts]]+Table2[[#This Row],[Shooting Pts.]]+Table2[[#This Row],[Def. Points]]+Table2[[#This Row],[E. Game Pts.]]</f>
        <v>0</v>
      </c>
    </row>
    <row r="376" spans="1:10" x14ac:dyDescent="0.25">
      <c r="A376">
        <f>DataTable[[#This Row],[Tm.]]</f>
        <v>0</v>
      </c>
      <c r="B376">
        <f>DataTable[[#This Row],[Match Nr.]]</f>
        <v>0</v>
      </c>
      <c r="C3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6">
        <f>DataTable[[#This Row],[Successful Lo. G. S]]*2+DataTable[[#This Row],[Successful Hi. G. S.]]*10</f>
        <v>0</v>
      </c>
      <c r="H3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6">
        <f>IF(DataTable[[#This Row],[E. Game Compl.]]="Nothing",0,IF(DataTable[[#This Row],[E. Game Compl.]]="Challenging the Tower",5,IF(DataTable[[#This Row],[E. Game Compl.]]="Scaling the Tower",15,)))</f>
        <v>0</v>
      </c>
      <c r="J376">
        <f>Table2[[#This Row],[AUTO Pts]]+Table2[[#This Row],[Shooting Pts.]]+Table2[[#This Row],[Def. Points]]+Table2[[#This Row],[E. Game Pts.]]</f>
        <v>0</v>
      </c>
    </row>
    <row r="377" spans="1:10" x14ac:dyDescent="0.25">
      <c r="A377">
        <f>DataTable[[#This Row],[Tm.]]</f>
        <v>0</v>
      </c>
      <c r="B377">
        <f>DataTable[[#This Row],[Match Nr.]]</f>
        <v>0</v>
      </c>
      <c r="C3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7">
        <f>DataTable[[#This Row],[Successful Lo. G. S]]*2+DataTable[[#This Row],[Successful Hi. G. S.]]*10</f>
        <v>0</v>
      </c>
      <c r="H3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7">
        <f>IF(DataTable[[#This Row],[E. Game Compl.]]="Nothing",0,IF(DataTable[[#This Row],[E. Game Compl.]]="Challenging the Tower",5,IF(DataTable[[#This Row],[E. Game Compl.]]="Scaling the Tower",15,)))</f>
        <v>0</v>
      </c>
      <c r="J377">
        <f>Table2[[#This Row],[AUTO Pts]]+Table2[[#This Row],[Shooting Pts.]]+Table2[[#This Row],[Def. Points]]+Table2[[#This Row],[E. Game Pts.]]</f>
        <v>0</v>
      </c>
    </row>
    <row r="378" spans="1:10" x14ac:dyDescent="0.25">
      <c r="A378">
        <f>DataTable[[#This Row],[Tm.]]</f>
        <v>0</v>
      </c>
      <c r="B378">
        <f>DataTable[[#This Row],[Match Nr.]]</f>
        <v>0</v>
      </c>
      <c r="C3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8">
        <f>DataTable[[#This Row],[Successful Lo. G. S]]*2+DataTable[[#This Row],[Successful Hi. G. S.]]*10</f>
        <v>0</v>
      </c>
      <c r="H3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8">
        <f>IF(DataTable[[#This Row],[E. Game Compl.]]="Nothing",0,IF(DataTable[[#This Row],[E. Game Compl.]]="Challenging the Tower",5,IF(DataTable[[#This Row],[E. Game Compl.]]="Scaling the Tower",15,)))</f>
        <v>0</v>
      </c>
      <c r="J378">
        <f>Table2[[#This Row],[AUTO Pts]]+Table2[[#This Row],[Shooting Pts.]]+Table2[[#This Row],[Def. Points]]+Table2[[#This Row],[E. Game Pts.]]</f>
        <v>0</v>
      </c>
    </row>
    <row r="379" spans="1:10" x14ac:dyDescent="0.25">
      <c r="A379">
        <f>DataTable[[#This Row],[Tm.]]</f>
        <v>0</v>
      </c>
      <c r="B379">
        <f>DataTable[[#This Row],[Match Nr.]]</f>
        <v>0</v>
      </c>
      <c r="C3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9">
        <f>DataTable[[#This Row],[Successful Lo. G. S]]*2+DataTable[[#This Row],[Successful Hi. G. S.]]*10</f>
        <v>0</v>
      </c>
      <c r="H3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9">
        <f>IF(DataTable[[#This Row],[E. Game Compl.]]="Nothing",0,IF(DataTable[[#This Row],[E. Game Compl.]]="Challenging the Tower",5,IF(DataTable[[#This Row],[E. Game Compl.]]="Scaling the Tower",15,)))</f>
        <v>0</v>
      </c>
      <c r="J379">
        <f>Table2[[#This Row],[AUTO Pts]]+Table2[[#This Row],[Shooting Pts.]]+Table2[[#This Row],[Def. Points]]+Table2[[#This Row],[E. Game Pts.]]</f>
        <v>0</v>
      </c>
    </row>
    <row r="380" spans="1:10" x14ac:dyDescent="0.25">
      <c r="A380">
        <f>DataTable[[#This Row],[Tm.]]</f>
        <v>0</v>
      </c>
      <c r="B380">
        <f>DataTable[[#This Row],[Match Nr.]]</f>
        <v>0</v>
      </c>
      <c r="C3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0">
        <f>DataTable[[#This Row],[Successful Lo. G. S]]*2+DataTable[[#This Row],[Successful Hi. G. S.]]*10</f>
        <v>0</v>
      </c>
      <c r="H3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0">
        <f>IF(DataTable[[#This Row],[E. Game Compl.]]="Nothing",0,IF(DataTable[[#This Row],[E. Game Compl.]]="Challenging the Tower",5,IF(DataTable[[#This Row],[E. Game Compl.]]="Scaling the Tower",15,)))</f>
        <v>0</v>
      </c>
      <c r="J380">
        <f>Table2[[#This Row],[AUTO Pts]]+Table2[[#This Row],[Shooting Pts.]]+Table2[[#This Row],[Def. Points]]+Table2[[#This Row],[E. Game Pts.]]</f>
        <v>0</v>
      </c>
    </row>
    <row r="381" spans="1:10" x14ac:dyDescent="0.25">
      <c r="A381">
        <f>DataTable[[#This Row],[Tm.]]</f>
        <v>0</v>
      </c>
      <c r="B381">
        <f>DataTable[[#This Row],[Match Nr.]]</f>
        <v>0</v>
      </c>
      <c r="C3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1">
        <f>DataTable[[#This Row],[Successful Lo. G. S]]*2+DataTable[[#This Row],[Successful Hi. G. S.]]*10</f>
        <v>0</v>
      </c>
      <c r="H3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1">
        <f>IF(DataTable[[#This Row],[E. Game Compl.]]="Nothing",0,IF(DataTable[[#This Row],[E. Game Compl.]]="Challenging the Tower",5,IF(DataTable[[#This Row],[E. Game Compl.]]="Scaling the Tower",15,)))</f>
        <v>0</v>
      </c>
      <c r="J381">
        <f>Table2[[#This Row],[AUTO Pts]]+Table2[[#This Row],[Shooting Pts.]]+Table2[[#This Row],[Def. Points]]+Table2[[#This Row],[E. Game Pts.]]</f>
        <v>0</v>
      </c>
    </row>
    <row r="382" spans="1:10" x14ac:dyDescent="0.25">
      <c r="A382">
        <f>DataTable[[#This Row],[Tm.]]</f>
        <v>0</v>
      </c>
      <c r="B382">
        <f>DataTable[[#This Row],[Match Nr.]]</f>
        <v>0</v>
      </c>
      <c r="C3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2">
        <f>DataTable[[#This Row],[Successful Lo. G. S]]*2+DataTable[[#This Row],[Successful Hi. G. S.]]*10</f>
        <v>0</v>
      </c>
      <c r="H3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2">
        <f>IF(DataTable[[#This Row],[E. Game Compl.]]="Nothing",0,IF(DataTable[[#This Row],[E. Game Compl.]]="Challenging the Tower",5,IF(DataTable[[#This Row],[E. Game Compl.]]="Scaling the Tower",15,)))</f>
        <v>0</v>
      </c>
      <c r="J382">
        <f>Table2[[#This Row],[AUTO Pts]]+Table2[[#This Row],[Shooting Pts.]]+Table2[[#This Row],[Def. Points]]+Table2[[#This Row],[E. Game Pts.]]</f>
        <v>0</v>
      </c>
    </row>
    <row r="383" spans="1:10" x14ac:dyDescent="0.25">
      <c r="A383">
        <f>DataTable[[#This Row],[Tm.]]</f>
        <v>0</v>
      </c>
      <c r="B383">
        <f>DataTable[[#This Row],[Match Nr.]]</f>
        <v>0</v>
      </c>
      <c r="C3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3">
        <f>DataTable[[#This Row],[Successful Lo. G. S]]*2+DataTable[[#This Row],[Successful Hi. G. S.]]*10</f>
        <v>0</v>
      </c>
      <c r="H3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3">
        <f>IF(DataTable[[#This Row],[E. Game Compl.]]="Nothing",0,IF(DataTable[[#This Row],[E. Game Compl.]]="Challenging the Tower",5,IF(DataTable[[#This Row],[E. Game Compl.]]="Scaling the Tower",15,)))</f>
        <v>0</v>
      </c>
      <c r="J383">
        <f>Table2[[#This Row],[AUTO Pts]]+Table2[[#This Row],[Shooting Pts.]]+Table2[[#This Row],[Def. Points]]+Table2[[#This Row],[E. Game Pts.]]</f>
        <v>0</v>
      </c>
    </row>
    <row r="384" spans="1:10" x14ac:dyDescent="0.25">
      <c r="A384">
        <f>DataTable[[#This Row],[Tm.]]</f>
        <v>0</v>
      </c>
      <c r="B384">
        <f>DataTable[[#This Row],[Match Nr.]]</f>
        <v>0</v>
      </c>
      <c r="C3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4">
        <f>DataTable[[#This Row],[Successful Lo. G. S]]*2+DataTable[[#This Row],[Successful Hi. G. S.]]*10</f>
        <v>0</v>
      </c>
      <c r="H3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4">
        <f>IF(DataTable[[#This Row],[E. Game Compl.]]="Nothing",0,IF(DataTable[[#This Row],[E. Game Compl.]]="Challenging the Tower",5,IF(DataTable[[#This Row],[E. Game Compl.]]="Scaling the Tower",15,)))</f>
        <v>0</v>
      </c>
      <c r="J384">
        <f>Table2[[#This Row],[AUTO Pts]]+Table2[[#This Row],[Shooting Pts.]]+Table2[[#This Row],[Def. Points]]+Table2[[#This Row],[E. Game Pts.]]</f>
        <v>0</v>
      </c>
    </row>
    <row r="385" spans="1:10" x14ac:dyDescent="0.25">
      <c r="A385">
        <f>DataTable[[#This Row],[Tm.]]</f>
        <v>0</v>
      </c>
      <c r="B385">
        <f>DataTable[[#This Row],[Match Nr.]]</f>
        <v>0</v>
      </c>
      <c r="C3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5">
        <f>DataTable[[#This Row],[Successful Lo. G. S]]*2+DataTable[[#This Row],[Successful Hi. G. S.]]*10</f>
        <v>0</v>
      </c>
      <c r="H3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5">
        <f>IF(DataTable[[#This Row],[E. Game Compl.]]="Nothing",0,IF(DataTable[[#This Row],[E. Game Compl.]]="Challenging the Tower",5,IF(DataTable[[#This Row],[E. Game Compl.]]="Scaling the Tower",15,)))</f>
        <v>0</v>
      </c>
      <c r="J385">
        <f>Table2[[#This Row],[AUTO Pts]]+Table2[[#This Row],[Shooting Pts.]]+Table2[[#This Row],[Def. Points]]+Table2[[#This Row],[E. Game Pts.]]</f>
        <v>0</v>
      </c>
    </row>
    <row r="386" spans="1:10" x14ac:dyDescent="0.25">
      <c r="A386">
        <f>DataTable[[#This Row],[Tm.]]</f>
        <v>0</v>
      </c>
      <c r="B386">
        <f>DataTable[[#This Row],[Match Nr.]]</f>
        <v>0</v>
      </c>
      <c r="C3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6">
        <f>DataTable[[#This Row],[Successful Lo. G. S]]*2+DataTable[[#This Row],[Successful Hi. G. S.]]*10</f>
        <v>0</v>
      </c>
      <c r="H3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6">
        <f>IF(DataTable[[#This Row],[E. Game Compl.]]="Nothing",0,IF(DataTable[[#This Row],[E. Game Compl.]]="Challenging the Tower",5,IF(DataTable[[#This Row],[E. Game Compl.]]="Scaling the Tower",15,)))</f>
        <v>0</v>
      </c>
      <c r="J386">
        <f>Table2[[#This Row],[AUTO Pts]]+Table2[[#This Row],[Shooting Pts.]]+Table2[[#This Row],[Def. Points]]+Table2[[#This Row],[E. Game Pts.]]</f>
        <v>0</v>
      </c>
    </row>
    <row r="387" spans="1:10" x14ac:dyDescent="0.25">
      <c r="A387">
        <f>DataTable[[#This Row],[Tm.]]</f>
        <v>0</v>
      </c>
      <c r="B387">
        <f>DataTable[[#This Row],[Match Nr.]]</f>
        <v>0</v>
      </c>
      <c r="C3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7">
        <f>DataTable[[#This Row],[Successful Lo. G. S]]*2+DataTable[[#This Row],[Successful Hi. G. S.]]*10</f>
        <v>0</v>
      </c>
      <c r="H3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7">
        <f>IF(DataTable[[#This Row],[E. Game Compl.]]="Nothing",0,IF(DataTable[[#This Row],[E. Game Compl.]]="Challenging the Tower",5,IF(DataTable[[#This Row],[E. Game Compl.]]="Scaling the Tower",15,)))</f>
        <v>0</v>
      </c>
      <c r="J387">
        <f>Table2[[#This Row],[AUTO Pts]]+Table2[[#This Row],[Shooting Pts.]]+Table2[[#This Row],[Def. Points]]+Table2[[#This Row],[E. Game Pts.]]</f>
        <v>0</v>
      </c>
    </row>
    <row r="388" spans="1:10" x14ac:dyDescent="0.25">
      <c r="A388">
        <f>DataTable[[#This Row],[Tm.]]</f>
        <v>0</v>
      </c>
      <c r="B388">
        <f>DataTable[[#This Row],[Match Nr.]]</f>
        <v>0</v>
      </c>
      <c r="C3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8">
        <f>DataTable[[#This Row],[Successful Lo. G. S]]*2+DataTable[[#This Row],[Successful Hi. G. S.]]*10</f>
        <v>0</v>
      </c>
      <c r="H3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8">
        <f>IF(DataTable[[#This Row],[E. Game Compl.]]="Nothing",0,IF(DataTable[[#This Row],[E. Game Compl.]]="Challenging the Tower",5,IF(DataTable[[#This Row],[E. Game Compl.]]="Scaling the Tower",15,)))</f>
        <v>0</v>
      </c>
      <c r="J388">
        <f>Table2[[#This Row],[AUTO Pts]]+Table2[[#This Row],[Shooting Pts.]]+Table2[[#This Row],[Def. Points]]+Table2[[#This Row],[E. Game Pts.]]</f>
        <v>0</v>
      </c>
    </row>
    <row r="389" spans="1:10" x14ac:dyDescent="0.25">
      <c r="A389">
        <f>DataTable[[#This Row],[Tm.]]</f>
        <v>0</v>
      </c>
      <c r="B389">
        <f>DataTable[[#This Row],[Match Nr.]]</f>
        <v>0</v>
      </c>
      <c r="C3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9">
        <f>DataTable[[#This Row],[Successful Lo. G. S]]*2+DataTable[[#This Row],[Successful Hi. G. S.]]*10</f>
        <v>0</v>
      </c>
      <c r="H3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9">
        <f>IF(DataTable[[#This Row],[E. Game Compl.]]="Nothing",0,IF(DataTable[[#This Row],[E. Game Compl.]]="Challenging the Tower",5,IF(DataTable[[#This Row],[E. Game Compl.]]="Scaling the Tower",15,)))</f>
        <v>0</v>
      </c>
      <c r="J389">
        <f>Table2[[#This Row],[AUTO Pts]]+Table2[[#This Row],[Shooting Pts.]]+Table2[[#This Row],[Def. Points]]+Table2[[#This Row],[E. Game Pts.]]</f>
        <v>0</v>
      </c>
    </row>
    <row r="390" spans="1:10" x14ac:dyDescent="0.25">
      <c r="A390">
        <f>DataTable[[#This Row],[Tm.]]</f>
        <v>0</v>
      </c>
      <c r="B390">
        <f>DataTable[[#This Row],[Match Nr.]]</f>
        <v>0</v>
      </c>
      <c r="C3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0">
        <f>DataTable[[#This Row],[Successful Lo. G. S]]*2+DataTable[[#This Row],[Successful Hi. G. S.]]*10</f>
        <v>0</v>
      </c>
      <c r="H3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0">
        <f>IF(DataTable[[#This Row],[E. Game Compl.]]="Nothing",0,IF(DataTable[[#This Row],[E. Game Compl.]]="Challenging the Tower",5,IF(DataTable[[#This Row],[E. Game Compl.]]="Scaling the Tower",15,)))</f>
        <v>0</v>
      </c>
      <c r="J390">
        <f>Table2[[#This Row],[AUTO Pts]]+Table2[[#This Row],[Shooting Pts.]]+Table2[[#This Row],[Def. Points]]+Table2[[#This Row],[E. Game Pts.]]</f>
        <v>0</v>
      </c>
    </row>
    <row r="391" spans="1:10" x14ac:dyDescent="0.25">
      <c r="A391">
        <f>DataTable[[#This Row],[Tm.]]</f>
        <v>0</v>
      </c>
      <c r="B391">
        <f>DataTable[[#This Row],[Match Nr.]]</f>
        <v>0</v>
      </c>
      <c r="C3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1">
        <f>DataTable[[#This Row],[Successful Lo. G. S]]*2+DataTable[[#This Row],[Successful Hi. G. S.]]*10</f>
        <v>0</v>
      </c>
      <c r="H3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1">
        <f>IF(DataTable[[#This Row],[E. Game Compl.]]="Nothing",0,IF(DataTable[[#This Row],[E. Game Compl.]]="Challenging the Tower",5,IF(DataTable[[#This Row],[E. Game Compl.]]="Scaling the Tower",15,)))</f>
        <v>0</v>
      </c>
      <c r="J391">
        <f>Table2[[#This Row],[AUTO Pts]]+Table2[[#This Row],[Shooting Pts.]]+Table2[[#This Row],[Def. Points]]+Table2[[#This Row],[E. Game Pts.]]</f>
        <v>0</v>
      </c>
    </row>
    <row r="392" spans="1:10" x14ac:dyDescent="0.25">
      <c r="A392">
        <f>DataTable[[#This Row],[Tm.]]</f>
        <v>0</v>
      </c>
      <c r="B392">
        <f>DataTable[[#This Row],[Match Nr.]]</f>
        <v>0</v>
      </c>
      <c r="C3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2">
        <f>DataTable[[#This Row],[Successful Lo. G. S]]*2+DataTable[[#This Row],[Successful Hi. G. S.]]*10</f>
        <v>0</v>
      </c>
      <c r="H3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2">
        <f>IF(DataTable[[#This Row],[E. Game Compl.]]="Nothing",0,IF(DataTable[[#This Row],[E. Game Compl.]]="Challenging the Tower",5,IF(DataTable[[#This Row],[E. Game Compl.]]="Scaling the Tower",15,)))</f>
        <v>0</v>
      </c>
      <c r="J392">
        <f>Table2[[#This Row],[AUTO Pts]]+Table2[[#This Row],[Shooting Pts.]]+Table2[[#This Row],[Def. Points]]+Table2[[#This Row],[E. Game Pts.]]</f>
        <v>0</v>
      </c>
    </row>
    <row r="393" spans="1:10" x14ac:dyDescent="0.25">
      <c r="A393">
        <f>DataTable[[#This Row],[Tm.]]</f>
        <v>0</v>
      </c>
      <c r="B393">
        <f>DataTable[[#This Row],[Match Nr.]]</f>
        <v>0</v>
      </c>
      <c r="C3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3">
        <f>DataTable[[#This Row],[Successful Lo. G. S]]*2+DataTable[[#This Row],[Successful Hi. G. S.]]*10</f>
        <v>0</v>
      </c>
      <c r="H3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3">
        <f>IF(DataTable[[#This Row],[E. Game Compl.]]="Nothing",0,IF(DataTable[[#This Row],[E. Game Compl.]]="Challenging the Tower",5,IF(DataTable[[#This Row],[E. Game Compl.]]="Scaling the Tower",15,)))</f>
        <v>0</v>
      </c>
      <c r="J393">
        <f>Table2[[#This Row],[AUTO Pts]]+Table2[[#This Row],[Shooting Pts.]]+Table2[[#This Row],[Def. Points]]+Table2[[#This Row],[E. Game Pts.]]</f>
        <v>0</v>
      </c>
    </row>
    <row r="394" spans="1:10" x14ac:dyDescent="0.25">
      <c r="A394">
        <f>DataTable[[#This Row],[Tm.]]</f>
        <v>0</v>
      </c>
      <c r="B394">
        <f>DataTable[[#This Row],[Match Nr.]]</f>
        <v>0</v>
      </c>
      <c r="C3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4">
        <f>DataTable[[#This Row],[Successful Lo. G. S]]*2+DataTable[[#This Row],[Successful Hi. G. S.]]*10</f>
        <v>0</v>
      </c>
      <c r="H3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4">
        <f>IF(DataTable[[#This Row],[E. Game Compl.]]="Nothing",0,IF(DataTable[[#This Row],[E. Game Compl.]]="Challenging the Tower",5,IF(DataTable[[#This Row],[E. Game Compl.]]="Scaling the Tower",15,)))</f>
        <v>0</v>
      </c>
      <c r="J394">
        <f>Table2[[#This Row],[AUTO Pts]]+Table2[[#This Row],[Shooting Pts.]]+Table2[[#This Row],[Def. Points]]+Table2[[#This Row],[E. Game Pts.]]</f>
        <v>0</v>
      </c>
    </row>
    <row r="395" spans="1:10" x14ac:dyDescent="0.25">
      <c r="A395">
        <f>DataTable[[#This Row],[Tm.]]</f>
        <v>0</v>
      </c>
      <c r="B395">
        <f>DataTable[[#This Row],[Match Nr.]]</f>
        <v>0</v>
      </c>
      <c r="C3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5">
        <f>DataTable[[#This Row],[Successful Lo. G. S]]*2+DataTable[[#This Row],[Successful Hi. G. S.]]*10</f>
        <v>0</v>
      </c>
      <c r="H3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5">
        <f>IF(DataTable[[#This Row],[E. Game Compl.]]="Nothing",0,IF(DataTable[[#This Row],[E. Game Compl.]]="Challenging the Tower",5,IF(DataTable[[#This Row],[E. Game Compl.]]="Scaling the Tower",15,)))</f>
        <v>0</v>
      </c>
      <c r="J395">
        <f>Table2[[#This Row],[AUTO Pts]]+Table2[[#This Row],[Shooting Pts.]]+Table2[[#This Row],[Def. Points]]+Table2[[#This Row],[E. Game Pts.]]</f>
        <v>0</v>
      </c>
    </row>
    <row r="396" spans="1:10" x14ac:dyDescent="0.25">
      <c r="A396">
        <f>DataTable[[#This Row],[Tm.]]</f>
        <v>0</v>
      </c>
      <c r="B396">
        <f>DataTable[[#This Row],[Match Nr.]]</f>
        <v>0</v>
      </c>
      <c r="C3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6">
        <f>DataTable[[#This Row],[Successful Lo. G. S]]*2+DataTable[[#This Row],[Successful Hi. G. S.]]*10</f>
        <v>0</v>
      </c>
      <c r="H3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6">
        <f>IF(DataTable[[#This Row],[E. Game Compl.]]="Nothing",0,IF(DataTable[[#This Row],[E. Game Compl.]]="Challenging the Tower",5,IF(DataTable[[#This Row],[E. Game Compl.]]="Scaling the Tower",15,)))</f>
        <v>0</v>
      </c>
      <c r="J396">
        <f>Table2[[#This Row],[AUTO Pts]]+Table2[[#This Row],[Shooting Pts.]]+Table2[[#This Row],[Def. Points]]+Table2[[#This Row],[E. Game Pts.]]</f>
        <v>0</v>
      </c>
    </row>
    <row r="397" spans="1:10" x14ac:dyDescent="0.25">
      <c r="A397">
        <f>DataTable[[#This Row],[Tm.]]</f>
        <v>0</v>
      </c>
      <c r="B397">
        <f>DataTable[[#This Row],[Match Nr.]]</f>
        <v>0</v>
      </c>
      <c r="C3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7">
        <f>DataTable[[#This Row],[Successful Lo. G. S]]*2+DataTable[[#This Row],[Successful Hi. G. S.]]*10</f>
        <v>0</v>
      </c>
      <c r="H3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7">
        <f>IF(DataTable[[#This Row],[E. Game Compl.]]="Nothing",0,IF(DataTable[[#This Row],[E. Game Compl.]]="Challenging the Tower",5,IF(DataTable[[#This Row],[E. Game Compl.]]="Scaling the Tower",15,)))</f>
        <v>0</v>
      </c>
      <c r="J397">
        <f>Table2[[#This Row],[AUTO Pts]]+Table2[[#This Row],[Shooting Pts.]]+Table2[[#This Row],[Def. Points]]+Table2[[#This Row],[E. Game Pts.]]</f>
        <v>0</v>
      </c>
    </row>
    <row r="398" spans="1:10" x14ac:dyDescent="0.25">
      <c r="A398">
        <f>DataTable[[#This Row],[Tm.]]</f>
        <v>0</v>
      </c>
      <c r="B398">
        <f>DataTable[[#This Row],[Match Nr.]]</f>
        <v>0</v>
      </c>
      <c r="C3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8">
        <f>DataTable[[#This Row],[Successful Lo. G. S]]*2+DataTable[[#This Row],[Successful Hi. G. S.]]*10</f>
        <v>0</v>
      </c>
      <c r="H3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8">
        <f>IF(DataTable[[#This Row],[E. Game Compl.]]="Nothing",0,IF(DataTable[[#This Row],[E. Game Compl.]]="Challenging the Tower",5,IF(DataTable[[#This Row],[E. Game Compl.]]="Scaling the Tower",15,)))</f>
        <v>0</v>
      </c>
      <c r="J398">
        <f>Table2[[#This Row],[AUTO Pts]]+Table2[[#This Row],[Shooting Pts.]]+Table2[[#This Row],[Def. Points]]+Table2[[#This Row],[E. Game Pts.]]</f>
        <v>0</v>
      </c>
    </row>
    <row r="399" spans="1:10" x14ac:dyDescent="0.25">
      <c r="A399">
        <f>DataTable[[#This Row],[Tm.]]</f>
        <v>0</v>
      </c>
      <c r="B399">
        <f>DataTable[[#This Row],[Match Nr.]]</f>
        <v>0</v>
      </c>
      <c r="C3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9">
        <f>DataTable[[#This Row],[Successful Lo. G. S]]*2+DataTable[[#This Row],[Successful Hi. G. S.]]*10</f>
        <v>0</v>
      </c>
      <c r="H3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9">
        <f>IF(DataTable[[#This Row],[E. Game Compl.]]="Nothing",0,IF(DataTable[[#This Row],[E. Game Compl.]]="Challenging the Tower",5,IF(DataTable[[#This Row],[E. Game Compl.]]="Scaling the Tower",15,)))</f>
        <v>0</v>
      </c>
      <c r="J399">
        <f>Table2[[#This Row],[AUTO Pts]]+Table2[[#This Row],[Shooting Pts.]]+Table2[[#This Row],[Def. Points]]+Table2[[#This Row],[E. Game Pts.]]</f>
        <v>0</v>
      </c>
    </row>
    <row r="400" spans="1:10" x14ac:dyDescent="0.25">
      <c r="A400">
        <f>DataTable[[#This Row],[Tm.]]</f>
        <v>0</v>
      </c>
      <c r="B400">
        <f>DataTable[[#This Row],[Match Nr.]]</f>
        <v>0</v>
      </c>
      <c r="C4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0">
        <f>DataTable[[#This Row],[Successful Lo. G. S]]*2+DataTable[[#This Row],[Successful Hi. G. S.]]*10</f>
        <v>0</v>
      </c>
      <c r="H4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0">
        <f>IF(DataTable[[#This Row],[E. Game Compl.]]="Nothing",0,IF(DataTable[[#This Row],[E. Game Compl.]]="Challenging the Tower",5,IF(DataTable[[#This Row],[E. Game Compl.]]="Scaling the Tower",15,)))</f>
        <v>0</v>
      </c>
      <c r="J400">
        <f>Table2[[#This Row],[AUTO Pts]]+Table2[[#This Row],[Shooting Pts.]]+Table2[[#This Row],[Def. Points]]+Table2[[#This Row],[E. Game Pts.]]</f>
        <v>0</v>
      </c>
    </row>
    <row r="401" spans="1:10" x14ac:dyDescent="0.25">
      <c r="A401">
        <f>DataTable[[#This Row],[Tm.]]</f>
        <v>0</v>
      </c>
      <c r="B401">
        <f>DataTable[[#This Row],[Match Nr.]]</f>
        <v>0</v>
      </c>
      <c r="C4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1">
        <f>DataTable[[#This Row],[Successful Lo. G. S]]*2+DataTable[[#This Row],[Successful Hi. G. S.]]*10</f>
        <v>0</v>
      </c>
      <c r="H4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1">
        <f>IF(DataTable[[#This Row],[E. Game Compl.]]="Nothing",0,IF(DataTable[[#This Row],[E. Game Compl.]]="Challenging the Tower",5,IF(DataTable[[#This Row],[E. Game Compl.]]="Scaling the Tower",15,)))</f>
        <v>0</v>
      </c>
      <c r="J401">
        <f>Table2[[#This Row],[AUTO Pts]]+Table2[[#This Row],[Shooting Pts.]]+Table2[[#This Row],[Def. Points]]+Table2[[#This Row],[E. Game Pts.]]</f>
        <v>0</v>
      </c>
    </row>
    <row r="402" spans="1:10" x14ac:dyDescent="0.25">
      <c r="A402">
        <f>DataTable[[#This Row],[Tm.]]</f>
        <v>0</v>
      </c>
      <c r="B402">
        <f>DataTable[[#This Row],[Match Nr.]]</f>
        <v>0</v>
      </c>
      <c r="C4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2">
        <f>DataTable[[#This Row],[Successful Lo. G. S]]*2+DataTable[[#This Row],[Successful Hi. G. S.]]*10</f>
        <v>0</v>
      </c>
      <c r="H4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2">
        <f>IF(DataTable[[#This Row],[E. Game Compl.]]="Nothing",0,IF(DataTable[[#This Row],[E. Game Compl.]]="Challenging the Tower",5,IF(DataTable[[#This Row],[E. Game Compl.]]="Scaling the Tower",15,)))</f>
        <v>0</v>
      </c>
      <c r="J402">
        <f>Table2[[#This Row],[AUTO Pts]]+Table2[[#This Row],[Shooting Pts.]]+Table2[[#This Row],[Def. Points]]+Table2[[#This Row],[E. Game Pts.]]</f>
        <v>0</v>
      </c>
    </row>
    <row r="403" spans="1:10" x14ac:dyDescent="0.25">
      <c r="A403">
        <f>DataTable[[#This Row],[Tm.]]</f>
        <v>0</v>
      </c>
      <c r="B403">
        <f>DataTable[[#This Row],[Match Nr.]]</f>
        <v>0</v>
      </c>
      <c r="C4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3">
        <f>DataTable[[#This Row],[Successful Lo. G. S]]*2+DataTable[[#This Row],[Successful Hi. G. S.]]*10</f>
        <v>0</v>
      </c>
      <c r="H4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3">
        <f>IF(DataTable[[#This Row],[E. Game Compl.]]="Nothing",0,IF(DataTable[[#This Row],[E. Game Compl.]]="Challenging the Tower",5,IF(DataTable[[#This Row],[E. Game Compl.]]="Scaling the Tower",15,)))</f>
        <v>0</v>
      </c>
      <c r="J403">
        <f>Table2[[#This Row],[AUTO Pts]]+Table2[[#This Row],[Shooting Pts.]]+Table2[[#This Row],[Def. Points]]+Table2[[#This Row],[E. Game Pts.]]</f>
        <v>0</v>
      </c>
    </row>
    <row r="404" spans="1:10" x14ac:dyDescent="0.25">
      <c r="A404">
        <f>DataTable[[#This Row],[Tm.]]</f>
        <v>0</v>
      </c>
      <c r="B404">
        <f>DataTable[[#This Row],[Match Nr.]]</f>
        <v>0</v>
      </c>
      <c r="C4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4">
        <f>DataTable[[#This Row],[Successful Lo. G. S]]*2+DataTable[[#This Row],[Successful Hi. G. S.]]*10</f>
        <v>0</v>
      </c>
      <c r="H4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4">
        <f>IF(DataTable[[#This Row],[E. Game Compl.]]="Nothing",0,IF(DataTable[[#This Row],[E. Game Compl.]]="Challenging the Tower",5,IF(DataTable[[#This Row],[E. Game Compl.]]="Scaling the Tower",15,)))</f>
        <v>0</v>
      </c>
      <c r="J404">
        <f>Table2[[#This Row],[AUTO Pts]]+Table2[[#This Row],[Shooting Pts.]]+Table2[[#This Row],[Def. Points]]+Table2[[#This Row],[E. Game Pts.]]</f>
        <v>0</v>
      </c>
    </row>
    <row r="405" spans="1:10" x14ac:dyDescent="0.25">
      <c r="A405">
        <f>DataTable[[#This Row],[Tm.]]</f>
        <v>0</v>
      </c>
      <c r="B405">
        <f>DataTable[[#This Row],[Match Nr.]]</f>
        <v>0</v>
      </c>
      <c r="C4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5">
        <f>DataTable[[#This Row],[Successful Lo. G. S]]*2+DataTable[[#This Row],[Successful Hi. G. S.]]*10</f>
        <v>0</v>
      </c>
      <c r="H4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5">
        <f>IF(DataTable[[#This Row],[E. Game Compl.]]="Nothing",0,IF(DataTable[[#This Row],[E. Game Compl.]]="Challenging the Tower",5,IF(DataTable[[#This Row],[E. Game Compl.]]="Scaling the Tower",15,)))</f>
        <v>0</v>
      </c>
      <c r="J405">
        <f>Table2[[#This Row],[AUTO Pts]]+Table2[[#This Row],[Shooting Pts.]]+Table2[[#This Row],[Def. Points]]+Table2[[#This Row],[E. Game Pts.]]</f>
        <v>0</v>
      </c>
    </row>
    <row r="406" spans="1:10" x14ac:dyDescent="0.25">
      <c r="A406">
        <f>DataTable[[#This Row],[Tm.]]</f>
        <v>0</v>
      </c>
      <c r="B406">
        <f>DataTable[[#This Row],[Match Nr.]]</f>
        <v>0</v>
      </c>
      <c r="C4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6">
        <f>DataTable[[#This Row],[Successful Lo. G. S]]*2+DataTable[[#This Row],[Successful Hi. G. S.]]*10</f>
        <v>0</v>
      </c>
      <c r="H4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6">
        <f>IF(DataTable[[#This Row],[E. Game Compl.]]="Nothing",0,IF(DataTable[[#This Row],[E. Game Compl.]]="Challenging the Tower",5,IF(DataTable[[#This Row],[E. Game Compl.]]="Scaling the Tower",15,)))</f>
        <v>0</v>
      </c>
      <c r="J406">
        <f>Table2[[#This Row],[AUTO Pts]]+Table2[[#This Row],[Shooting Pts.]]+Table2[[#This Row],[Def. Points]]+Table2[[#This Row],[E. Game Pts.]]</f>
        <v>0</v>
      </c>
    </row>
    <row r="407" spans="1:10" x14ac:dyDescent="0.25">
      <c r="A407">
        <f>DataTable[[#This Row],[Tm.]]</f>
        <v>0</v>
      </c>
      <c r="B407">
        <f>DataTable[[#This Row],[Match Nr.]]</f>
        <v>0</v>
      </c>
      <c r="C4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7">
        <f>DataTable[[#This Row],[Successful Lo. G. S]]*2+DataTable[[#This Row],[Successful Hi. G. S.]]*10</f>
        <v>0</v>
      </c>
      <c r="H4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7">
        <f>IF(DataTable[[#This Row],[E. Game Compl.]]="Nothing",0,IF(DataTable[[#This Row],[E. Game Compl.]]="Challenging the Tower",5,IF(DataTable[[#This Row],[E. Game Compl.]]="Scaling the Tower",15,)))</f>
        <v>0</v>
      </c>
      <c r="J407">
        <f>Table2[[#This Row],[AUTO Pts]]+Table2[[#This Row],[Shooting Pts.]]+Table2[[#This Row],[Def. Points]]+Table2[[#This Row],[E. Game Pts.]]</f>
        <v>0</v>
      </c>
    </row>
    <row r="408" spans="1:10" x14ac:dyDescent="0.25">
      <c r="A408">
        <f>DataTable[[#This Row],[Tm.]]</f>
        <v>0</v>
      </c>
      <c r="B408">
        <f>DataTable[[#This Row],[Match Nr.]]</f>
        <v>0</v>
      </c>
      <c r="C4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8">
        <f>DataTable[[#This Row],[Successful Lo. G. S]]*2+DataTable[[#This Row],[Successful Hi. G. S.]]*10</f>
        <v>0</v>
      </c>
      <c r="H4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8">
        <f>IF(DataTable[[#This Row],[E. Game Compl.]]="Nothing",0,IF(DataTable[[#This Row],[E. Game Compl.]]="Challenging the Tower",5,IF(DataTable[[#This Row],[E. Game Compl.]]="Scaling the Tower",15,)))</f>
        <v>0</v>
      </c>
      <c r="J408">
        <f>Table2[[#This Row],[AUTO Pts]]+Table2[[#This Row],[Shooting Pts.]]+Table2[[#This Row],[Def. Points]]+Table2[[#This Row],[E. Game Pts.]]</f>
        <v>0</v>
      </c>
    </row>
    <row r="409" spans="1:10" x14ac:dyDescent="0.25">
      <c r="A409">
        <f>DataTable[[#This Row],[Tm.]]</f>
        <v>0</v>
      </c>
      <c r="B409">
        <f>DataTable[[#This Row],[Match Nr.]]</f>
        <v>0</v>
      </c>
      <c r="C4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9">
        <f>DataTable[[#This Row],[Successful Lo. G. S]]*2+DataTable[[#This Row],[Successful Hi. G. S.]]*10</f>
        <v>0</v>
      </c>
      <c r="H4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9">
        <f>IF(DataTable[[#This Row],[E. Game Compl.]]="Nothing",0,IF(DataTable[[#This Row],[E. Game Compl.]]="Challenging the Tower",5,IF(DataTable[[#This Row],[E. Game Compl.]]="Scaling the Tower",15,)))</f>
        <v>0</v>
      </c>
      <c r="J409">
        <f>Table2[[#This Row],[AUTO Pts]]+Table2[[#This Row],[Shooting Pts.]]+Table2[[#This Row],[Def. Points]]+Table2[[#This Row],[E. Game Pts.]]</f>
        <v>0</v>
      </c>
    </row>
    <row r="410" spans="1:10" x14ac:dyDescent="0.25">
      <c r="A410">
        <f>DataTable[[#This Row],[Tm.]]</f>
        <v>0</v>
      </c>
      <c r="B410">
        <f>DataTable[[#This Row],[Match Nr.]]</f>
        <v>0</v>
      </c>
      <c r="C4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0">
        <f>DataTable[[#This Row],[Successful Lo. G. S]]*2+DataTable[[#This Row],[Successful Hi. G. S.]]*10</f>
        <v>0</v>
      </c>
      <c r="H4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0">
        <f>IF(DataTable[[#This Row],[E. Game Compl.]]="Nothing",0,IF(DataTable[[#This Row],[E. Game Compl.]]="Challenging the Tower",5,IF(DataTable[[#This Row],[E. Game Compl.]]="Scaling the Tower",15,)))</f>
        <v>0</v>
      </c>
      <c r="J410">
        <f>Table2[[#This Row],[AUTO Pts]]+Table2[[#This Row],[Shooting Pts.]]+Table2[[#This Row],[Def. Points]]+Table2[[#This Row],[E. Game Pts.]]</f>
        <v>0</v>
      </c>
    </row>
    <row r="411" spans="1:10" x14ac:dyDescent="0.25">
      <c r="A411">
        <f>DataTable[[#This Row],[Tm.]]</f>
        <v>0</v>
      </c>
      <c r="B411">
        <f>DataTable[[#This Row],[Match Nr.]]</f>
        <v>0</v>
      </c>
      <c r="C4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1">
        <f>DataTable[[#This Row],[Successful Lo. G. S]]*2+DataTable[[#This Row],[Successful Hi. G. S.]]*10</f>
        <v>0</v>
      </c>
      <c r="H4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1">
        <f>IF(DataTable[[#This Row],[E. Game Compl.]]="Nothing",0,IF(DataTable[[#This Row],[E. Game Compl.]]="Challenging the Tower",5,IF(DataTable[[#This Row],[E. Game Compl.]]="Scaling the Tower",15,)))</f>
        <v>0</v>
      </c>
      <c r="J411">
        <f>Table2[[#This Row],[AUTO Pts]]+Table2[[#This Row],[Shooting Pts.]]+Table2[[#This Row],[Def. Points]]+Table2[[#This Row],[E. Game Pts.]]</f>
        <v>0</v>
      </c>
    </row>
    <row r="412" spans="1:10" x14ac:dyDescent="0.25">
      <c r="A412">
        <f>DataTable[[#This Row],[Tm.]]</f>
        <v>0</v>
      </c>
      <c r="B412">
        <f>DataTable[[#This Row],[Match Nr.]]</f>
        <v>0</v>
      </c>
      <c r="C4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2">
        <f>DataTable[[#This Row],[Successful Lo. G. S]]*2+DataTable[[#This Row],[Successful Hi. G. S.]]*10</f>
        <v>0</v>
      </c>
      <c r="H4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2">
        <f>IF(DataTable[[#This Row],[E. Game Compl.]]="Nothing",0,IF(DataTable[[#This Row],[E. Game Compl.]]="Challenging the Tower",5,IF(DataTable[[#This Row],[E. Game Compl.]]="Scaling the Tower",15,)))</f>
        <v>0</v>
      </c>
      <c r="J412">
        <f>Table2[[#This Row],[AUTO Pts]]+Table2[[#This Row],[Shooting Pts.]]+Table2[[#This Row],[Def. Points]]+Table2[[#This Row],[E. Game Pts.]]</f>
        <v>0</v>
      </c>
    </row>
    <row r="413" spans="1:10" x14ac:dyDescent="0.25">
      <c r="A413">
        <f>DataTable[[#This Row],[Tm.]]</f>
        <v>0</v>
      </c>
      <c r="B413">
        <f>DataTable[[#This Row],[Match Nr.]]</f>
        <v>0</v>
      </c>
      <c r="C4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3">
        <f>DataTable[[#This Row],[Successful Lo. G. S]]*2+DataTable[[#This Row],[Successful Hi. G. S.]]*10</f>
        <v>0</v>
      </c>
      <c r="H4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3">
        <f>IF(DataTable[[#This Row],[E. Game Compl.]]="Nothing",0,IF(DataTable[[#This Row],[E. Game Compl.]]="Challenging the Tower",5,IF(DataTable[[#This Row],[E. Game Compl.]]="Scaling the Tower",15,)))</f>
        <v>0</v>
      </c>
      <c r="J413">
        <f>Table2[[#This Row],[AUTO Pts]]+Table2[[#This Row],[Shooting Pts.]]+Table2[[#This Row],[Def. Points]]+Table2[[#This Row],[E. Game Pts.]]</f>
        <v>0</v>
      </c>
    </row>
    <row r="414" spans="1:10" x14ac:dyDescent="0.25">
      <c r="A414">
        <f>DataTable[[#This Row],[Tm.]]</f>
        <v>0</v>
      </c>
      <c r="B414">
        <f>DataTable[[#This Row],[Match Nr.]]</f>
        <v>0</v>
      </c>
      <c r="C4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4">
        <f>DataTable[[#This Row],[Successful Lo. G. S]]*2+DataTable[[#This Row],[Successful Hi. G. S.]]*10</f>
        <v>0</v>
      </c>
      <c r="H4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4">
        <f>IF(DataTable[[#This Row],[E. Game Compl.]]="Nothing",0,IF(DataTable[[#This Row],[E. Game Compl.]]="Challenging the Tower",5,IF(DataTable[[#This Row],[E. Game Compl.]]="Scaling the Tower",15,)))</f>
        <v>0</v>
      </c>
      <c r="J414">
        <f>Table2[[#This Row],[AUTO Pts]]+Table2[[#This Row],[Shooting Pts.]]+Table2[[#This Row],[Def. Points]]+Table2[[#This Row],[E. Game Pts.]]</f>
        <v>0</v>
      </c>
    </row>
    <row r="415" spans="1:10" x14ac:dyDescent="0.25">
      <c r="A415">
        <f>DataTable[[#This Row],[Tm.]]</f>
        <v>0</v>
      </c>
      <c r="B415">
        <f>DataTable[[#This Row],[Match Nr.]]</f>
        <v>0</v>
      </c>
      <c r="C4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5">
        <f>DataTable[[#This Row],[Successful Lo. G. S]]*2+DataTable[[#This Row],[Successful Hi. G. S.]]*10</f>
        <v>0</v>
      </c>
      <c r="H4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5">
        <f>IF(DataTable[[#This Row],[E. Game Compl.]]="Nothing",0,IF(DataTable[[#This Row],[E. Game Compl.]]="Challenging the Tower",5,IF(DataTable[[#This Row],[E. Game Compl.]]="Scaling the Tower",15,)))</f>
        <v>0</v>
      </c>
      <c r="J415">
        <f>Table2[[#This Row],[AUTO Pts]]+Table2[[#This Row],[Shooting Pts.]]+Table2[[#This Row],[Def. Points]]+Table2[[#This Row],[E. Game Pts.]]</f>
        <v>0</v>
      </c>
    </row>
    <row r="416" spans="1:10" x14ac:dyDescent="0.25">
      <c r="A416">
        <f>DataTable[[#This Row],[Tm.]]</f>
        <v>0</v>
      </c>
      <c r="B416">
        <f>DataTable[[#This Row],[Match Nr.]]</f>
        <v>0</v>
      </c>
      <c r="C4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6">
        <f>DataTable[[#This Row],[Successful Lo. G. S]]*2+DataTable[[#This Row],[Successful Hi. G. S.]]*10</f>
        <v>0</v>
      </c>
      <c r="H4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6">
        <f>IF(DataTable[[#This Row],[E. Game Compl.]]="Nothing",0,IF(DataTable[[#This Row],[E. Game Compl.]]="Challenging the Tower",5,IF(DataTable[[#This Row],[E. Game Compl.]]="Scaling the Tower",15,)))</f>
        <v>0</v>
      </c>
      <c r="J416">
        <f>Table2[[#This Row],[AUTO Pts]]+Table2[[#This Row],[Shooting Pts.]]+Table2[[#This Row],[Def. Points]]+Table2[[#This Row],[E. Game Pts.]]</f>
        <v>0</v>
      </c>
    </row>
    <row r="417" spans="1:10" x14ac:dyDescent="0.25">
      <c r="A417">
        <f>DataTable[[#This Row],[Tm.]]</f>
        <v>0</v>
      </c>
      <c r="B417">
        <f>DataTable[[#This Row],[Match Nr.]]</f>
        <v>0</v>
      </c>
      <c r="C4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7">
        <f>DataTable[[#This Row],[Successful Lo. G. S]]*2+DataTable[[#This Row],[Successful Hi. G. S.]]*10</f>
        <v>0</v>
      </c>
      <c r="H4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7">
        <f>IF(DataTable[[#This Row],[E. Game Compl.]]="Nothing",0,IF(DataTable[[#This Row],[E. Game Compl.]]="Challenging the Tower",5,IF(DataTable[[#This Row],[E. Game Compl.]]="Scaling the Tower",15,)))</f>
        <v>0</v>
      </c>
      <c r="J417">
        <f>Table2[[#This Row],[AUTO Pts]]+Table2[[#This Row],[Shooting Pts.]]+Table2[[#This Row],[Def. Points]]+Table2[[#This Row],[E. Game Pts.]]</f>
        <v>0</v>
      </c>
    </row>
    <row r="418" spans="1:10" x14ac:dyDescent="0.25">
      <c r="A418">
        <f>DataTable[[#This Row],[Tm.]]</f>
        <v>0</v>
      </c>
      <c r="B418">
        <f>DataTable[[#This Row],[Match Nr.]]</f>
        <v>0</v>
      </c>
      <c r="C4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8">
        <f>DataTable[[#This Row],[Successful Lo. G. S]]*2+DataTable[[#This Row],[Successful Hi. G. S.]]*10</f>
        <v>0</v>
      </c>
      <c r="H4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8">
        <f>IF(DataTable[[#This Row],[E. Game Compl.]]="Nothing",0,IF(DataTable[[#This Row],[E. Game Compl.]]="Challenging the Tower",5,IF(DataTable[[#This Row],[E. Game Compl.]]="Scaling the Tower",15,)))</f>
        <v>0</v>
      </c>
      <c r="J418">
        <f>Table2[[#This Row],[AUTO Pts]]+Table2[[#This Row],[Shooting Pts.]]+Table2[[#This Row],[Def. Points]]+Table2[[#This Row],[E. Game Pts.]]</f>
        <v>0</v>
      </c>
    </row>
    <row r="419" spans="1:10" x14ac:dyDescent="0.25">
      <c r="A419">
        <f>DataTable[[#This Row],[Tm.]]</f>
        <v>0</v>
      </c>
      <c r="B419">
        <f>DataTable[[#This Row],[Match Nr.]]</f>
        <v>0</v>
      </c>
      <c r="C4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9">
        <f>DataTable[[#This Row],[Successful Lo. G. S]]*2+DataTable[[#This Row],[Successful Hi. G. S.]]*10</f>
        <v>0</v>
      </c>
      <c r="H4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9">
        <f>IF(DataTable[[#This Row],[E. Game Compl.]]="Nothing",0,IF(DataTable[[#This Row],[E. Game Compl.]]="Challenging the Tower",5,IF(DataTable[[#This Row],[E. Game Compl.]]="Scaling the Tower",15,)))</f>
        <v>0</v>
      </c>
      <c r="J419">
        <f>Table2[[#This Row],[AUTO Pts]]+Table2[[#This Row],[Shooting Pts.]]+Table2[[#This Row],[Def. Points]]+Table2[[#This Row],[E. Game Pts.]]</f>
        <v>0</v>
      </c>
    </row>
    <row r="420" spans="1:10" x14ac:dyDescent="0.25">
      <c r="A420">
        <f>DataTable[[#This Row],[Tm.]]</f>
        <v>0</v>
      </c>
      <c r="B420">
        <f>DataTable[[#This Row],[Match Nr.]]</f>
        <v>0</v>
      </c>
      <c r="C4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0">
        <f>DataTable[[#This Row],[Successful Lo. G. S]]*2+DataTable[[#This Row],[Successful Hi. G. S.]]*10</f>
        <v>0</v>
      </c>
      <c r="H4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0">
        <f>IF(DataTable[[#This Row],[E. Game Compl.]]="Nothing",0,IF(DataTable[[#This Row],[E. Game Compl.]]="Challenging the Tower",5,IF(DataTable[[#This Row],[E. Game Compl.]]="Scaling the Tower",15,)))</f>
        <v>0</v>
      </c>
      <c r="J420">
        <f>Table2[[#This Row],[AUTO Pts]]+Table2[[#This Row],[Shooting Pts.]]+Table2[[#This Row],[Def. Points]]+Table2[[#This Row],[E. Game Pts.]]</f>
        <v>0</v>
      </c>
    </row>
    <row r="421" spans="1:10" x14ac:dyDescent="0.25">
      <c r="A421">
        <f>DataTable[[#This Row],[Tm.]]</f>
        <v>0</v>
      </c>
      <c r="B421">
        <f>DataTable[[#This Row],[Match Nr.]]</f>
        <v>0</v>
      </c>
      <c r="C4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1">
        <f>DataTable[[#This Row],[Successful Lo. G. S]]*2+DataTable[[#This Row],[Successful Hi. G. S.]]*10</f>
        <v>0</v>
      </c>
      <c r="H4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1">
        <f>IF(DataTable[[#This Row],[E. Game Compl.]]="Nothing",0,IF(DataTable[[#This Row],[E. Game Compl.]]="Challenging the Tower",5,IF(DataTable[[#This Row],[E. Game Compl.]]="Scaling the Tower",15,)))</f>
        <v>0</v>
      </c>
      <c r="J421">
        <f>Table2[[#This Row],[AUTO Pts]]+Table2[[#This Row],[Shooting Pts.]]+Table2[[#This Row],[Def. Points]]+Table2[[#This Row],[E. Game Pts.]]</f>
        <v>0</v>
      </c>
    </row>
    <row r="422" spans="1:10" x14ac:dyDescent="0.25">
      <c r="A422">
        <f>DataTable[[#This Row],[Tm.]]</f>
        <v>0</v>
      </c>
      <c r="B422">
        <f>DataTable[[#This Row],[Match Nr.]]</f>
        <v>0</v>
      </c>
      <c r="C4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2">
        <f>DataTable[[#This Row],[Successful Lo. G. S]]*2+DataTable[[#This Row],[Successful Hi. G. S.]]*10</f>
        <v>0</v>
      </c>
      <c r="H4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2">
        <f>IF(DataTable[[#This Row],[E. Game Compl.]]="Nothing",0,IF(DataTable[[#This Row],[E. Game Compl.]]="Challenging the Tower",5,IF(DataTable[[#This Row],[E. Game Compl.]]="Scaling the Tower",15,)))</f>
        <v>0</v>
      </c>
      <c r="J422">
        <f>Table2[[#This Row],[AUTO Pts]]+Table2[[#This Row],[Shooting Pts.]]+Table2[[#This Row],[Def. Points]]+Table2[[#This Row],[E. Game Pts.]]</f>
        <v>0</v>
      </c>
    </row>
    <row r="423" spans="1:10" x14ac:dyDescent="0.25">
      <c r="A423">
        <f>DataTable[[#This Row],[Tm.]]</f>
        <v>0</v>
      </c>
      <c r="B423">
        <f>DataTable[[#This Row],[Match Nr.]]</f>
        <v>0</v>
      </c>
      <c r="C4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3">
        <f>DataTable[[#This Row],[Successful Lo. G. S]]*2+DataTable[[#This Row],[Successful Hi. G. S.]]*10</f>
        <v>0</v>
      </c>
      <c r="H4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3">
        <f>IF(DataTable[[#This Row],[E. Game Compl.]]="Nothing",0,IF(DataTable[[#This Row],[E. Game Compl.]]="Challenging the Tower",5,IF(DataTable[[#This Row],[E. Game Compl.]]="Scaling the Tower",15,)))</f>
        <v>0</v>
      </c>
      <c r="J423">
        <f>Table2[[#This Row],[AUTO Pts]]+Table2[[#This Row],[Shooting Pts.]]+Table2[[#This Row],[Def. Points]]+Table2[[#This Row],[E. Game Pts.]]</f>
        <v>0</v>
      </c>
    </row>
    <row r="424" spans="1:10" x14ac:dyDescent="0.25">
      <c r="A424">
        <f>DataTable[[#This Row],[Tm.]]</f>
        <v>0</v>
      </c>
      <c r="B424">
        <f>DataTable[[#This Row],[Match Nr.]]</f>
        <v>0</v>
      </c>
      <c r="C4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4">
        <f>DataTable[[#This Row],[Successful Lo. G. S]]*2+DataTable[[#This Row],[Successful Hi. G. S.]]*10</f>
        <v>0</v>
      </c>
      <c r="H4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4">
        <f>IF(DataTable[[#This Row],[E. Game Compl.]]="Nothing",0,IF(DataTable[[#This Row],[E. Game Compl.]]="Challenging the Tower",5,IF(DataTable[[#This Row],[E. Game Compl.]]="Scaling the Tower",15,)))</f>
        <v>0</v>
      </c>
      <c r="J424">
        <f>Table2[[#This Row],[AUTO Pts]]+Table2[[#This Row],[Shooting Pts.]]+Table2[[#This Row],[Def. Points]]+Table2[[#This Row],[E. Game Pts.]]</f>
        <v>0</v>
      </c>
    </row>
    <row r="425" spans="1:10" x14ac:dyDescent="0.25">
      <c r="A425">
        <f>DataTable[[#This Row],[Tm.]]</f>
        <v>0</v>
      </c>
      <c r="B425">
        <f>DataTable[[#This Row],[Match Nr.]]</f>
        <v>0</v>
      </c>
      <c r="C4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5">
        <f>DataTable[[#This Row],[Successful Lo. G. S]]*2+DataTable[[#This Row],[Successful Hi. G. S.]]*10</f>
        <v>0</v>
      </c>
      <c r="H4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5">
        <f>IF(DataTable[[#This Row],[E. Game Compl.]]="Nothing",0,IF(DataTable[[#This Row],[E. Game Compl.]]="Challenging the Tower",5,IF(DataTable[[#This Row],[E. Game Compl.]]="Scaling the Tower",15,)))</f>
        <v>0</v>
      </c>
      <c r="J425">
        <f>Table2[[#This Row],[AUTO Pts]]+Table2[[#This Row],[Shooting Pts.]]+Table2[[#This Row],[Def. Points]]+Table2[[#This Row],[E. Game Pts.]]</f>
        <v>0</v>
      </c>
    </row>
    <row r="426" spans="1:10" x14ac:dyDescent="0.25">
      <c r="A426">
        <f>DataTable[[#This Row],[Tm.]]</f>
        <v>0</v>
      </c>
      <c r="B426">
        <f>DataTable[[#This Row],[Match Nr.]]</f>
        <v>0</v>
      </c>
      <c r="C4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6">
        <f>DataTable[[#This Row],[Successful Lo. G. S]]*2+DataTable[[#This Row],[Successful Hi. G. S.]]*10</f>
        <v>0</v>
      </c>
      <c r="H4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6">
        <f>IF(DataTable[[#This Row],[E. Game Compl.]]="Nothing",0,IF(DataTable[[#This Row],[E. Game Compl.]]="Challenging the Tower",5,IF(DataTable[[#This Row],[E. Game Compl.]]="Scaling the Tower",15,)))</f>
        <v>0</v>
      </c>
      <c r="J426">
        <f>Table2[[#This Row],[AUTO Pts]]+Table2[[#This Row],[Shooting Pts.]]+Table2[[#This Row],[Def. Points]]+Table2[[#This Row],[E. Game Pts.]]</f>
        <v>0</v>
      </c>
    </row>
    <row r="427" spans="1:10" x14ac:dyDescent="0.25">
      <c r="A427">
        <f>DataTable[[#This Row],[Tm.]]</f>
        <v>0</v>
      </c>
      <c r="B427">
        <f>DataTable[[#This Row],[Match Nr.]]</f>
        <v>0</v>
      </c>
      <c r="C4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7">
        <f>DataTable[[#This Row],[Successful Lo. G. S]]*2+DataTable[[#This Row],[Successful Hi. G. S.]]*10</f>
        <v>0</v>
      </c>
      <c r="H4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7">
        <f>IF(DataTable[[#This Row],[E. Game Compl.]]="Nothing",0,IF(DataTable[[#This Row],[E. Game Compl.]]="Challenging the Tower",5,IF(DataTable[[#This Row],[E. Game Compl.]]="Scaling the Tower",15,)))</f>
        <v>0</v>
      </c>
      <c r="J427">
        <f>Table2[[#This Row],[AUTO Pts]]+Table2[[#This Row],[Shooting Pts.]]+Table2[[#This Row],[Def. Points]]+Table2[[#This Row],[E. Game Pts.]]</f>
        <v>0</v>
      </c>
    </row>
    <row r="428" spans="1:10" x14ac:dyDescent="0.25">
      <c r="A428">
        <f>DataTable[[#This Row],[Tm.]]</f>
        <v>0</v>
      </c>
      <c r="B428">
        <f>DataTable[[#This Row],[Match Nr.]]</f>
        <v>0</v>
      </c>
      <c r="C4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8">
        <f>DataTable[[#This Row],[Successful Lo. G. S]]*2+DataTable[[#This Row],[Successful Hi. G. S.]]*10</f>
        <v>0</v>
      </c>
      <c r="H4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8">
        <f>IF(DataTable[[#This Row],[E. Game Compl.]]="Nothing",0,IF(DataTable[[#This Row],[E. Game Compl.]]="Challenging the Tower",5,IF(DataTable[[#This Row],[E. Game Compl.]]="Scaling the Tower",15,)))</f>
        <v>0</v>
      </c>
      <c r="J428">
        <f>Table2[[#This Row],[AUTO Pts]]+Table2[[#This Row],[Shooting Pts.]]+Table2[[#This Row],[Def. Points]]+Table2[[#This Row],[E. Game Pts.]]</f>
        <v>0</v>
      </c>
    </row>
    <row r="429" spans="1:10" x14ac:dyDescent="0.25">
      <c r="A429">
        <f>DataTable[[#This Row],[Tm.]]</f>
        <v>0</v>
      </c>
      <c r="B429">
        <f>DataTable[[#This Row],[Match Nr.]]</f>
        <v>0</v>
      </c>
      <c r="C4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9">
        <f>DataTable[[#This Row],[Successful Lo. G. S]]*2+DataTable[[#This Row],[Successful Hi. G. S.]]*10</f>
        <v>0</v>
      </c>
      <c r="H4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9">
        <f>IF(DataTable[[#This Row],[E. Game Compl.]]="Nothing",0,IF(DataTable[[#This Row],[E. Game Compl.]]="Challenging the Tower",5,IF(DataTable[[#This Row],[E. Game Compl.]]="Scaling the Tower",15,)))</f>
        <v>0</v>
      </c>
      <c r="J429">
        <f>Table2[[#This Row],[AUTO Pts]]+Table2[[#This Row],[Shooting Pts.]]+Table2[[#This Row],[Def. Points]]+Table2[[#This Row],[E. Game Pts.]]</f>
        <v>0</v>
      </c>
    </row>
    <row r="430" spans="1:10" x14ac:dyDescent="0.25">
      <c r="A430">
        <f>DataTable[[#This Row],[Tm.]]</f>
        <v>0</v>
      </c>
      <c r="B430">
        <f>DataTable[[#This Row],[Match Nr.]]</f>
        <v>0</v>
      </c>
      <c r="C4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0">
        <f>DataTable[[#This Row],[Successful Lo. G. S]]*2+DataTable[[#This Row],[Successful Hi. G. S.]]*10</f>
        <v>0</v>
      </c>
      <c r="H4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0">
        <f>IF(DataTable[[#This Row],[E. Game Compl.]]="Nothing",0,IF(DataTable[[#This Row],[E. Game Compl.]]="Challenging the Tower",5,IF(DataTable[[#This Row],[E. Game Compl.]]="Scaling the Tower",15,)))</f>
        <v>0</v>
      </c>
      <c r="J430">
        <f>Table2[[#This Row],[AUTO Pts]]+Table2[[#This Row],[Shooting Pts.]]+Table2[[#This Row],[Def. Points]]+Table2[[#This Row],[E. Game Pts.]]</f>
        <v>0</v>
      </c>
    </row>
    <row r="431" spans="1:10" x14ac:dyDescent="0.25">
      <c r="A431">
        <f>DataTable[[#This Row],[Tm.]]</f>
        <v>0</v>
      </c>
      <c r="B431">
        <f>DataTable[[#This Row],[Match Nr.]]</f>
        <v>0</v>
      </c>
      <c r="C4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1">
        <f>DataTable[[#This Row],[Successful Lo. G. S]]*2+DataTable[[#This Row],[Successful Hi. G. S.]]*10</f>
        <v>0</v>
      </c>
      <c r="H4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1">
        <f>IF(DataTable[[#This Row],[E. Game Compl.]]="Nothing",0,IF(DataTable[[#This Row],[E. Game Compl.]]="Challenging the Tower",5,IF(DataTable[[#This Row],[E. Game Compl.]]="Scaling the Tower",15,)))</f>
        <v>0</v>
      </c>
      <c r="J431">
        <f>Table2[[#This Row],[AUTO Pts]]+Table2[[#This Row],[Shooting Pts.]]+Table2[[#This Row],[Def. Points]]+Table2[[#This Row],[E. Game Pts.]]</f>
        <v>0</v>
      </c>
    </row>
    <row r="432" spans="1:10" x14ac:dyDescent="0.25">
      <c r="A432">
        <f>DataTable[[#This Row],[Tm.]]</f>
        <v>0</v>
      </c>
      <c r="B432">
        <f>DataTable[[#This Row],[Match Nr.]]</f>
        <v>0</v>
      </c>
      <c r="C4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2">
        <f>DataTable[[#This Row],[Successful Lo. G. S]]*2+DataTable[[#This Row],[Successful Hi. G. S.]]*10</f>
        <v>0</v>
      </c>
      <c r="H4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2">
        <f>IF(DataTable[[#This Row],[E. Game Compl.]]="Nothing",0,IF(DataTable[[#This Row],[E. Game Compl.]]="Challenging the Tower",5,IF(DataTable[[#This Row],[E. Game Compl.]]="Scaling the Tower",15,)))</f>
        <v>0</v>
      </c>
      <c r="J432">
        <f>Table2[[#This Row],[AUTO Pts]]+Table2[[#This Row],[Shooting Pts.]]+Table2[[#This Row],[Def. Points]]+Table2[[#This Row],[E. Game Pts.]]</f>
        <v>0</v>
      </c>
    </row>
    <row r="433" spans="1:10" x14ac:dyDescent="0.25">
      <c r="A433">
        <f>DataTable[[#This Row],[Tm.]]</f>
        <v>0</v>
      </c>
      <c r="B433">
        <f>DataTable[[#This Row],[Match Nr.]]</f>
        <v>0</v>
      </c>
      <c r="C4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3">
        <f>DataTable[[#This Row],[Successful Lo. G. S]]*2+DataTable[[#This Row],[Successful Hi. G. S.]]*10</f>
        <v>0</v>
      </c>
      <c r="H4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3">
        <f>IF(DataTable[[#This Row],[E. Game Compl.]]="Nothing",0,IF(DataTable[[#This Row],[E. Game Compl.]]="Challenging the Tower",5,IF(DataTable[[#This Row],[E. Game Compl.]]="Scaling the Tower",15,)))</f>
        <v>0</v>
      </c>
      <c r="J433">
        <f>Table2[[#This Row],[AUTO Pts]]+Table2[[#This Row],[Shooting Pts.]]+Table2[[#This Row],[Def. Points]]+Table2[[#This Row],[E. Game Pts.]]</f>
        <v>0</v>
      </c>
    </row>
    <row r="434" spans="1:10" x14ac:dyDescent="0.25">
      <c r="A434">
        <f>DataTable[[#This Row],[Tm.]]</f>
        <v>0</v>
      </c>
      <c r="B434">
        <f>DataTable[[#This Row],[Match Nr.]]</f>
        <v>0</v>
      </c>
      <c r="C4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4">
        <f>DataTable[[#This Row],[Successful Lo. G. S]]*2+DataTable[[#This Row],[Successful Hi. G. S.]]*10</f>
        <v>0</v>
      </c>
      <c r="H4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4">
        <f>IF(DataTable[[#This Row],[E. Game Compl.]]="Nothing",0,IF(DataTable[[#This Row],[E. Game Compl.]]="Challenging the Tower",5,IF(DataTable[[#This Row],[E. Game Compl.]]="Scaling the Tower",15,)))</f>
        <v>0</v>
      </c>
      <c r="J434">
        <f>Table2[[#This Row],[AUTO Pts]]+Table2[[#This Row],[Shooting Pts.]]+Table2[[#This Row],[Def. Points]]+Table2[[#This Row],[E. Game Pts.]]</f>
        <v>0</v>
      </c>
    </row>
    <row r="435" spans="1:10" x14ac:dyDescent="0.25">
      <c r="A435">
        <f>DataTable[[#This Row],[Tm.]]</f>
        <v>0</v>
      </c>
      <c r="B435">
        <f>DataTable[[#This Row],[Match Nr.]]</f>
        <v>0</v>
      </c>
      <c r="C4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5">
        <f>DataTable[[#This Row],[Successful Lo. G. S]]*2+DataTable[[#This Row],[Successful Hi. G. S.]]*10</f>
        <v>0</v>
      </c>
      <c r="H4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5">
        <f>IF(DataTable[[#This Row],[E. Game Compl.]]="Nothing",0,IF(DataTable[[#This Row],[E. Game Compl.]]="Challenging the Tower",5,IF(DataTable[[#This Row],[E. Game Compl.]]="Scaling the Tower",15,)))</f>
        <v>0</v>
      </c>
      <c r="J435">
        <f>Table2[[#This Row],[AUTO Pts]]+Table2[[#This Row],[Shooting Pts.]]+Table2[[#This Row],[Def. Points]]+Table2[[#This Row],[E. Game Pts.]]</f>
        <v>0</v>
      </c>
    </row>
    <row r="436" spans="1:10" x14ac:dyDescent="0.25">
      <c r="A436">
        <f>DataTable[[#This Row],[Tm.]]</f>
        <v>0</v>
      </c>
      <c r="B436">
        <f>DataTable[[#This Row],[Match Nr.]]</f>
        <v>0</v>
      </c>
      <c r="C4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6">
        <f>DataTable[[#This Row],[Successful Lo. G. S]]*2+DataTable[[#This Row],[Successful Hi. G. S.]]*10</f>
        <v>0</v>
      </c>
      <c r="H4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6">
        <f>IF(DataTable[[#This Row],[E. Game Compl.]]="Nothing",0,IF(DataTable[[#This Row],[E. Game Compl.]]="Challenging the Tower",5,IF(DataTable[[#This Row],[E. Game Compl.]]="Scaling the Tower",15,)))</f>
        <v>0</v>
      </c>
      <c r="J436">
        <f>Table2[[#This Row],[AUTO Pts]]+Table2[[#This Row],[Shooting Pts.]]+Table2[[#This Row],[Def. Points]]+Table2[[#This Row],[E. Game Pts.]]</f>
        <v>0</v>
      </c>
    </row>
    <row r="437" spans="1:10" x14ac:dyDescent="0.25">
      <c r="A437">
        <f>DataTable[[#This Row],[Tm.]]</f>
        <v>0</v>
      </c>
      <c r="B437">
        <f>DataTable[[#This Row],[Match Nr.]]</f>
        <v>0</v>
      </c>
      <c r="C4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7">
        <f>DataTable[[#This Row],[Successful Lo. G. S]]*2+DataTable[[#This Row],[Successful Hi. G. S.]]*10</f>
        <v>0</v>
      </c>
      <c r="H4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7">
        <f>IF(DataTable[[#This Row],[E. Game Compl.]]="Nothing",0,IF(DataTable[[#This Row],[E. Game Compl.]]="Challenging the Tower",5,IF(DataTable[[#This Row],[E. Game Compl.]]="Scaling the Tower",15,)))</f>
        <v>0</v>
      </c>
      <c r="J437">
        <f>Table2[[#This Row],[AUTO Pts]]+Table2[[#This Row],[Shooting Pts.]]+Table2[[#This Row],[Def. Points]]+Table2[[#This Row],[E. Game Pts.]]</f>
        <v>0</v>
      </c>
    </row>
    <row r="438" spans="1:10" x14ac:dyDescent="0.25">
      <c r="A438">
        <f>DataTable[[#This Row],[Tm.]]</f>
        <v>0</v>
      </c>
      <c r="B438">
        <f>DataTable[[#This Row],[Match Nr.]]</f>
        <v>0</v>
      </c>
      <c r="C4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8">
        <f>DataTable[[#This Row],[Successful Lo. G. S]]*2+DataTable[[#This Row],[Successful Hi. G. S.]]*10</f>
        <v>0</v>
      </c>
      <c r="H4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8">
        <f>IF(DataTable[[#This Row],[E. Game Compl.]]="Nothing",0,IF(DataTable[[#This Row],[E. Game Compl.]]="Challenging the Tower",5,IF(DataTable[[#This Row],[E. Game Compl.]]="Scaling the Tower",15,)))</f>
        <v>0</v>
      </c>
      <c r="J438">
        <f>Table2[[#This Row],[AUTO Pts]]+Table2[[#This Row],[Shooting Pts.]]+Table2[[#This Row],[Def. Points]]+Table2[[#This Row],[E. Game Pts.]]</f>
        <v>0</v>
      </c>
    </row>
    <row r="439" spans="1:10" x14ac:dyDescent="0.25">
      <c r="A439">
        <f>DataTable[[#This Row],[Tm.]]</f>
        <v>0</v>
      </c>
      <c r="B439">
        <f>DataTable[[#This Row],[Match Nr.]]</f>
        <v>0</v>
      </c>
      <c r="C4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9">
        <f>DataTable[[#This Row],[Successful Lo. G. S]]*2+DataTable[[#This Row],[Successful Hi. G. S.]]*10</f>
        <v>0</v>
      </c>
      <c r="H4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9">
        <f>IF(DataTable[[#This Row],[E. Game Compl.]]="Nothing",0,IF(DataTable[[#This Row],[E. Game Compl.]]="Challenging the Tower",5,IF(DataTable[[#This Row],[E. Game Compl.]]="Scaling the Tower",15,)))</f>
        <v>0</v>
      </c>
      <c r="J439">
        <f>Table2[[#This Row],[AUTO Pts]]+Table2[[#This Row],[Shooting Pts.]]+Table2[[#This Row],[Def. Points]]+Table2[[#This Row],[E. Game Pts.]]</f>
        <v>0</v>
      </c>
    </row>
    <row r="440" spans="1:10" x14ac:dyDescent="0.25">
      <c r="A440">
        <f>DataTable[[#This Row],[Tm.]]</f>
        <v>0</v>
      </c>
      <c r="B440">
        <f>DataTable[[#This Row],[Match Nr.]]</f>
        <v>0</v>
      </c>
      <c r="C4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0">
        <f>DataTable[[#This Row],[Successful Lo. G. S]]*2+DataTable[[#This Row],[Successful Hi. G. S.]]*10</f>
        <v>0</v>
      </c>
      <c r="H4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0">
        <f>IF(DataTable[[#This Row],[E. Game Compl.]]="Nothing",0,IF(DataTable[[#This Row],[E. Game Compl.]]="Challenging the Tower",5,IF(DataTable[[#This Row],[E. Game Compl.]]="Scaling the Tower",15,)))</f>
        <v>0</v>
      </c>
      <c r="J440">
        <f>Table2[[#This Row],[AUTO Pts]]+Table2[[#This Row],[Shooting Pts.]]+Table2[[#This Row],[Def. Points]]+Table2[[#This Row],[E. Game Pts.]]</f>
        <v>0</v>
      </c>
    </row>
    <row r="441" spans="1:10" x14ac:dyDescent="0.25">
      <c r="A441">
        <f>DataTable[[#This Row],[Tm.]]</f>
        <v>0</v>
      </c>
      <c r="B441">
        <f>DataTable[[#This Row],[Match Nr.]]</f>
        <v>0</v>
      </c>
      <c r="C4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1">
        <f>DataTable[[#This Row],[Successful Lo. G. S]]*2+DataTable[[#This Row],[Successful Hi. G. S.]]*10</f>
        <v>0</v>
      </c>
      <c r="H4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1">
        <f>IF(DataTable[[#This Row],[E. Game Compl.]]="Nothing",0,IF(DataTable[[#This Row],[E. Game Compl.]]="Challenging the Tower",5,IF(DataTable[[#This Row],[E. Game Compl.]]="Scaling the Tower",15,)))</f>
        <v>0</v>
      </c>
      <c r="J441">
        <f>Table2[[#This Row],[AUTO Pts]]+Table2[[#This Row],[Shooting Pts.]]+Table2[[#This Row],[Def. Points]]+Table2[[#This Row],[E. Game Pts.]]</f>
        <v>0</v>
      </c>
    </row>
    <row r="442" spans="1:10" x14ac:dyDescent="0.25">
      <c r="A442">
        <f>DataTable[[#This Row],[Tm.]]</f>
        <v>0</v>
      </c>
      <c r="B442">
        <f>DataTable[[#This Row],[Match Nr.]]</f>
        <v>0</v>
      </c>
      <c r="C4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2">
        <f>DataTable[[#This Row],[Successful Lo. G. S]]*2+DataTable[[#This Row],[Successful Hi. G. S.]]*10</f>
        <v>0</v>
      </c>
      <c r="H4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2">
        <f>IF(DataTable[[#This Row],[E. Game Compl.]]="Nothing",0,IF(DataTable[[#This Row],[E. Game Compl.]]="Challenging the Tower",5,IF(DataTable[[#This Row],[E. Game Compl.]]="Scaling the Tower",15,)))</f>
        <v>0</v>
      </c>
      <c r="J442">
        <f>Table2[[#This Row],[AUTO Pts]]+Table2[[#This Row],[Shooting Pts.]]+Table2[[#This Row],[Def. Points]]+Table2[[#This Row],[E. Game Pts.]]</f>
        <v>0</v>
      </c>
    </row>
    <row r="443" spans="1:10" x14ac:dyDescent="0.25">
      <c r="A443">
        <f>DataTable[[#This Row],[Tm.]]</f>
        <v>0</v>
      </c>
      <c r="B443">
        <f>DataTable[[#This Row],[Match Nr.]]</f>
        <v>0</v>
      </c>
      <c r="C4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3">
        <f>DataTable[[#This Row],[Successful Lo. G. S]]*2+DataTable[[#This Row],[Successful Hi. G. S.]]*10</f>
        <v>0</v>
      </c>
      <c r="H4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3">
        <f>IF(DataTable[[#This Row],[E. Game Compl.]]="Nothing",0,IF(DataTable[[#This Row],[E. Game Compl.]]="Challenging the Tower",5,IF(DataTable[[#This Row],[E. Game Compl.]]="Scaling the Tower",15,)))</f>
        <v>0</v>
      </c>
      <c r="J443">
        <f>Table2[[#This Row],[AUTO Pts]]+Table2[[#This Row],[Shooting Pts.]]+Table2[[#This Row],[Def. Points]]+Table2[[#This Row],[E. Game Pts.]]</f>
        <v>0</v>
      </c>
    </row>
    <row r="444" spans="1:10" x14ac:dyDescent="0.25">
      <c r="A444">
        <f>DataTable[[#This Row],[Tm.]]</f>
        <v>0</v>
      </c>
      <c r="B444">
        <f>DataTable[[#This Row],[Match Nr.]]</f>
        <v>0</v>
      </c>
      <c r="C4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4">
        <f>DataTable[[#This Row],[Successful Lo. G. S]]*2+DataTable[[#This Row],[Successful Hi. G. S.]]*10</f>
        <v>0</v>
      </c>
      <c r="H4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4">
        <f>IF(DataTable[[#This Row],[E. Game Compl.]]="Nothing",0,IF(DataTable[[#This Row],[E. Game Compl.]]="Challenging the Tower",5,IF(DataTable[[#This Row],[E. Game Compl.]]="Scaling the Tower",15,)))</f>
        <v>0</v>
      </c>
      <c r="J444">
        <f>Table2[[#This Row],[AUTO Pts]]+Table2[[#This Row],[Shooting Pts.]]+Table2[[#This Row],[Def. Points]]+Table2[[#This Row],[E. Game Pts.]]</f>
        <v>0</v>
      </c>
    </row>
    <row r="445" spans="1:10" x14ac:dyDescent="0.25">
      <c r="A445">
        <f>DataTable[[#This Row],[Tm.]]</f>
        <v>0</v>
      </c>
      <c r="B445">
        <f>DataTable[[#This Row],[Match Nr.]]</f>
        <v>0</v>
      </c>
      <c r="C4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5">
        <f>DataTable[[#This Row],[Successful Lo. G. S]]*2+DataTable[[#This Row],[Successful Hi. G. S.]]*10</f>
        <v>0</v>
      </c>
      <c r="H4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5">
        <f>IF(DataTable[[#This Row],[E. Game Compl.]]="Nothing",0,IF(DataTable[[#This Row],[E. Game Compl.]]="Challenging the Tower",5,IF(DataTable[[#This Row],[E. Game Compl.]]="Scaling the Tower",15,)))</f>
        <v>0</v>
      </c>
      <c r="J445">
        <f>Table2[[#This Row],[AUTO Pts]]+Table2[[#This Row],[Shooting Pts.]]+Table2[[#This Row],[Def. Points]]+Table2[[#This Row],[E. Game Pts.]]</f>
        <v>0</v>
      </c>
    </row>
    <row r="446" spans="1:10" x14ac:dyDescent="0.25">
      <c r="A446">
        <f>DataTable[[#This Row],[Tm.]]</f>
        <v>0</v>
      </c>
      <c r="B446">
        <f>DataTable[[#This Row],[Match Nr.]]</f>
        <v>0</v>
      </c>
      <c r="C4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6">
        <f>DataTable[[#This Row],[Successful Lo. G. S]]*2+DataTable[[#This Row],[Successful Hi. G. S.]]*10</f>
        <v>0</v>
      </c>
      <c r="H4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6">
        <f>IF(DataTable[[#This Row],[E. Game Compl.]]="Nothing",0,IF(DataTable[[#This Row],[E. Game Compl.]]="Challenging the Tower",5,IF(DataTable[[#This Row],[E. Game Compl.]]="Scaling the Tower",15,)))</f>
        <v>0</v>
      </c>
      <c r="J446">
        <f>Table2[[#This Row],[AUTO Pts]]+Table2[[#This Row],[Shooting Pts.]]+Table2[[#This Row],[Def. Points]]+Table2[[#This Row],[E. Game Pts.]]</f>
        <v>0</v>
      </c>
    </row>
    <row r="447" spans="1:10" x14ac:dyDescent="0.25">
      <c r="A447">
        <f>DataTable[[#This Row],[Tm.]]</f>
        <v>0</v>
      </c>
      <c r="B447">
        <f>DataTable[[#This Row],[Match Nr.]]</f>
        <v>0</v>
      </c>
      <c r="C4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7">
        <f>DataTable[[#This Row],[Successful Lo. G. S]]*2+DataTable[[#This Row],[Successful Hi. G. S.]]*10</f>
        <v>0</v>
      </c>
      <c r="H4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7">
        <f>IF(DataTable[[#This Row],[E. Game Compl.]]="Nothing",0,IF(DataTable[[#This Row],[E. Game Compl.]]="Challenging the Tower",5,IF(DataTable[[#This Row],[E. Game Compl.]]="Scaling the Tower",15,)))</f>
        <v>0</v>
      </c>
      <c r="J447">
        <f>Table2[[#This Row],[AUTO Pts]]+Table2[[#This Row],[Shooting Pts.]]+Table2[[#This Row],[Def. Points]]+Table2[[#This Row],[E. Game Pts.]]</f>
        <v>0</v>
      </c>
    </row>
    <row r="448" spans="1:10" x14ac:dyDescent="0.25">
      <c r="A448">
        <f>DataTable[[#This Row],[Tm.]]</f>
        <v>0</v>
      </c>
      <c r="B448">
        <f>DataTable[[#This Row],[Match Nr.]]</f>
        <v>0</v>
      </c>
      <c r="C4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8">
        <f>DataTable[[#This Row],[Successful Lo. G. S]]*2+DataTable[[#This Row],[Successful Hi. G. S.]]*10</f>
        <v>0</v>
      </c>
      <c r="H4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8">
        <f>IF(DataTable[[#This Row],[E. Game Compl.]]="Nothing",0,IF(DataTable[[#This Row],[E. Game Compl.]]="Challenging the Tower",5,IF(DataTable[[#This Row],[E. Game Compl.]]="Scaling the Tower",15,)))</f>
        <v>0</v>
      </c>
      <c r="J448">
        <f>Table2[[#This Row],[AUTO Pts]]+Table2[[#This Row],[Shooting Pts.]]+Table2[[#This Row],[Def. Points]]+Table2[[#This Row],[E. Game Pts.]]</f>
        <v>0</v>
      </c>
    </row>
    <row r="449" spans="1:10" x14ac:dyDescent="0.25">
      <c r="A449">
        <f>DataTable[[#This Row],[Tm.]]</f>
        <v>0</v>
      </c>
      <c r="B449">
        <f>DataTable[[#This Row],[Match Nr.]]</f>
        <v>0</v>
      </c>
      <c r="C4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9">
        <f>DataTable[[#This Row],[Successful Lo. G. S]]*2+DataTable[[#This Row],[Successful Hi. G. S.]]*10</f>
        <v>0</v>
      </c>
      <c r="H4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9">
        <f>IF(DataTable[[#This Row],[E. Game Compl.]]="Nothing",0,IF(DataTable[[#This Row],[E. Game Compl.]]="Challenging the Tower",5,IF(DataTable[[#This Row],[E. Game Compl.]]="Scaling the Tower",15,)))</f>
        <v>0</v>
      </c>
      <c r="J449">
        <f>Table2[[#This Row],[AUTO Pts]]+Table2[[#This Row],[Shooting Pts.]]+Table2[[#This Row],[Def. Points]]+Table2[[#This Row],[E. Game Pts.]]</f>
        <v>0</v>
      </c>
    </row>
    <row r="450" spans="1:10" x14ac:dyDescent="0.25">
      <c r="A450">
        <f>DataTable[[#This Row],[Tm.]]</f>
        <v>0</v>
      </c>
      <c r="B450">
        <f>DataTable[[#This Row],[Match Nr.]]</f>
        <v>0</v>
      </c>
      <c r="C4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0">
        <f>DataTable[[#This Row],[Successful Lo. G. S]]*2+DataTable[[#This Row],[Successful Hi. G. S.]]*10</f>
        <v>0</v>
      </c>
      <c r="H4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0">
        <f>IF(DataTable[[#This Row],[E. Game Compl.]]="Nothing",0,IF(DataTable[[#This Row],[E. Game Compl.]]="Challenging the Tower",5,IF(DataTable[[#This Row],[E. Game Compl.]]="Scaling the Tower",15,)))</f>
        <v>0</v>
      </c>
      <c r="J450">
        <f>Table2[[#This Row],[AUTO Pts]]+Table2[[#This Row],[Shooting Pts.]]+Table2[[#This Row],[Def. Points]]+Table2[[#This Row],[E. Game Pts.]]</f>
        <v>0</v>
      </c>
    </row>
    <row r="451" spans="1:10" x14ac:dyDescent="0.25">
      <c r="A451">
        <f>DataTable[[#This Row],[Tm.]]</f>
        <v>0</v>
      </c>
      <c r="B451">
        <f>DataTable[[#This Row],[Match Nr.]]</f>
        <v>0</v>
      </c>
      <c r="C4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1">
        <f>DataTable[[#This Row],[Successful Lo. G. S]]*2+DataTable[[#This Row],[Successful Hi. G. S.]]*10</f>
        <v>0</v>
      </c>
      <c r="H4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1">
        <f>IF(DataTable[[#This Row],[E. Game Compl.]]="Nothing",0,IF(DataTable[[#This Row],[E. Game Compl.]]="Challenging the Tower",5,IF(DataTable[[#This Row],[E. Game Compl.]]="Scaling the Tower",15,)))</f>
        <v>0</v>
      </c>
      <c r="J451">
        <f>Table2[[#This Row],[AUTO Pts]]+Table2[[#This Row],[Shooting Pts.]]+Table2[[#This Row],[Def. Points]]+Table2[[#This Row],[E. Game Pts.]]</f>
        <v>0</v>
      </c>
    </row>
    <row r="452" spans="1:10" x14ac:dyDescent="0.25">
      <c r="A452">
        <f>DataTable[[#This Row],[Tm.]]</f>
        <v>0</v>
      </c>
      <c r="B452">
        <f>DataTable[[#This Row],[Match Nr.]]</f>
        <v>0</v>
      </c>
      <c r="C4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2">
        <f>DataTable[[#This Row],[Successful Lo. G. S]]*2+DataTable[[#This Row],[Successful Hi. G. S.]]*10</f>
        <v>0</v>
      </c>
      <c r="H4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2">
        <f>IF(DataTable[[#This Row],[E. Game Compl.]]="Nothing",0,IF(DataTable[[#This Row],[E. Game Compl.]]="Challenging the Tower",5,IF(DataTable[[#This Row],[E. Game Compl.]]="Scaling the Tower",15,)))</f>
        <v>0</v>
      </c>
      <c r="J452">
        <f>Table2[[#This Row],[AUTO Pts]]+Table2[[#This Row],[Shooting Pts.]]+Table2[[#This Row],[Def. Points]]+Table2[[#This Row],[E. Game Pts.]]</f>
        <v>0</v>
      </c>
    </row>
    <row r="453" spans="1:10" x14ac:dyDescent="0.25">
      <c r="A453">
        <f>DataTable[[#This Row],[Tm.]]</f>
        <v>0</v>
      </c>
      <c r="B453">
        <f>DataTable[[#This Row],[Match Nr.]]</f>
        <v>0</v>
      </c>
      <c r="C4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3">
        <f>DataTable[[#This Row],[Successful Lo. G. S]]*2+DataTable[[#This Row],[Successful Hi. G. S.]]*10</f>
        <v>0</v>
      </c>
      <c r="H4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3">
        <f>IF(DataTable[[#This Row],[E. Game Compl.]]="Nothing",0,IF(DataTable[[#This Row],[E. Game Compl.]]="Challenging the Tower",5,IF(DataTable[[#This Row],[E. Game Compl.]]="Scaling the Tower",15,)))</f>
        <v>0</v>
      </c>
      <c r="J453">
        <f>Table2[[#This Row],[AUTO Pts]]+Table2[[#This Row],[Shooting Pts.]]+Table2[[#This Row],[Def. Points]]+Table2[[#This Row],[E. Game Pts.]]</f>
        <v>0</v>
      </c>
    </row>
    <row r="454" spans="1:10" x14ac:dyDescent="0.25">
      <c r="A454">
        <f>DataTable[[#This Row],[Tm.]]</f>
        <v>0</v>
      </c>
      <c r="B454">
        <f>DataTable[[#This Row],[Match Nr.]]</f>
        <v>0</v>
      </c>
      <c r="C4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4">
        <f>DataTable[[#This Row],[Successful Lo. G. S]]*2+DataTable[[#This Row],[Successful Hi. G. S.]]*10</f>
        <v>0</v>
      </c>
      <c r="H4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4">
        <f>IF(DataTable[[#This Row],[E. Game Compl.]]="Nothing",0,IF(DataTable[[#This Row],[E. Game Compl.]]="Challenging the Tower",5,IF(DataTable[[#This Row],[E. Game Compl.]]="Scaling the Tower",15,)))</f>
        <v>0</v>
      </c>
      <c r="J454">
        <f>Table2[[#This Row],[AUTO Pts]]+Table2[[#This Row],[Shooting Pts.]]+Table2[[#This Row],[Def. Points]]+Table2[[#This Row],[E. Game Pts.]]</f>
        <v>0</v>
      </c>
    </row>
    <row r="455" spans="1:10" x14ac:dyDescent="0.25">
      <c r="A455">
        <f>DataTable[[#This Row],[Tm.]]</f>
        <v>0</v>
      </c>
      <c r="B455">
        <f>DataTable[[#This Row],[Match Nr.]]</f>
        <v>0</v>
      </c>
      <c r="C4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5">
        <f>DataTable[[#This Row],[Successful Lo. G. S]]*2+DataTable[[#This Row],[Successful Hi. G. S.]]*10</f>
        <v>0</v>
      </c>
      <c r="H4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5">
        <f>IF(DataTable[[#This Row],[E. Game Compl.]]="Nothing",0,IF(DataTable[[#This Row],[E. Game Compl.]]="Challenging the Tower",5,IF(DataTable[[#This Row],[E. Game Compl.]]="Scaling the Tower",15,)))</f>
        <v>0</v>
      </c>
      <c r="J455">
        <f>Table2[[#This Row],[AUTO Pts]]+Table2[[#This Row],[Shooting Pts.]]+Table2[[#This Row],[Def. Points]]+Table2[[#This Row],[E. Game Pts.]]</f>
        <v>0</v>
      </c>
    </row>
    <row r="456" spans="1:10" x14ac:dyDescent="0.25">
      <c r="A456">
        <f>DataTable[[#This Row],[Tm.]]</f>
        <v>0</v>
      </c>
      <c r="B456">
        <f>DataTable[[#This Row],[Match Nr.]]</f>
        <v>0</v>
      </c>
      <c r="C4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6">
        <f>DataTable[[#This Row],[Successful Lo. G. S]]*2+DataTable[[#This Row],[Successful Hi. G. S.]]*10</f>
        <v>0</v>
      </c>
      <c r="H4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6">
        <f>IF(DataTable[[#This Row],[E. Game Compl.]]="Nothing",0,IF(DataTable[[#This Row],[E. Game Compl.]]="Challenging the Tower",5,IF(DataTable[[#This Row],[E. Game Compl.]]="Scaling the Tower",15,)))</f>
        <v>0</v>
      </c>
      <c r="J456">
        <f>Table2[[#This Row],[AUTO Pts]]+Table2[[#This Row],[Shooting Pts.]]+Table2[[#This Row],[Def. Points]]+Table2[[#This Row],[E. Game Pts.]]</f>
        <v>0</v>
      </c>
    </row>
    <row r="457" spans="1:10" x14ac:dyDescent="0.25">
      <c r="A457">
        <f>DataTable[[#This Row],[Tm.]]</f>
        <v>0</v>
      </c>
      <c r="B457">
        <f>DataTable[[#This Row],[Match Nr.]]</f>
        <v>0</v>
      </c>
      <c r="C4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7">
        <f>DataTable[[#This Row],[Successful Lo. G. S]]*2+DataTable[[#This Row],[Successful Hi. G. S.]]*10</f>
        <v>0</v>
      </c>
      <c r="H4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7">
        <f>IF(DataTable[[#This Row],[E. Game Compl.]]="Nothing",0,IF(DataTable[[#This Row],[E. Game Compl.]]="Challenging the Tower",5,IF(DataTable[[#This Row],[E. Game Compl.]]="Scaling the Tower",15,)))</f>
        <v>0</v>
      </c>
      <c r="J457">
        <f>Table2[[#This Row],[AUTO Pts]]+Table2[[#This Row],[Shooting Pts.]]+Table2[[#This Row],[Def. Points]]+Table2[[#This Row],[E. Game Pts.]]</f>
        <v>0</v>
      </c>
    </row>
    <row r="458" spans="1:10" x14ac:dyDescent="0.25">
      <c r="A458">
        <f>DataTable[[#This Row],[Tm.]]</f>
        <v>0</v>
      </c>
      <c r="B458">
        <f>DataTable[[#This Row],[Match Nr.]]</f>
        <v>0</v>
      </c>
      <c r="C4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8">
        <f>DataTable[[#This Row],[Successful Lo. G. S]]*2+DataTable[[#This Row],[Successful Hi. G. S.]]*10</f>
        <v>0</v>
      </c>
      <c r="H4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8">
        <f>IF(DataTable[[#This Row],[E. Game Compl.]]="Nothing",0,IF(DataTable[[#This Row],[E. Game Compl.]]="Challenging the Tower",5,IF(DataTable[[#This Row],[E. Game Compl.]]="Scaling the Tower",15,)))</f>
        <v>0</v>
      </c>
      <c r="J458">
        <f>Table2[[#This Row],[AUTO Pts]]+Table2[[#This Row],[Shooting Pts.]]+Table2[[#This Row],[Def. Points]]+Table2[[#This Row],[E. Game Pts.]]</f>
        <v>0</v>
      </c>
    </row>
    <row r="459" spans="1:10" x14ac:dyDescent="0.25">
      <c r="A459">
        <f>DataTable[[#This Row],[Tm.]]</f>
        <v>0</v>
      </c>
      <c r="B459">
        <f>DataTable[[#This Row],[Match Nr.]]</f>
        <v>0</v>
      </c>
      <c r="C4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9">
        <f>DataTable[[#This Row],[Successful Lo. G. S]]*2+DataTable[[#This Row],[Successful Hi. G. S.]]*10</f>
        <v>0</v>
      </c>
      <c r="H4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9">
        <f>IF(DataTable[[#This Row],[E. Game Compl.]]="Nothing",0,IF(DataTable[[#This Row],[E. Game Compl.]]="Challenging the Tower",5,IF(DataTable[[#This Row],[E. Game Compl.]]="Scaling the Tower",15,)))</f>
        <v>0</v>
      </c>
      <c r="J459">
        <f>Table2[[#This Row],[AUTO Pts]]+Table2[[#This Row],[Shooting Pts.]]+Table2[[#This Row],[Def. Points]]+Table2[[#This Row],[E. Game Pts.]]</f>
        <v>0</v>
      </c>
    </row>
    <row r="460" spans="1:10" x14ac:dyDescent="0.25">
      <c r="A460">
        <f>DataTable[[#This Row],[Tm.]]</f>
        <v>0</v>
      </c>
      <c r="B460">
        <f>DataTable[[#This Row],[Match Nr.]]</f>
        <v>0</v>
      </c>
      <c r="C4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0">
        <f>DataTable[[#This Row],[Successful Lo. G. S]]*2+DataTable[[#This Row],[Successful Hi. G. S.]]*10</f>
        <v>0</v>
      </c>
      <c r="H4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0">
        <f>IF(DataTable[[#This Row],[E. Game Compl.]]="Nothing",0,IF(DataTable[[#This Row],[E. Game Compl.]]="Challenging the Tower",5,IF(DataTable[[#This Row],[E. Game Compl.]]="Scaling the Tower",15,)))</f>
        <v>0</v>
      </c>
      <c r="J460">
        <f>Table2[[#This Row],[AUTO Pts]]+Table2[[#This Row],[Shooting Pts.]]+Table2[[#This Row],[Def. Points]]+Table2[[#This Row],[E. Game Pts.]]</f>
        <v>0</v>
      </c>
    </row>
    <row r="461" spans="1:10" x14ac:dyDescent="0.25">
      <c r="A461">
        <f>DataTable[[#This Row],[Tm.]]</f>
        <v>0</v>
      </c>
      <c r="B461">
        <f>DataTable[[#This Row],[Match Nr.]]</f>
        <v>0</v>
      </c>
      <c r="C4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1">
        <f>DataTable[[#This Row],[Successful Lo. G. S]]*2+DataTable[[#This Row],[Successful Hi. G. S.]]*10</f>
        <v>0</v>
      </c>
      <c r="H4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1">
        <f>IF(DataTable[[#This Row],[E. Game Compl.]]="Nothing",0,IF(DataTable[[#This Row],[E. Game Compl.]]="Challenging the Tower",5,IF(DataTable[[#This Row],[E. Game Compl.]]="Scaling the Tower",15,)))</f>
        <v>0</v>
      </c>
      <c r="J461">
        <f>Table2[[#This Row],[AUTO Pts]]+Table2[[#This Row],[Shooting Pts.]]+Table2[[#This Row],[Def. Points]]+Table2[[#This Row],[E. Game Pts.]]</f>
        <v>0</v>
      </c>
    </row>
    <row r="462" spans="1:10" x14ac:dyDescent="0.25">
      <c r="A462">
        <f>DataTable[[#This Row],[Tm.]]</f>
        <v>0</v>
      </c>
      <c r="B462">
        <f>DataTable[[#This Row],[Match Nr.]]</f>
        <v>0</v>
      </c>
      <c r="C4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2">
        <f>DataTable[[#This Row],[Successful Lo. G. S]]*2+DataTable[[#This Row],[Successful Hi. G. S.]]*10</f>
        <v>0</v>
      </c>
      <c r="H4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2">
        <f>IF(DataTable[[#This Row],[E. Game Compl.]]="Nothing",0,IF(DataTable[[#This Row],[E. Game Compl.]]="Challenging the Tower",5,IF(DataTable[[#This Row],[E. Game Compl.]]="Scaling the Tower",15,)))</f>
        <v>0</v>
      </c>
      <c r="J462">
        <f>Table2[[#This Row],[AUTO Pts]]+Table2[[#This Row],[Shooting Pts.]]+Table2[[#This Row],[Def. Points]]+Table2[[#This Row],[E. Game Pts.]]</f>
        <v>0</v>
      </c>
    </row>
    <row r="463" spans="1:10" x14ac:dyDescent="0.25">
      <c r="A463">
        <f>DataTable[[#This Row],[Tm.]]</f>
        <v>0</v>
      </c>
      <c r="B463">
        <f>DataTable[[#This Row],[Match Nr.]]</f>
        <v>0</v>
      </c>
      <c r="C4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3">
        <f>DataTable[[#This Row],[Successful Lo. G. S]]*2+DataTable[[#This Row],[Successful Hi. G. S.]]*10</f>
        <v>0</v>
      </c>
      <c r="H4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3">
        <f>IF(DataTable[[#This Row],[E. Game Compl.]]="Nothing",0,IF(DataTable[[#This Row],[E. Game Compl.]]="Challenging the Tower",5,IF(DataTable[[#This Row],[E. Game Compl.]]="Scaling the Tower",15,)))</f>
        <v>0</v>
      </c>
      <c r="J463">
        <f>Table2[[#This Row],[AUTO Pts]]+Table2[[#This Row],[Shooting Pts.]]+Table2[[#This Row],[Def. Points]]+Table2[[#This Row],[E. Game Pts.]]</f>
        <v>0</v>
      </c>
    </row>
    <row r="464" spans="1:10" x14ac:dyDescent="0.25">
      <c r="A464">
        <f>DataTable[[#This Row],[Tm.]]</f>
        <v>0</v>
      </c>
      <c r="B464">
        <f>DataTable[[#This Row],[Match Nr.]]</f>
        <v>0</v>
      </c>
      <c r="C4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4">
        <f>DataTable[[#This Row],[Successful Lo. G. S]]*2+DataTable[[#This Row],[Successful Hi. G. S.]]*10</f>
        <v>0</v>
      </c>
      <c r="H4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4">
        <f>IF(DataTable[[#This Row],[E. Game Compl.]]="Nothing",0,IF(DataTable[[#This Row],[E. Game Compl.]]="Challenging the Tower",5,IF(DataTable[[#This Row],[E. Game Compl.]]="Scaling the Tower",15,)))</f>
        <v>0</v>
      </c>
      <c r="J464">
        <f>Table2[[#This Row],[AUTO Pts]]+Table2[[#This Row],[Shooting Pts.]]+Table2[[#This Row],[Def. Points]]+Table2[[#This Row],[E. Game Pts.]]</f>
        <v>0</v>
      </c>
    </row>
    <row r="465" spans="1:10" x14ac:dyDescent="0.25">
      <c r="A465">
        <f>DataTable[[#This Row],[Tm.]]</f>
        <v>0</v>
      </c>
      <c r="B465">
        <f>DataTable[[#This Row],[Match Nr.]]</f>
        <v>0</v>
      </c>
      <c r="C4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5">
        <f>DataTable[[#This Row],[Successful Lo. G. S]]*2+DataTable[[#This Row],[Successful Hi. G. S.]]*10</f>
        <v>0</v>
      </c>
      <c r="H4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5">
        <f>IF(DataTable[[#This Row],[E. Game Compl.]]="Nothing",0,IF(DataTable[[#This Row],[E. Game Compl.]]="Challenging the Tower",5,IF(DataTable[[#This Row],[E. Game Compl.]]="Scaling the Tower",15,)))</f>
        <v>0</v>
      </c>
      <c r="J465">
        <f>Table2[[#This Row],[AUTO Pts]]+Table2[[#This Row],[Shooting Pts.]]+Table2[[#This Row],[Def. Points]]+Table2[[#This Row],[E. Game Pts.]]</f>
        <v>0</v>
      </c>
    </row>
    <row r="466" spans="1:10" x14ac:dyDescent="0.25">
      <c r="A466">
        <f>DataTable[[#This Row],[Tm.]]</f>
        <v>0</v>
      </c>
      <c r="B466">
        <f>DataTable[[#This Row],[Match Nr.]]</f>
        <v>0</v>
      </c>
      <c r="C4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6">
        <f>DataTable[[#This Row],[Successful Lo. G. S]]*2+DataTable[[#This Row],[Successful Hi. G. S.]]*10</f>
        <v>0</v>
      </c>
      <c r="H4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6">
        <f>IF(DataTable[[#This Row],[E. Game Compl.]]="Nothing",0,IF(DataTable[[#This Row],[E. Game Compl.]]="Challenging the Tower",5,IF(DataTable[[#This Row],[E. Game Compl.]]="Scaling the Tower",15,)))</f>
        <v>0</v>
      </c>
      <c r="J466">
        <f>Table2[[#This Row],[AUTO Pts]]+Table2[[#This Row],[Shooting Pts.]]+Table2[[#This Row],[Def. Points]]+Table2[[#This Row],[E. Game Pts.]]</f>
        <v>0</v>
      </c>
    </row>
    <row r="467" spans="1:10" x14ac:dyDescent="0.25">
      <c r="A467">
        <f>DataTable[[#This Row],[Tm.]]</f>
        <v>0</v>
      </c>
      <c r="B467">
        <f>DataTable[[#This Row],[Match Nr.]]</f>
        <v>0</v>
      </c>
      <c r="C4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7">
        <f>DataTable[[#This Row],[Successful Lo. G. S]]*2+DataTable[[#This Row],[Successful Hi. G. S.]]*10</f>
        <v>0</v>
      </c>
      <c r="H4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7">
        <f>IF(DataTable[[#This Row],[E. Game Compl.]]="Nothing",0,IF(DataTable[[#This Row],[E. Game Compl.]]="Challenging the Tower",5,IF(DataTable[[#This Row],[E. Game Compl.]]="Scaling the Tower",15,)))</f>
        <v>0</v>
      </c>
      <c r="J467">
        <f>Table2[[#This Row],[AUTO Pts]]+Table2[[#This Row],[Shooting Pts.]]+Table2[[#This Row],[Def. Points]]+Table2[[#This Row],[E. Game Pts.]]</f>
        <v>0</v>
      </c>
    </row>
    <row r="468" spans="1:10" x14ac:dyDescent="0.25">
      <c r="A468">
        <f>DataTable[[#This Row],[Tm.]]</f>
        <v>0</v>
      </c>
      <c r="B468">
        <f>DataTable[[#This Row],[Match Nr.]]</f>
        <v>0</v>
      </c>
      <c r="C4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8">
        <f>DataTable[[#This Row],[Successful Lo. G. S]]*2+DataTable[[#This Row],[Successful Hi. G. S.]]*10</f>
        <v>0</v>
      </c>
      <c r="H4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8">
        <f>IF(DataTable[[#This Row],[E. Game Compl.]]="Nothing",0,IF(DataTable[[#This Row],[E. Game Compl.]]="Challenging the Tower",5,IF(DataTable[[#This Row],[E. Game Compl.]]="Scaling the Tower",15,)))</f>
        <v>0</v>
      </c>
      <c r="J468">
        <f>Table2[[#This Row],[AUTO Pts]]+Table2[[#This Row],[Shooting Pts.]]+Table2[[#This Row],[Def. Points]]+Table2[[#This Row],[E. Game Pts.]]</f>
        <v>0</v>
      </c>
    </row>
    <row r="469" spans="1:10" x14ac:dyDescent="0.25">
      <c r="A469">
        <f>DataTable[[#This Row],[Tm.]]</f>
        <v>0</v>
      </c>
      <c r="B469">
        <f>DataTable[[#This Row],[Match Nr.]]</f>
        <v>0</v>
      </c>
      <c r="C4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9">
        <f>DataTable[[#This Row],[Successful Lo. G. S]]*2+DataTable[[#This Row],[Successful Hi. G. S.]]*10</f>
        <v>0</v>
      </c>
      <c r="H4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9">
        <f>IF(DataTable[[#This Row],[E. Game Compl.]]="Nothing",0,IF(DataTable[[#This Row],[E. Game Compl.]]="Challenging the Tower",5,IF(DataTable[[#This Row],[E. Game Compl.]]="Scaling the Tower",15,)))</f>
        <v>0</v>
      </c>
      <c r="J469">
        <f>Table2[[#This Row],[AUTO Pts]]+Table2[[#This Row],[Shooting Pts.]]+Table2[[#This Row],[Def. Points]]+Table2[[#This Row],[E. Game Pts.]]</f>
        <v>0</v>
      </c>
    </row>
    <row r="470" spans="1:10" x14ac:dyDescent="0.25">
      <c r="A470">
        <f>DataTable[[#This Row],[Tm.]]</f>
        <v>0</v>
      </c>
      <c r="B470">
        <f>DataTable[[#This Row],[Match Nr.]]</f>
        <v>0</v>
      </c>
      <c r="C4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0">
        <f>DataTable[[#This Row],[Successful Lo. G. S]]*2+DataTable[[#This Row],[Successful Hi. G. S.]]*10</f>
        <v>0</v>
      </c>
      <c r="H4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0">
        <f>IF(DataTable[[#This Row],[E. Game Compl.]]="Nothing",0,IF(DataTable[[#This Row],[E. Game Compl.]]="Challenging the Tower",5,IF(DataTable[[#This Row],[E. Game Compl.]]="Scaling the Tower",15,)))</f>
        <v>0</v>
      </c>
      <c r="J470">
        <f>Table2[[#This Row],[AUTO Pts]]+Table2[[#This Row],[Shooting Pts.]]+Table2[[#This Row],[Def. Points]]+Table2[[#This Row],[E. Game Pts.]]</f>
        <v>0</v>
      </c>
    </row>
    <row r="471" spans="1:10" x14ac:dyDescent="0.25">
      <c r="A471">
        <f>DataTable[[#This Row],[Tm.]]</f>
        <v>0</v>
      </c>
      <c r="B471">
        <f>DataTable[[#This Row],[Match Nr.]]</f>
        <v>0</v>
      </c>
      <c r="C4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1">
        <f>DataTable[[#This Row],[Successful Lo. G. S]]*2+DataTable[[#This Row],[Successful Hi. G. S.]]*10</f>
        <v>0</v>
      </c>
      <c r="H4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1">
        <f>IF(DataTable[[#This Row],[E. Game Compl.]]="Nothing",0,IF(DataTable[[#This Row],[E. Game Compl.]]="Challenging the Tower",5,IF(DataTable[[#This Row],[E. Game Compl.]]="Scaling the Tower",15,)))</f>
        <v>0</v>
      </c>
      <c r="J471">
        <f>Table2[[#This Row],[AUTO Pts]]+Table2[[#This Row],[Shooting Pts.]]+Table2[[#This Row],[Def. Points]]+Table2[[#This Row],[E. Game Pts.]]</f>
        <v>0</v>
      </c>
    </row>
    <row r="472" spans="1:10" x14ac:dyDescent="0.25">
      <c r="A472">
        <f>DataTable[[#This Row],[Tm.]]</f>
        <v>0</v>
      </c>
      <c r="B472">
        <f>DataTable[[#This Row],[Match Nr.]]</f>
        <v>0</v>
      </c>
      <c r="C4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2">
        <f>DataTable[[#This Row],[Successful Lo. G. S]]*2+DataTable[[#This Row],[Successful Hi. G. S.]]*10</f>
        <v>0</v>
      </c>
      <c r="H4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2">
        <f>IF(DataTable[[#This Row],[E. Game Compl.]]="Nothing",0,IF(DataTable[[#This Row],[E. Game Compl.]]="Challenging the Tower",5,IF(DataTable[[#This Row],[E. Game Compl.]]="Scaling the Tower",15,)))</f>
        <v>0</v>
      </c>
      <c r="J472">
        <f>Table2[[#This Row],[AUTO Pts]]+Table2[[#This Row],[Shooting Pts.]]+Table2[[#This Row],[Def. Points]]+Table2[[#This Row],[E. Game Pts.]]</f>
        <v>0</v>
      </c>
    </row>
    <row r="473" spans="1:10" x14ac:dyDescent="0.25">
      <c r="A473">
        <f>DataTable[[#This Row],[Tm.]]</f>
        <v>0</v>
      </c>
      <c r="B473">
        <f>DataTable[[#This Row],[Match Nr.]]</f>
        <v>0</v>
      </c>
      <c r="C4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3">
        <f>DataTable[[#This Row],[Successful Lo. G. S]]*2+DataTable[[#This Row],[Successful Hi. G. S.]]*10</f>
        <v>0</v>
      </c>
      <c r="H4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3">
        <f>IF(DataTable[[#This Row],[E. Game Compl.]]="Nothing",0,IF(DataTable[[#This Row],[E. Game Compl.]]="Challenging the Tower",5,IF(DataTable[[#This Row],[E. Game Compl.]]="Scaling the Tower",15,)))</f>
        <v>0</v>
      </c>
      <c r="J473">
        <f>Table2[[#This Row],[AUTO Pts]]+Table2[[#This Row],[Shooting Pts.]]+Table2[[#This Row],[Def. Points]]+Table2[[#This Row],[E. Game Pts.]]</f>
        <v>0</v>
      </c>
    </row>
    <row r="474" spans="1:10" x14ac:dyDescent="0.25">
      <c r="A474">
        <f>DataTable[[#This Row],[Tm.]]</f>
        <v>0</v>
      </c>
      <c r="B474">
        <f>DataTable[[#This Row],[Match Nr.]]</f>
        <v>0</v>
      </c>
      <c r="C4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4">
        <f>DataTable[[#This Row],[Successful Lo. G. S]]*2+DataTable[[#This Row],[Successful Hi. G. S.]]*10</f>
        <v>0</v>
      </c>
      <c r="H4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4">
        <f>IF(DataTable[[#This Row],[E. Game Compl.]]="Nothing",0,IF(DataTable[[#This Row],[E. Game Compl.]]="Challenging the Tower",5,IF(DataTable[[#This Row],[E. Game Compl.]]="Scaling the Tower",15,)))</f>
        <v>0</v>
      </c>
      <c r="J474">
        <f>Table2[[#This Row],[AUTO Pts]]+Table2[[#This Row],[Shooting Pts.]]+Table2[[#This Row],[Def. Points]]+Table2[[#This Row],[E. Game Pts.]]</f>
        <v>0</v>
      </c>
    </row>
    <row r="475" spans="1:10" x14ac:dyDescent="0.25">
      <c r="A475">
        <f>DataTable[[#This Row],[Tm.]]</f>
        <v>0</v>
      </c>
      <c r="B475">
        <f>DataTable[[#This Row],[Match Nr.]]</f>
        <v>0</v>
      </c>
      <c r="C4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5">
        <f>DataTable[[#This Row],[Successful Lo. G. S]]*2+DataTable[[#This Row],[Successful Hi. G. S.]]*10</f>
        <v>0</v>
      </c>
      <c r="H4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5">
        <f>IF(DataTable[[#This Row],[E. Game Compl.]]="Nothing",0,IF(DataTable[[#This Row],[E. Game Compl.]]="Challenging the Tower",5,IF(DataTable[[#This Row],[E. Game Compl.]]="Scaling the Tower",15,)))</f>
        <v>0</v>
      </c>
      <c r="J475">
        <f>Table2[[#This Row],[AUTO Pts]]+Table2[[#This Row],[Shooting Pts.]]+Table2[[#This Row],[Def. Points]]+Table2[[#This Row],[E. Game Pts.]]</f>
        <v>0</v>
      </c>
    </row>
    <row r="476" spans="1:10" x14ac:dyDescent="0.25">
      <c r="A476">
        <f>DataTable[[#This Row],[Tm.]]</f>
        <v>0</v>
      </c>
      <c r="B476">
        <f>DataTable[[#This Row],[Match Nr.]]</f>
        <v>0</v>
      </c>
      <c r="C4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6">
        <f>DataTable[[#This Row],[Successful Lo. G. S]]*2+DataTable[[#This Row],[Successful Hi. G. S.]]*10</f>
        <v>0</v>
      </c>
      <c r="H4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6">
        <f>IF(DataTable[[#This Row],[E. Game Compl.]]="Nothing",0,IF(DataTable[[#This Row],[E. Game Compl.]]="Challenging the Tower",5,IF(DataTable[[#This Row],[E. Game Compl.]]="Scaling the Tower",15,)))</f>
        <v>0</v>
      </c>
      <c r="J476">
        <f>Table2[[#This Row],[AUTO Pts]]+Table2[[#This Row],[Shooting Pts.]]+Table2[[#This Row],[Def. Points]]+Table2[[#This Row],[E. Game Pts.]]</f>
        <v>0</v>
      </c>
    </row>
    <row r="477" spans="1:10" x14ac:dyDescent="0.25">
      <c r="A477">
        <f>DataTable[[#This Row],[Tm.]]</f>
        <v>0</v>
      </c>
      <c r="B477">
        <f>DataTable[[#This Row],[Match Nr.]]</f>
        <v>0</v>
      </c>
      <c r="C4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7">
        <f>DataTable[[#This Row],[Successful Lo. G. S]]*2+DataTable[[#This Row],[Successful Hi. G. S.]]*10</f>
        <v>0</v>
      </c>
      <c r="H4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7">
        <f>IF(DataTable[[#This Row],[E. Game Compl.]]="Nothing",0,IF(DataTable[[#This Row],[E. Game Compl.]]="Challenging the Tower",5,IF(DataTable[[#This Row],[E. Game Compl.]]="Scaling the Tower",15,)))</f>
        <v>0</v>
      </c>
      <c r="J477">
        <f>Table2[[#This Row],[AUTO Pts]]+Table2[[#This Row],[Shooting Pts.]]+Table2[[#This Row],[Def. Points]]+Table2[[#This Row],[E. Game Pts.]]</f>
        <v>0</v>
      </c>
    </row>
    <row r="478" spans="1:10" x14ac:dyDescent="0.25">
      <c r="A478">
        <f>DataTable[[#This Row],[Tm.]]</f>
        <v>0</v>
      </c>
      <c r="B478">
        <f>DataTable[[#This Row],[Match Nr.]]</f>
        <v>0</v>
      </c>
      <c r="C4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8">
        <f>DataTable[[#This Row],[Successful Lo. G. S]]*2+DataTable[[#This Row],[Successful Hi. G. S.]]*10</f>
        <v>0</v>
      </c>
      <c r="H4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8">
        <f>IF(DataTable[[#This Row],[E. Game Compl.]]="Nothing",0,IF(DataTable[[#This Row],[E. Game Compl.]]="Challenging the Tower",5,IF(DataTable[[#This Row],[E. Game Compl.]]="Scaling the Tower",15,)))</f>
        <v>0</v>
      </c>
      <c r="J478">
        <f>Table2[[#This Row],[AUTO Pts]]+Table2[[#This Row],[Shooting Pts.]]+Table2[[#This Row],[Def. Points]]+Table2[[#This Row],[E. Game Pts.]]</f>
        <v>0</v>
      </c>
    </row>
    <row r="479" spans="1:10" x14ac:dyDescent="0.25">
      <c r="A479">
        <f>DataTable[[#This Row],[Tm.]]</f>
        <v>0</v>
      </c>
      <c r="B479">
        <f>DataTable[[#This Row],[Match Nr.]]</f>
        <v>0</v>
      </c>
      <c r="C4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9">
        <f>DataTable[[#This Row],[Successful Lo. G. S]]*2+DataTable[[#This Row],[Successful Hi. G. S.]]*10</f>
        <v>0</v>
      </c>
      <c r="H4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9">
        <f>IF(DataTable[[#This Row],[E. Game Compl.]]="Nothing",0,IF(DataTable[[#This Row],[E. Game Compl.]]="Challenging the Tower",5,IF(DataTable[[#This Row],[E. Game Compl.]]="Scaling the Tower",15,)))</f>
        <v>0</v>
      </c>
      <c r="J479">
        <f>Table2[[#This Row],[AUTO Pts]]+Table2[[#This Row],[Shooting Pts.]]+Table2[[#This Row],[Def. Points]]+Table2[[#This Row],[E. Game Pts.]]</f>
        <v>0</v>
      </c>
    </row>
    <row r="480" spans="1:10" x14ac:dyDescent="0.25">
      <c r="A480">
        <f>DataTable[[#This Row],[Tm.]]</f>
        <v>0</v>
      </c>
      <c r="B480">
        <f>DataTable[[#This Row],[Match Nr.]]</f>
        <v>0</v>
      </c>
      <c r="C4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0">
        <f>DataTable[[#This Row],[Successful Lo. G. S]]*2+DataTable[[#This Row],[Successful Hi. G. S.]]*10</f>
        <v>0</v>
      </c>
      <c r="H4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0">
        <f>IF(DataTable[[#This Row],[E. Game Compl.]]="Nothing",0,IF(DataTable[[#This Row],[E. Game Compl.]]="Challenging the Tower",5,IF(DataTable[[#This Row],[E. Game Compl.]]="Scaling the Tower",15,)))</f>
        <v>0</v>
      </c>
      <c r="J480">
        <f>Table2[[#This Row],[AUTO Pts]]+Table2[[#This Row],[Shooting Pts.]]+Table2[[#This Row],[Def. Points]]+Table2[[#This Row],[E. Game Pts.]]</f>
        <v>0</v>
      </c>
    </row>
    <row r="481" spans="1:10" x14ac:dyDescent="0.25">
      <c r="A481">
        <f>DataTable[[#This Row],[Tm.]]</f>
        <v>0</v>
      </c>
      <c r="B481">
        <f>DataTable[[#This Row],[Match Nr.]]</f>
        <v>0</v>
      </c>
      <c r="C4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1">
        <f>DataTable[[#This Row],[Successful Lo. G. S]]*2+DataTable[[#This Row],[Successful Hi. G. S.]]*10</f>
        <v>0</v>
      </c>
      <c r="H4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1">
        <f>IF(DataTable[[#This Row],[E. Game Compl.]]="Nothing",0,IF(DataTable[[#This Row],[E. Game Compl.]]="Challenging the Tower",5,IF(DataTable[[#This Row],[E. Game Compl.]]="Scaling the Tower",15,)))</f>
        <v>0</v>
      </c>
      <c r="J481">
        <f>Table2[[#This Row],[AUTO Pts]]+Table2[[#This Row],[Shooting Pts.]]+Table2[[#This Row],[Def. Points]]+Table2[[#This Row],[E. Game Pts.]]</f>
        <v>0</v>
      </c>
    </row>
    <row r="482" spans="1:10" x14ac:dyDescent="0.25">
      <c r="A482">
        <f>DataTable[[#This Row],[Tm.]]</f>
        <v>0</v>
      </c>
      <c r="B482">
        <f>DataTable[[#This Row],[Match Nr.]]</f>
        <v>0</v>
      </c>
      <c r="C4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2">
        <f>DataTable[[#This Row],[Successful Lo. G. S]]*2+DataTable[[#This Row],[Successful Hi. G. S.]]*10</f>
        <v>0</v>
      </c>
      <c r="H4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2">
        <f>IF(DataTable[[#This Row],[E. Game Compl.]]="Nothing",0,IF(DataTable[[#This Row],[E. Game Compl.]]="Challenging the Tower",5,IF(DataTable[[#This Row],[E. Game Compl.]]="Scaling the Tower",15,)))</f>
        <v>0</v>
      </c>
      <c r="J482">
        <f>Table2[[#This Row],[AUTO Pts]]+Table2[[#This Row],[Shooting Pts.]]+Table2[[#This Row],[Def. Points]]+Table2[[#This Row],[E. Game Pts.]]</f>
        <v>0</v>
      </c>
    </row>
    <row r="483" spans="1:10" x14ac:dyDescent="0.25">
      <c r="A483">
        <f>DataTable[[#This Row],[Tm.]]</f>
        <v>0</v>
      </c>
      <c r="B483">
        <f>DataTable[[#This Row],[Match Nr.]]</f>
        <v>0</v>
      </c>
      <c r="C4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3">
        <f>DataTable[[#This Row],[Successful Lo. G. S]]*2+DataTable[[#This Row],[Successful Hi. G. S.]]*10</f>
        <v>0</v>
      </c>
      <c r="H4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3">
        <f>IF(DataTable[[#This Row],[E. Game Compl.]]="Nothing",0,IF(DataTable[[#This Row],[E. Game Compl.]]="Challenging the Tower",5,IF(DataTable[[#This Row],[E. Game Compl.]]="Scaling the Tower",15,)))</f>
        <v>0</v>
      </c>
      <c r="J483">
        <f>Table2[[#This Row],[AUTO Pts]]+Table2[[#This Row],[Shooting Pts.]]+Table2[[#This Row],[Def. Points]]+Table2[[#This Row],[E. Game Pts.]]</f>
        <v>0</v>
      </c>
    </row>
    <row r="484" spans="1:10" x14ac:dyDescent="0.25">
      <c r="A484">
        <f>DataTable[[#This Row],[Tm.]]</f>
        <v>0</v>
      </c>
      <c r="B484">
        <f>DataTable[[#This Row],[Match Nr.]]</f>
        <v>0</v>
      </c>
      <c r="C4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4">
        <f>DataTable[[#This Row],[Successful Lo. G. S]]*2+DataTable[[#This Row],[Successful Hi. G. S.]]*10</f>
        <v>0</v>
      </c>
      <c r="H4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4">
        <f>IF(DataTable[[#This Row],[E. Game Compl.]]="Nothing",0,IF(DataTable[[#This Row],[E. Game Compl.]]="Challenging the Tower",5,IF(DataTable[[#This Row],[E. Game Compl.]]="Scaling the Tower",15,)))</f>
        <v>0</v>
      </c>
      <c r="J484">
        <f>Table2[[#This Row],[AUTO Pts]]+Table2[[#This Row],[Shooting Pts.]]+Table2[[#This Row],[Def. Points]]+Table2[[#This Row],[E. Game Pts.]]</f>
        <v>0</v>
      </c>
    </row>
    <row r="485" spans="1:10" x14ac:dyDescent="0.25">
      <c r="A485">
        <f>DataTable[[#This Row],[Tm.]]</f>
        <v>0</v>
      </c>
      <c r="B485">
        <f>DataTable[[#This Row],[Match Nr.]]</f>
        <v>0</v>
      </c>
      <c r="C4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5">
        <f>DataTable[[#This Row],[Successful Lo. G. S]]*2+DataTable[[#This Row],[Successful Hi. G. S.]]*10</f>
        <v>0</v>
      </c>
      <c r="H4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5">
        <f>IF(DataTable[[#This Row],[E. Game Compl.]]="Nothing",0,IF(DataTable[[#This Row],[E. Game Compl.]]="Challenging the Tower",5,IF(DataTable[[#This Row],[E. Game Compl.]]="Scaling the Tower",15,)))</f>
        <v>0</v>
      </c>
      <c r="J485">
        <f>Table2[[#This Row],[AUTO Pts]]+Table2[[#This Row],[Shooting Pts.]]+Table2[[#This Row],[Def. Points]]+Table2[[#This Row],[E. Game Pts.]]</f>
        <v>0</v>
      </c>
    </row>
    <row r="486" spans="1:10" x14ac:dyDescent="0.25">
      <c r="A486">
        <f>DataTable[[#This Row],[Tm.]]</f>
        <v>0</v>
      </c>
      <c r="B486">
        <f>DataTable[[#This Row],[Match Nr.]]</f>
        <v>0</v>
      </c>
      <c r="C4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6">
        <f>DataTable[[#This Row],[Successful Lo. G. S]]*2+DataTable[[#This Row],[Successful Hi. G. S.]]*10</f>
        <v>0</v>
      </c>
      <c r="H4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6">
        <f>IF(DataTable[[#This Row],[E. Game Compl.]]="Nothing",0,IF(DataTable[[#This Row],[E. Game Compl.]]="Challenging the Tower",5,IF(DataTable[[#This Row],[E. Game Compl.]]="Scaling the Tower",15,)))</f>
        <v>0</v>
      </c>
      <c r="J486">
        <f>Table2[[#This Row],[AUTO Pts]]+Table2[[#This Row],[Shooting Pts.]]+Table2[[#This Row],[Def. Points]]+Table2[[#This Row],[E. Game Pts.]]</f>
        <v>0</v>
      </c>
    </row>
    <row r="487" spans="1:10" x14ac:dyDescent="0.25">
      <c r="A487">
        <f>DataTable[[#This Row],[Tm.]]</f>
        <v>0</v>
      </c>
      <c r="B487">
        <f>DataTable[[#This Row],[Match Nr.]]</f>
        <v>0</v>
      </c>
      <c r="C4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7">
        <f>DataTable[[#This Row],[Successful Lo. G. S]]*2+DataTable[[#This Row],[Successful Hi. G. S.]]*10</f>
        <v>0</v>
      </c>
      <c r="H4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7">
        <f>IF(DataTable[[#This Row],[E. Game Compl.]]="Nothing",0,IF(DataTable[[#This Row],[E. Game Compl.]]="Challenging the Tower",5,IF(DataTable[[#This Row],[E. Game Compl.]]="Scaling the Tower",15,)))</f>
        <v>0</v>
      </c>
      <c r="J487">
        <f>Table2[[#This Row],[AUTO Pts]]+Table2[[#This Row],[Shooting Pts.]]+Table2[[#This Row],[Def. Points]]+Table2[[#This Row],[E. Game Pts.]]</f>
        <v>0</v>
      </c>
    </row>
    <row r="488" spans="1:10" x14ac:dyDescent="0.25">
      <c r="A488">
        <f>DataTable[[#This Row],[Tm.]]</f>
        <v>0</v>
      </c>
      <c r="B488">
        <f>DataTable[[#This Row],[Match Nr.]]</f>
        <v>0</v>
      </c>
      <c r="C4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8">
        <f>DataTable[[#This Row],[Successful Lo. G. S]]*2+DataTable[[#This Row],[Successful Hi. G. S.]]*10</f>
        <v>0</v>
      </c>
      <c r="H4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8">
        <f>IF(DataTable[[#This Row],[E. Game Compl.]]="Nothing",0,IF(DataTable[[#This Row],[E. Game Compl.]]="Challenging the Tower",5,IF(DataTable[[#This Row],[E. Game Compl.]]="Scaling the Tower",15,)))</f>
        <v>0</v>
      </c>
      <c r="J488">
        <f>Table2[[#This Row],[AUTO Pts]]+Table2[[#This Row],[Shooting Pts.]]+Table2[[#This Row],[Def. Points]]+Table2[[#This Row],[E. Game Pts.]]</f>
        <v>0</v>
      </c>
    </row>
    <row r="489" spans="1:10" x14ac:dyDescent="0.25">
      <c r="A489">
        <f>DataTable[[#This Row],[Tm.]]</f>
        <v>0</v>
      </c>
      <c r="B489">
        <f>DataTable[[#This Row],[Match Nr.]]</f>
        <v>0</v>
      </c>
      <c r="C4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9">
        <f>DataTable[[#This Row],[Successful Lo. G. S]]*2+DataTable[[#This Row],[Successful Hi. G. S.]]*10</f>
        <v>0</v>
      </c>
      <c r="H4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9">
        <f>IF(DataTable[[#This Row],[E. Game Compl.]]="Nothing",0,IF(DataTable[[#This Row],[E. Game Compl.]]="Challenging the Tower",5,IF(DataTable[[#This Row],[E. Game Compl.]]="Scaling the Tower",15,)))</f>
        <v>0</v>
      </c>
      <c r="J489">
        <f>Table2[[#This Row],[AUTO Pts]]+Table2[[#This Row],[Shooting Pts.]]+Table2[[#This Row],[Def. Points]]+Table2[[#This Row],[E. Game Pts.]]</f>
        <v>0</v>
      </c>
    </row>
    <row r="490" spans="1:10" x14ac:dyDescent="0.25">
      <c r="A490">
        <f>DataTable[[#This Row],[Tm.]]</f>
        <v>0</v>
      </c>
      <c r="B490">
        <f>DataTable[[#This Row],[Match Nr.]]</f>
        <v>0</v>
      </c>
      <c r="C4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0">
        <f>DataTable[[#This Row],[Successful Lo. G. S]]*2+DataTable[[#This Row],[Successful Hi. G. S.]]*10</f>
        <v>0</v>
      </c>
      <c r="H4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0">
        <f>IF(DataTable[[#This Row],[E. Game Compl.]]="Nothing",0,IF(DataTable[[#This Row],[E. Game Compl.]]="Challenging the Tower",5,IF(DataTable[[#This Row],[E. Game Compl.]]="Scaling the Tower",15,)))</f>
        <v>0</v>
      </c>
      <c r="J490">
        <f>Table2[[#This Row],[AUTO Pts]]+Table2[[#This Row],[Shooting Pts.]]+Table2[[#This Row],[Def. Points]]+Table2[[#This Row],[E. Game Pts.]]</f>
        <v>0</v>
      </c>
    </row>
    <row r="491" spans="1:10" x14ac:dyDescent="0.25">
      <c r="A491">
        <f>DataTable[[#This Row],[Tm.]]</f>
        <v>0</v>
      </c>
      <c r="B491">
        <f>DataTable[[#This Row],[Match Nr.]]</f>
        <v>0</v>
      </c>
      <c r="C4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1">
        <f>DataTable[[#This Row],[Successful Lo. G. S]]*2+DataTable[[#This Row],[Successful Hi. G. S.]]*10</f>
        <v>0</v>
      </c>
      <c r="H4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1">
        <f>IF(DataTable[[#This Row],[E. Game Compl.]]="Nothing",0,IF(DataTable[[#This Row],[E. Game Compl.]]="Challenging the Tower",5,IF(DataTable[[#This Row],[E. Game Compl.]]="Scaling the Tower",15,)))</f>
        <v>0</v>
      </c>
      <c r="J491">
        <f>Table2[[#This Row],[AUTO Pts]]+Table2[[#This Row],[Shooting Pts.]]+Table2[[#This Row],[Def. Points]]+Table2[[#This Row],[E. Game Pts.]]</f>
        <v>0</v>
      </c>
    </row>
    <row r="492" spans="1:10" x14ac:dyDescent="0.25">
      <c r="A492">
        <f>DataTable[[#This Row],[Tm.]]</f>
        <v>0</v>
      </c>
      <c r="B492">
        <f>DataTable[[#This Row],[Match Nr.]]</f>
        <v>0</v>
      </c>
      <c r="C4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2">
        <f>DataTable[[#This Row],[Successful Lo. G. S]]*2+DataTable[[#This Row],[Successful Hi. G. S.]]*10</f>
        <v>0</v>
      </c>
      <c r="H4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2">
        <f>IF(DataTable[[#This Row],[E. Game Compl.]]="Nothing",0,IF(DataTable[[#This Row],[E. Game Compl.]]="Challenging the Tower",5,IF(DataTable[[#This Row],[E. Game Compl.]]="Scaling the Tower",15,)))</f>
        <v>0</v>
      </c>
      <c r="J492">
        <f>Table2[[#This Row],[AUTO Pts]]+Table2[[#This Row],[Shooting Pts.]]+Table2[[#This Row],[Def. Points]]+Table2[[#This Row],[E. Game Pts.]]</f>
        <v>0</v>
      </c>
    </row>
    <row r="493" spans="1:10" x14ac:dyDescent="0.25">
      <c r="A493">
        <f>DataTable[[#This Row],[Tm.]]</f>
        <v>0</v>
      </c>
      <c r="B493">
        <f>DataTable[[#This Row],[Match Nr.]]</f>
        <v>0</v>
      </c>
      <c r="C4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3">
        <f>DataTable[[#This Row],[Successful Lo. G. S]]*2+DataTable[[#This Row],[Successful Hi. G. S.]]*10</f>
        <v>0</v>
      </c>
      <c r="H4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3">
        <f>IF(DataTable[[#This Row],[E. Game Compl.]]="Nothing",0,IF(DataTable[[#This Row],[E. Game Compl.]]="Challenging the Tower",5,IF(DataTable[[#This Row],[E. Game Compl.]]="Scaling the Tower",15,)))</f>
        <v>0</v>
      </c>
      <c r="J493">
        <f>Table2[[#This Row],[AUTO Pts]]+Table2[[#This Row],[Shooting Pts.]]+Table2[[#This Row],[Def. Points]]+Table2[[#This Row],[E. Game Pts.]]</f>
        <v>0</v>
      </c>
    </row>
    <row r="494" spans="1:10" x14ac:dyDescent="0.25">
      <c r="A494">
        <f>DataTable[[#This Row],[Tm.]]</f>
        <v>0</v>
      </c>
      <c r="B494">
        <f>DataTable[[#This Row],[Match Nr.]]</f>
        <v>0</v>
      </c>
      <c r="C4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4">
        <f>DataTable[[#This Row],[Successful Lo. G. S]]*2+DataTable[[#This Row],[Successful Hi. G. S.]]*10</f>
        <v>0</v>
      </c>
      <c r="H4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4">
        <f>IF(DataTable[[#This Row],[E. Game Compl.]]="Nothing",0,IF(DataTable[[#This Row],[E. Game Compl.]]="Challenging the Tower",5,IF(DataTable[[#This Row],[E. Game Compl.]]="Scaling the Tower",15,)))</f>
        <v>0</v>
      </c>
      <c r="J494">
        <f>Table2[[#This Row],[AUTO Pts]]+Table2[[#This Row],[Shooting Pts.]]+Table2[[#This Row],[Def. Points]]+Table2[[#This Row],[E. Game Pts.]]</f>
        <v>0</v>
      </c>
    </row>
    <row r="495" spans="1:10" x14ac:dyDescent="0.25">
      <c r="A495">
        <f>DataTable[[#This Row],[Tm.]]</f>
        <v>0</v>
      </c>
      <c r="B495">
        <f>DataTable[[#This Row],[Match Nr.]]</f>
        <v>0</v>
      </c>
      <c r="C4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5">
        <f>DataTable[[#This Row],[Successful Lo. G. S]]*2+DataTable[[#This Row],[Successful Hi. G. S.]]*10</f>
        <v>0</v>
      </c>
      <c r="H4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5">
        <f>IF(DataTable[[#This Row],[E. Game Compl.]]="Nothing",0,IF(DataTable[[#This Row],[E. Game Compl.]]="Challenging the Tower",5,IF(DataTable[[#This Row],[E. Game Compl.]]="Scaling the Tower",15,)))</f>
        <v>0</v>
      </c>
      <c r="J495">
        <f>Table2[[#This Row],[AUTO Pts]]+Table2[[#This Row],[Shooting Pts.]]+Table2[[#This Row],[Def. Points]]+Table2[[#This Row],[E. Game Pts.]]</f>
        <v>0</v>
      </c>
    </row>
    <row r="496" spans="1:10" x14ac:dyDescent="0.25">
      <c r="A496">
        <f>DataTable[[#This Row],[Tm.]]</f>
        <v>0</v>
      </c>
      <c r="B496">
        <f>DataTable[[#This Row],[Match Nr.]]</f>
        <v>0</v>
      </c>
      <c r="C4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6">
        <f>DataTable[[#This Row],[Successful Lo. G. S]]*2+DataTable[[#This Row],[Successful Hi. G. S.]]*10</f>
        <v>0</v>
      </c>
      <c r="H4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6">
        <f>IF(DataTable[[#This Row],[E. Game Compl.]]="Nothing",0,IF(DataTable[[#This Row],[E. Game Compl.]]="Challenging the Tower",5,IF(DataTable[[#This Row],[E. Game Compl.]]="Scaling the Tower",15,)))</f>
        <v>0</v>
      </c>
      <c r="J496">
        <f>Table2[[#This Row],[AUTO Pts]]+Table2[[#This Row],[Shooting Pts.]]+Table2[[#This Row],[Def. Points]]+Table2[[#This Row],[E. Game Pts.]]</f>
        <v>0</v>
      </c>
    </row>
    <row r="497" spans="1:10" x14ac:dyDescent="0.25">
      <c r="A497">
        <f>DataTable[[#This Row],[Tm.]]</f>
        <v>0</v>
      </c>
      <c r="B497">
        <f>DataTable[[#This Row],[Match Nr.]]</f>
        <v>0</v>
      </c>
      <c r="C4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7">
        <f>DataTable[[#This Row],[Successful Lo. G. S]]*2+DataTable[[#This Row],[Successful Hi. G. S.]]*10</f>
        <v>0</v>
      </c>
      <c r="H4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7">
        <f>IF(DataTable[[#This Row],[E. Game Compl.]]="Nothing",0,IF(DataTable[[#This Row],[E. Game Compl.]]="Challenging the Tower",5,IF(DataTable[[#This Row],[E. Game Compl.]]="Scaling the Tower",15,)))</f>
        <v>0</v>
      </c>
      <c r="J497">
        <f>Table2[[#This Row],[AUTO Pts]]+Table2[[#This Row],[Shooting Pts.]]+Table2[[#This Row],[Def. Points]]+Table2[[#This Row],[E. Game Pts.]]</f>
        <v>0</v>
      </c>
    </row>
    <row r="498" spans="1:10" x14ac:dyDescent="0.25">
      <c r="A498">
        <f>DataTable[[#This Row],[Tm.]]</f>
        <v>0</v>
      </c>
      <c r="B498">
        <f>DataTable[[#This Row],[Match Nr.]]</f>
        <v>0</v>
      </c>
      <c r="C4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8">
        <f>DataTable[[#This Row],[Successful Lo. G. S]]*2+DataTable[[#This Row],[Successful Hi. G. S.]]*10</f>
        <v>0</v>
      </c>
      <c r="H4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8">
        <f>IF(DataTable[[#This Row],[E. Game Compl.]]="Nothing",0,IF(DataTable[[#This Row],[E. Game Compl.]]="Challenging the Tower",5,IF(DataTable[[#This Row],[E. Game Compl.]]="Scaling the Tower",15,)))</f>
        <v>0</v>
      </c>
      <c r="J498">
        <f>Table2[[#This Row],[AUTO Pts]]+Table2[[#This Row],[Shooting Pts.]]+Table2[[#This Row],[Def. Points]]+Table2[[#This Row],[E. Game Pts.]]</f>
        <v>0</v>
      </c>
    </row>
    <row r="499" spans="1:10" x14ac:dyDescent="0.25">
      <c r="A499">
        <f>DataTable[[#This Row],[Tm.]]</f>
        <v>0</v>
      </c>
      <c r="B499">
        <f>DataTable[[#This Row],[Match Nr.]]</f>
        <v>0</v>
      </c>
      <c r="C4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9">
        <f>DataTable[[#This Row],[Successful Lo. G. S]]*2+DataTable[[#This Row],[Successful Hi. G. S.]]*10</f>
        <v>0</v>
      </c>
      <c r="H4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9">
        <f>IF(DataTable[[#This Row],[E. Game Compl.]]="Nothing",0,IF(DataTable[[#This Row],[E. Game Compl.]]="Challenging the Tower",5,IF(DataTable[[#This Row],[E. Game Compl.]]="Scaling the Tower",15,)))</f>
        <v>0</v>
      </c>
      <c r="J499">
        <f>Table2[[#This Row],[AUTO Pts]]+Table2[[#This Row],[Shooting Pts.]]+Table2[[#This Row],[Def. Points]]+Table2[[#This Row],[E. Game Pts.]]</f>
        <v>0</v>
      </c>
    </row>
    <row r="500" spans="1:10" x14ac:dyDescent="0.25">
      <c r="A500">
        <f>DataTable[[#This Row],[Tm.]]</f>
        <v>0</v>
      </c>
      <c r="B500">
        <f>DataTable[[#This Row],[Match Nr.]]</f>
        <v>0</v>
      </c>
      <c r="C5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0">
        <f>DataTable[[#This Row],[Successful Lo. G. S]]*2+DataTable[[#This Row],[Successful Hi. G. S.]]*10</f>
        <v>0</v>
      </c>
      <c r="H5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0">
        <f>IF(DataTable[[#This Row],[E. Game Compl.]]="Nothing",0,IF(DataTable[[#This Row],[E. Game Compl.]]="Challenging the Tower",5,IF(DataTable[[#This Row],[E. Game Compl.]]="Scaling the Tower",15,)))</f>
        <v>0</v>
      </c>
      <c r="J500">
        <f>Table2[[#This Row],[AUTO Pts]]+Table2[[#This Row],[Shooting Pts.]]+Table2[[#This Row],[Def. Points]]+Table2[[#This Row],[E. Game Pts.]]</f>
        <v>0</v>
      </c>
    </row>
    <row r="501" spans="1:10" x14ac:dyDescent="0.25">
      <c r="A501">
        <f>DataTable[[#This Row],[Tm.]]</f>
        <v>0</v>
      </c>
      <c r="B501">
        <f>DataTable[[#This Row],[Match Nr.]]</f>
        <v>0</v>
      </c>
      <c r="C5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1">
        <f>DataTable[[#This Row],[Successful Lo. G. S]]*2+DataTable[[#This Row],[Successful Hi. G. S.]]*10</f>
        <v>0</v>
      </c>
      <c r="H5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1">
        <f>IF(DataTable[[#This Row],[E. Game Compl.]]="Nothing",0,IF(DataTable[[#This Row],[E. Game Compl.]]="Challenging the Tower",5,IF(DataTable[[#This Row],[E. Game Compl.]]="Scaling the Tower",15,)))</f>
        <v>0</v>
      </c>
      <c r="J501">
        <f>Table2[[#This Row],[AUTO Pts]]+Table2[[#This Row],[Shooting Pts.]]+Table2[[#This Row],[Def. Points]]+Table2[[#This Row],[E. Game Pts.]]</f>
        <v>0</v>
      </c>
    </row>
    <row r="502" spans="1:10" x14ac:dyDescent="0.25">
      <c r="A502">
        <f>DataTable[[#This Row],[Tm.]]</f>
        <v>0</v>
      </c>
      <c r="B502">
        <f>DataTable[[#This Row],[Match Nr.]]</f>
        <v>0</v>
      </c>
      <c r="C5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2">
        <f>DataTable[[#This Row],[Successful Lo. G. S]]*2+DataTable[[#This Row],[Successful Hi. G. S.]]*10</f>
        <v>0</v>
      </c>
      <c r="H5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2">
        <f>IF(DataTable[[#This Row],[E. Game Compl.]]="Nothing",0,IF(DataTable[[#This Row],[E. Game Compl.]]="Challenging the Tower",5,IF(DataTable[[#This Row],[E. Game Compl.]]="Scaling the Tower",15,)))</f>
        <v>0</v>
      </c>
      <c r="J502">
        <f>Table2[[#This Row],[AUTO Pts]]+Table2[[#This Row],[Shooting Pts.]]+Table2[[#This Row],[Def. Points]]+Table2[[#This Row],[E. Game Pts.]]</f>
        <v>0</v>
      </c>
    </row>
    <row r="503" spans="1:10" x14ac:dyDescent="0.25">
      <c r="A503">
        <f>DataTable[[#This Row],[Tm.]]</f>
        <v>0</v>
      </c>
      <c r="B503">
        <f>DataTable[[#This Row],[Match Nr.]]</f>
        <v>0</v>
      </c>
      <c r="C5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3">
        <f>DataTable[[#This Row],[Successful Lo. G. S]]*2+DataTable[[#This Row],[Successful Hi. G. S.]]*10</f>
        <v>0</v>
      </c>
      <c r="H5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3">
        <f>IF(DataTable[[#This Row],[E. Game Compl.]]="Nothing",0,IF(DataTable[[#This Row],[E. Game Compl.]]="Challenging the Tower",5,IF(DataTable[[#This Row],[E. Game Compl.]]="Scaling the Tower",15,)))</f>
        <v>0</v>
      </c>
      <c r="J503">
        <f>Table2[[#This Row],[AUTO Pts]]+Table2[[#This Row],[Shooting Pts.]]+Table2[[#This Row],[Def. Points]]+Table2[[#This Row],[E. Game Pts.]]</f>
        <v>0</v>
      </c>
    </row>
    <row r="504" spans="1:10" x14ac:dyDescent="0.25">
      <c r="A504">
        <f>DataTable[[#This Row],[Tm.]]</f>
        <v>0</v>
      </c>
      <c r="B504">
        <f>DataTable[[#This Row],[Match Nr.]]</f>
        <v>0</v>
      </c>
      <c r="C5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4">
        <f>DataTable[[#This Row],[Successful Lo. G. S]]*2+DataTable[[#This Row],[Successful Hi. G. S.]]*10</f>
        <v>0</v>
      </c>
      <c r="H5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4">
        <f>IF(DataTable[[#This Row],[E. Game Compl.]]="Nothing",0,IF(DataTable[[#This Row],[E. Game Compl.]]="Challenging the Tower",5,IF(DataTable[[#This Row],[E. Game Compl.]]="Scaling the Tower",15,)))</f>
        <v>0</v>
      </c>
      <c r="J504">
        <f>Table2[[#This Row],[AUTO Pts]]+Table2[[#This Row],[Shooting Pts.]]+Table2[[#This Row],[Def. Points]]+Table2[[#This Row],[E. Game Pts.]]</f>
        <v>0</v>
      </c>
    </row>
    <row r="505" spans="1:10" x14ac:dyDescent="0.25">
      <c r="A505">
        <f>DataTable[[#This Row],[Tm.]]</f>
        <v>0</v>
      </c>
      <c r="B505">
        <f>DataTable[[#This Row],[Match Nr.]]</f>
        <v>0</v>
      </c>
      <c r="C5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5">
        <f>DataTable[[#This Row],[Successful Lo. G. S]]*2+DataTable[[#This Row],[Successful Hi. G. S.]]*10</f>
        <v>0</v>
      </c>
      <c r="H5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5">
        <f>IF(DataTable[[#This Row],[E. Game Compl.]]="Nothing",0,IF(DataTable[[#This Row],[E. Game Compl.]]="Challenging the Tower",5,IF(DataTable[[#This Row],[E. Game Compl.]]="Scaling the Tower",15,)))</f>
        <v>0</v>
      </c>
      <c r="J505">
        <f>Table2[[#This Row],[AUTO Pts]]+Table2[[#This Row],[Shooting Pts.]]+Table2[[#This Row],[Def. Points]]+Table2[[#This Row],[E. Game Pts.]]</f>
        <v>0</v>
      </c>
    </row>
    <row r="506" spans="1:10" x14ac:dyDescent="0.25">
      <c r="A506">
        <f>DataTable[[#This Row],[Tm.]]</f>
        <v>0</v>
      </c>
      <c r="B506">
        <f>DataTable[[#This Row],[Match Nr.]]</f>
        <v>0</v>
      </c>
      <c r="C5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6">
        <f>DataTable[[#This Row],[Successful Lo. G. S]]*2+DataTable[[#This Row],[Successful Hi. G. S.]]*10</f>
        <v>0</v>
      </c>
      <c r="H5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6">
        <f>IF(DataTable[[#This Row],[E. Game Compl.]]="Nothing",0,IF(DataTable[[#This Row],[E. Game Compl.]]="Challenging the Tower",5,IF(DataTable[[#This Row],[E. Game Compl.]]="Scaling the Tower",15,)))</f>
        <v>0</v>
      </c>
      <c r="J506">
        <f>Table2[[#This Row],[AUTO Pts]]+Table2[[#This Row],[Shooting Pts.]]+Table2[[#This Row],[Def. Points]]+Table2[[#This Row],[E. Game Pts.]]</f>
        <v>0</v>
      </c>
    </row>
    <row r="507" spans="1:10" x14ac:dyDescent="0.25">
      <c r="A507">
        <f>DataTable[[#This Row],[Tm.]]</f>
        <v>0</v>
      </c>
      <c r="B507">
        <f>DataTable[[#This Row],[Match Nr.]]</f>
        <v>0</v>
      </c>
      <c r="C5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7">
        <f>DataTable[[#This Row],[Successful Lo. G. S]]*2+DataTable[[#This Row],[Successful Hi. G. S.]]*10</f>
        <v>0</v>
      </c>
      <c r="H5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7">
        <f>IF(DataTable[[#This Row],[E. Game Compl.]]="Nothing",0,IF(DataTable[[#This Row],[E. Game Compl.]]="Challenging the Tower",5,IF(DataTable[[#This Row],[E. Game Compl.]]="Scaling the Tower",15,)))</f>
        <v>0</v>
      </c>
      <c r="J507">
        <f>Table2[[#This Row],[AUTO Pts]]+Table2[[#This Row],[Shooting Pts.]]+Table2[[#This Row],[Def. Points]]+Table2[[#This Row],[E. Game Pts.]]</f>
        <v>0</v>
      </c>
    </row>
    <row r="508" spans="1:10" x14ac:dyDescent="0.25">
      <c r="A508">
        <f>DataTable[[#This Row],[Tm.]]</f>
        <v>0</v>
      </c>
      <c r="B508">
        <f>DataTable[[#This Row],[Match Nr.]]</f>
        <v>0</v>
      </c>
      <c r="C5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8">
        <f>DataTable[[#This Row],[Successful Lo. G. S]]*2+DataTable[[#This Row],[Successful Hi. G. S.]]*10</f>
        <v>0</v>
      </c>
      <c r="H5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8">
        <f>IF(DataTable[[#This Row],[E. Game Compl.]]="Nothing",0,IF(DataTable[[#This Row],[E. Game Compl.]]="Challenging the Tower",5,IF(DataTable[[#This Row],[E. Game Compl.]]="Scaling the Tower",15,)))</f>
        <v>0</v>
      </c>
      <c r="J508">
        <f>Table2[[#This Row],[AUTO Pts]]+Table2[[#This Row],[Shooting Pts.]]+Table2[[#This Row],[Def. Points]]+Table2[[#This Row],[E. Game Pts.]]</f>
        <v>0</v>
      </c>
    </row>
    <row r="509" spans="1:10" x14ac:dyDescent="0.25">
      <c r="A509">
        <f>DataTable[[#This Row],[Tm.]]</f>
        <v>0</v>
      </c>
      <c r="B509">
        <f>DataTable[[#This Row],[Match Nr.]]</f>
        <v>0</v>
      </c>
      <c r="C5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9">
        <f>DataTable[[#This Row],[Successful Lo. G. S]]*2+DataTable[[#This Row],[Successful Hi. G. S.]]*10</f>
        <v>0</v>
      </c>
      <c r="H5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9">
        <f>IF(DataTable[[#This Row],[E. Game Compl.]]="Nothing",0,IF(DataTable[[#This Row],[E. Game Compl.]]="Challenging the Tower",5,IF(DataTable[[#This Row],[E. Game Compl.]]="Scaling the Tower",15,)))</f>
        <v>0</v>
      </c>
      <c r="J509">
        <f>Table2[[#This Row],[AUTO Pts]]+Table2[[#This Row],[Shooting Pts.]]+Table2[[#This Row],[Def. Points]]+Table2[[#This Row],[E. Game Pts.]]</f>
        <v>0</v>
      </c>
    </row>
    <row r="510" spans="1:10" x14ac:dyDescent="0.25">
      <c r="A510">
        <f>DataTable[[#This Row],[Tm.]]</f>
        <v>0</v>
      </c>
      <c r="B510">
        <f>DataTable[[#This Row],[Match Nr.]]</f>
        <v>0</v>
      </c>
      <c r="C5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0">
        <f>DataTable[[#This Row],[Successful Lo. G. S]]*2+DataTable[[#This Row],[Successful Hi. G. S.]]*10</f>
        <v>0</v>
      </c>
      <c r="H5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0">
        <f>IF(DataTable[[#This Row],[E. Game Compl.]]="Nothing",0,IF(DataTable[[#This Row],[E. Game Compl.]]="Challenging the Tower",5,IF(DataTable[[#This Row],[E. Game Compl.]]="Scaling the Tower",15,)))</f>
        <v>0</v>
      </c>
      <c r="J510">
        <f>Table2[[#This Row],[AUTO Pts]]+Table2[[#This Row],[Shooting Pts.]]+Table2[[#This Row],[Def. Points]]+Table2[[#This Row],[E. Game Pts.]]</f>
        <v>0</v>
      </c>
    </row>
    <row r="511" spans="1:10" x14ac:dyDescent="0.25">
      <c r="A511">
        <f>DataTable[[#This Row],[Tm.]]</f>
        <v>0</v>
      </c>
      <c r="B511">
        <f>DataTable[[#This Row],[Match Nr.]]</f>
        <v>0</v>
      </c>
      <c r="C5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1">
        <f>DataTable[[#This Row],[Successful Lo. G. S]]*2+DataTable[[#This Row],[Successful Hi. G. S.]]*10</f>
        <v>0</v>
      </c>
      <c r="H5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1">
        <f>IF(DataTable[[#This Row],[E. Game Compl.]]="Nothing",0,IF(DataTable[[#This Row],[E. Game Compl.]]="Challenging the Tower",5,IF(DataTable[[#This Row],[E. Game Compl.]]="Scaling the Tower",15,)))</f>
        <v>0</v>
      </c>
      <c r="J511">
        <f>Table2[[#This Row],[AUTO Pts]]+Table2[[#This Row],[Shooting Pts.]]+Table2[[#This Row],[Def. Points]]+Table2[[#This Row],[E. Game Pts.]]</f>
        <v>0</v>
      </c>
    </row>
    <row r="512" spans="1:10" x14ac:dyDescent="0.25">
      <c r="A512">
        <f>DataTable[[#This Row],[Tm.]]</f>
        <v>0</v>
      </c>
      <c r="B512">
        <f>DataTable[[#This Row],[Match Nr.]]</f>
        <v>0</v>
      </c>
      <c r="C5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2">
        <f>DataTable[[#This Row],[Successful Lo. G. S]]*2+DataTable[[#This Row],[Successful Hi. G. S.]]*10</f>
        <v>0</v>
      </c>
      <c r="H5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2">
        <f>IF(DataTable[[#This Row],[E. Game Compl.]]="Nothing",0,IF(DataTable[[#This Row],[E. Game Compl.]]="Challenging the Tower",5,IF(DataTable[[#This Row],[E. Game Compl.]]="Scaling the Tower",15,)))</f>
        <v>0</v>
      </c>
      <c r="J512">
        <f>Table2[[#This Row],[AUTO Pts]]+Table2[[#This Row],[Shooting Pts.]]+Table2[[#This Row],[Def. Points]]+Table2[[#This Row],[E. Game Pts.]]</f>
        <v>0</v>
      </c>
    </row>
    <row r="513" spans="1:10" x14ac:dyDescent="0.25">
      <c r="A513">
        <f>DataTable[[#This Row],[Tm.]]</f>
        <v>0</v>
      </c>
      <c r="B513">
        <f>DataTable[[#This Row],[Match Nr.]]</f>
        <v>0</v>
      </c>
      <c r="C5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3">
        <f>DataTable[[#This Row],[Successful Lo. G. S]]*2+DataTable[[#This Row],[Successful Hi. G. S.]]*10</f>
        <v>0</v>
      </c>
      <c r="H5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3">
        <f>IF(DataTable[[#This Row],[E. Game Compl.]]="Nothing",0,IF(DataTable[[#This Row],[E. Game Compl.]]="Challenging the Tower",5,IF(DataTable[[#This Row],[E. Game Compl.]]="Scaling the Tower",15,)))</f>
        <v>0</v>
      </c>
      <c r="J513">
        <f>Table2[[#This Row],[AUTO Pts]]+Table2[[#This Row],[Shooting Pts.]]+Table2[[#This Row],[Def. Points]]+Table2[[#This Row],[E. Game Pts.]]</f>
        <v>0</v>
      </c>
    </row>
    <row r="514" spans="1:10" x14ac:dyDescent="0.25">
      <c r="A514">
        <f>DataTable[[#This Row],[Tm.]]</f>
        <v>0</v>
      </c>
      <c r="B514">
        <f>DataTable[[#This Row],[Match Nr.]]</f>
        <v>0</v>
      </c>
      <c r="C5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4">
        <f>DataTable[[#This Row],[Successful Lo. G. S]]*2+DataTable[[#This Row],[Successful Hi. G. S.]]*10</f>
        <v>0</v>
      </c>
      <c r="H5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4">
        <f>IF(DataTable[[#This Row],[E. Game Compl.]]="Nothing",0,IF(DataTable[[#This Row],[E. Game Compl.]]="Challenging the Tower",5,IF(DataTable[[#This Row],[E. Game Compl.]]="Scaling the Tower",15,)))</f>
        <v>0</v>
      </c>
      <c r="J514">
        <f>Table2[[#This Row],[AUTO Pts]]+Table2[[#This Row],[Shooting Pts.]]+Table2[[#This Row],[Def. Points]]+Table2[[#This Row],[E. Game Pts.]]</f>
        <v>0</v>
      </c>
    </row>
    <row r="515" spans="1:10" x14ac:dyDescent="0.25">
      <c r="A515">
        <f>DataTable[[#This Row],[Tm.]]</f>
        <v>0</v>
      </c>
      <c r="B515">
        <f>DataTable[[#This Row],[Match Nr.]]</f>
        <v>0</v>
      </c>
      <c r="C5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5">
        <f>DataTable[[#This Row],[Successful Lo. G. S]]*2+DataTable[[#This Row],[Successful Hi. G. S.]]*10</f>
        <v>0</v>
      </c>
      <c r="H5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5">
        <f>IF(DataTable[[#This Row],[E. Game Compl.]]="Nothing",0,IF(DataTable[[#This Row],[E. Game Compl.]]="Challenging the Tower",5,IF(DataTable[[#This Row],[E. Game Compl.]]="Scaling the Tower",15,)))</f>
        <v>0</v>
      </c>
      <c r="J515">
        <f>Table2[[#This Row],[AUTO Pts]]+Table2[[#This Row],[Shooting Pts.]]+Table2[[#This Row],[Def. Points]]+Table2[[#This Row],[E. Game Pts.]]</f>
        <v>0</v>
      </c>
    </row>
    <row r="516" spans="1:10" x14ac:dyDescent="0.25">
      <c r="A516">
        <f>DataTable[[#This Row],[Tm.]]</f>
        <v>0</v>
      </c>
      <c r="B516">
        <f>DataTable[[#This Row],[Match Nr.]]</f>
        <v>0</v>
      </c>
      <c r="C5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6">
        <f>DataTable[[#This Row],[Successful Lo. G. S]]*2+DataTable[[#This Row],[Successful Hi. G. S.]]*10</f>
        <v>0</v>
      </c>
      <c r="H5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6">
        <f>IF(DataTable[[#This Row],[E. Game Compl.]]="Nothing",0,IF(DataTable[[#This Row],[E. Game Compl.]]="Challenging the Tower",5,IF(DataTable[[#This Row],[E. Game Compl.]]="Scaling the Tower",15,)))</f>
        <v>0</v>
      </c>
      <c r="J516">
        <f>Table2[[#This Row],[AUTO Pts]]+Table2[[#This Row],[Shooting Pts.]]+Table2[[#This Row],[Def. Points]]+Table2[[#This Row],[E. Game Pts.]]</f>
        <v>0</v>
      </c>
    </row>
    <row r="517" spans="1:10" x14ac:dyDescent="0.25">
      <c r="A517">
        <f>DataTable[[#This Row],[Tm.]]</f>
        <v>0</v>
      </c>
      <c r="B517">
        <f>DataTable[[#This Row],[Match Nr.]]</f>
        <v>0</v>
      </c>
      <c r="C5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7">
        <f>DataTable[[#This Row],[Successful Lo. G. S]]*2+DataTable[[#This Row],[Successful Hi. G. S.]]*10</f>
        <v>0</v>
      </c>
      <c r="H5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7">
        <f>IF(DataTable[[#This Row],[E. Game Compl.]]="Nothing",0,IF(DataTable[[#This Row],[E. Game Compl.]]="Challenging the Tower",5,IF(DataTable[[#This Row],[E. Game Compl.]]="Scaling the Tower",15,)))</f>
        <v>0</v>
      </c>
      <c r="J517">
        <f>Table2[[#This Row],[AUTO Pts]]+Table2[[#This Row],[Shooting Pts.]]+Table2[[#This Row],[Def. Points]]+Table2[[#This Row],[E. Game Pts.]]</f>
        <v>0</v>
      </c>
    </row>
    <row r="518" spans="1:10" x14ac:dyDescent="0.25">
      <c r="A518">
        <f>DataTable[[#This Row],[Tm.]]</f>
        <v>0</v>
      </c>
      <c r="B518">
        <f>DataTable[[#This Row],[Match Nr.]]</f>
        <v>0</v>
      </c>
      <c r="C5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8">
        <f>DataTable[[#This Row],[Successful Lo. G. S]]*2+DataTable[[#This Row],[Successful Hi. G. S.]]*10</f>
        <v>0</v>
      </c>
      <c r="H5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8">
        <f>IF(DataTable[[#This Row],[E. Game Compl.]]="Nothing",0,IF(DataTable[[#This Row],[E. Game Compl.]]="Challenging the Tower",5,IF(DataTable[[#This Row],[E. Game Compl.]]="Scaling the Tower",15,)))</f>
        <v>0</v>
      </c>
      <c r="J518">
        <f>Table2[[#This Row],[AUTO Pts]]+Table2[[#This Row],[Shooting Pts.]]+Table2[[#This Row],[Def. Points]]+Table2[[#This Row],[E. Game Pts.]]</f>
        <v>0</v>
      </c>
    </row>
    <row r="519" spans="1:10" x14ac:dyDescent="0.25">
      <c r="A519">
        <f>DataTable[[#This Row],[Tm.]]</f>
        <v>0</v>
      </c>
      <c r="B519">
        <f>DataTable[[#This Row],[Match Nr.]]</f>
        <v>0</v>
      </c>
      <c r="C5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9">
        <f>DataTable[[#This Row],[Successful Lo. G. S]]*2+DataTable[[#This Row],[Successful Hi. G. S.]]*10</f>
        <v>0</v>
      </c>
      <c r="H5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9">
        <f>IF(DataTable[[#This Row],[E. Game Compl.]]="Nothing",0,IF(DataTable[[#This Row],[E. Game Compl.]]="Challenging the Tower",5,IF(DataTable[[#This Row],[E. Game Compl.]]="Scaling the Tower",15,)))</f>
        <v>0</v>
      </c>
      <c r="J519">
        <f>Table2[[#This Row],[AUTO Pts]]+Table2[[#This Row],[Shooting Pts.]]+Table2[[#This Row],[Def. Points]]+Table2[[#This Row],[E. Game Pts.]]</f>
        <v>0</v>
      </c>
    </row>
    <row r="520" spans="1:10" x14ac:dyDescent="0.25">
      <c r="A520">
        <f>DataTable[[#This Row],[Tm.]]</f>
        <v>0</v>
      </c>
      <c r="B520">
        <f>DataTable[[#This Row],[Match Nr.]]</f>
        <v>0</v>
      </c>
      <c r="C5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0">
        <f>DataTable[[#This Row],[Successful Lo. G. S]]*2+DataTable[[#This Row],[Successful Hi. G. S.]]*10</f>
        <v>0</v>
      </c>
      <c r="H5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0">
        <f>IF(DataTable[[#This Row],[E. Game Compl.]]="Nothing",0,IF(DataTable[[#This Row],[E. Game Compl.]]="Challenging the Tower",5,IF(DataTable[[#This Row],[E. Game Compl.]]="Scaling the Tower",15,)))</f>
        <v>0</v>
      </c>
      <c r="J520">
        <f>Table2[[#This Row],[AUTO Pts]]+Table2[[#This Row],[Shooting Pts.]]+Table2[[#This Row],[Def. Points]]+Table2[[#This Row],[E. Game Pts.]]</f>
        <v>0</v>
      </c>
    </row>
    <row r="521" spans="1:10" x14ac:dyDescent="0.25">
      <c r="A521">
        <f>DataTable[[#This Row],[Tm.]]</f>
        <v>0</v>
      </c>
      <c r="B521">
        <f>DataTable[[#This Row],[Match Nr.]]</f>
        <v>0</v>
      </c>
      <c r="C5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1">
        <f>DataTable[[#This Row],[Successful Lo. G. S]]*2+DataTable[[#This Row],[Successful Hi. G. S.]]*10</f>
        <v>0</v>
      </c>
      <c r="H5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1">
        <f>IF(DataTable[[#This Row],[E. Game Compl.]]="Nothing",0,IF(DataTable[[#This Row],[E. Game Compl.]]="Challenging the Tower",5,IF(DataTable[[#This Row],[E. Game Compl.]]="Scaling the Tower",15,)))</f>
        <v>0</v>
      </c>
      <c r="J521">
        <f>Table2[[#This Row],[AUTO Pts]]+Table2[[#This Row],[Shooting Pts.]]+Table2[[#This Row],[Def. Points]]+Table2[[#This Row],[E. Game Pts.]]</f>
        <v>0</v>
      </c>
    </row>
    <row r="522" spans="1:10" x14ac:dyDescent="0.25">
      <c r="A522">
        <f>DataTable[[#This Row],[Tm.]]</f>
        <v>0</v>
      </c>
      <c r="B522">
        <f>DataTable[[#This Row],[Match Nr.]]</f>
        <v>0</v>
      </c>
      <c r="C5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2">
        <f>DataTable[[#This Row],[Successful Lo. G. S]]*2+DataTable[[#This Row],[Successful Hi. G. S.]]*10</f>
        <v>0</v>
      </c>
      <c r="H5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2">
        <f>IF(DataTable[[#This Row],[E. Game Compl.]]="Nothing",0,IF(DataTable[[#This Row],[E. Game Compl.]]="Challenging the Tower",5,IF(DataTable[[#This Row],[E. Game Compl.]]="Scaling the Tower",15,)))</f>
        <v>0</v>
      </c>
      <c r="J522">
        <f>Table2[[#This Row],[AUTO Pts]]+Table2[[#This Row],[Shooting Pts.]]+Table2[[#This Row],[Def. Points]]+Table2[[#This Row],[E. Game Pts.]]</f>
        <v>0</v>
      </c>
    </row>
    <row r="523" spans="1:10" x14ac:dyDescent="0.25">
      <c r="A523">
        <f>DataTable[[#This Row],[Tm.]]</f>
        <v>0</v>
      </c>
      <c r="B523">
        <f>DataTable[[#This Row],[Match Nr.]]</f>
        <v>0</v>
      </c>
      <c r="C5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3">
        <f>DataTable[[#This Row],[Successful Lo. G. S]]*2+DataTable[[#This Row],[Successful Hi. G. S.]]*10</f>
        <v>0</v>
      </c>
      <c r="H5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3">
        <f>IF(DataTable[[#This Row],[E. Game Compl.]]="Nothing",0,IF(DataTable[[#This Row],[E. Game Compl.]]="Challenging the Tower",5,IF(DataTable[[#This Row],[E. Game Compl.]]="Scaling the Tower",15,)))</f>
        <v>0</v>
      </c>
      <c r="J523">
        <f>Table2[[#This Row],[AUTO Pts]]+Table2[[#This Row],[Shooting Pts.]]+Table2[[#This Row],[Def. Points]]+Table2[[#This Row],[E. Game Pts.]]</f>
        <v>0</v>
      </c>
    </row>
    <row r="524" spans="1:10" x14ac:dyDescent="0.25">
      <c r="A524">
        <f>DataTable[[#This Row],[Tm.]]</f>
        <v>0</v>
      </c>
      <c r="B524">
        <f>DataTable[[#This Row],[Match Nr.]]</f>
        <v>0</v>
      </c>
      <c r="C5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4">
        <f>DataTable[[#This Row],[Successful Lo. G. S]]*2+DataTable[[#This Row],[Successful Hi. G. S.]]*10</f>
        <v>0</v>
      </c>
      <c r="H5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4">
        <f>IF(DataTable[[#This Row],[E. Game Compl.]]="Nothing",0,IF(DataTable[[#This Row],[E. Game Compl.]]="Challenging the Tower",5,IF(DataTable[[#This Row],[E. Game Compl.]]="Scaling the Tower",15,)))</f>
        <v>0</v>
      </c>
      <c r="J524">
        <f>Table2[[#This Row],[AUTO Pts]]+Table2[[#This Row],[Shooting Pts.]]+Table2[[#This Row],[Def. Points]]+Table2[[#This Row],[E. Game Pts.]]</f>
        <v>0</v>
      </c>
    </row>
    <row r="525" spans="1:10" x14ac:dyDescent="0.25">
      <c r="A525">
        <f>DataTable[[#This Row],[Tm.]]</f>
        <v>0</v>
      </c>
      <c r="B525">
        <f>DataTable[[#This Row],[Match Nr.]]</f>
        <v>0</v>
      </c>
      <c r="C5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5">
        <f>DataTable[[#This Row],[Successful Lo. G. S]]*2+DataTable[[#This Row],[Successful Hi. G. S.]]*10</f>
        <v>0</v>
      </c>
      <c r="H5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5">
        <f>IF(DataTable[[#This Row],[E. Game Compl.]]="Nothing",0,IF(DataTable[[#This Row],[E. Game Compl.]]="Challenging the Tower",5,IF(DataTable[[#This Row],[E. Game Compl.]]="Scaling the Tower",15,)))</f>
        <v>0</v>
      </c>
      <c r="J525">
        <f>Table2[[#This Row],[AUTO Pts]]+Table2[[#This Row],[Shooting Pts.]]+Table2[[#This Row],[Def. Points]]+Table2[[#This Row],[E. Game Pts.]]</f>
        <v>0</v>
      </c>
    </row>
    <row r="526" spans="1:10" x14ac:dyDescent="0.25">
      <c r="A526">
        <f>DataTable[[#This Row],[Tm.]]</f>
        <v>0</v>
      </c>
      <c r="B526">
        <f>DataTable[[#This Row],[Match Nr.]]</f>
        <v>0</v>
      </c>
      <c r="C5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6">
        <f>DataTable[[#This Row],[Successful Lo. G. S]]*2+DataTable[[#This Row],[Successful Hi. G. S.]]*10</f>
        <v>0</v>
      </c>
      <c r="H5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6">
        <f>IF(DataTable[[#This Row],[E. Game Compl.]]="Nothing",0,IF(DataTable[[#This Row],[E. Game Compl.]]="Challenging the Tower",5,IF(DataTable[[#This Row],[E. Game Compl.]]="Scaling the Tower",15,)))</f>
        <v>0</v>
      </c>
      <c r="J526">
        <f>Table2[[#This Row],[AUTO Pts]]+Table2[[#This Row],[Shooting Pts.]]+Table2[[#This Row],[Def. Points]]+Table2[[#This Row],[E. Game Pts.]]</f>
        <v>0</v>
      </c>
    </row>
    <row r="527" spans="1:10" x14ac:dyDescent="0.25">
      <c r="A527">
        <f>DataTable[[#This Row],[Tm.]]</f>
        <v>0</v>
      </c>
      <c r="B527">
        <f>DataTable[[#This Row],[Match Nr.]]</f>
        <v>0</v>
      </c>
      <c r="C5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7">
        <f>DataTable[[#This Row],[Successful Lo. G. S]]*2+DataTable[[#This Row],[Successful Hi. G. S.]]*10</f>
        <v>0</v>
      </c>
      <c r="H5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7">
        <f>IF(DataTable[[#This Row],[E. Game Compl.]]="Nothing",0,IF(DataTable[[#This Row],[E. Game Compl.]]="Challenging the Tower",5,IF(DataTable[[#This Row],[E. Game Compl.]]="Scaling the Tower",15,)))</f>
        <v>0</v>
      </c>
      <c r="J527">
        <f>Table2[[#This Row],[AUTO Pts]]+Table2[[#This Row],[Shooting Pts.]]+Table2[[#This Row],[Def. Points]]+Table2[[#This Row],[E. Game Pts.]]</f>
        <v>0</v>
      </c>
    </row>
    <row r="528" spans="1:10" x14ac:dyDescent="0.25">
      <c r="A528">
        <f>DataTable[[#This Row],[Tm.]]</f>
        <v>0</v>
      </c>
      <c r="B528">
        <f>DataTable[[#This Row],[Match Nr.]]</f>
        <v>0</v>
      </c>
      <c r="C5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8">
        <f>DataTable[[#This Row],[Successful Lo. G. S]]*2+DataTable[[#This Row],[Successful Hi. G. S.]]*10</f>
        <v>0</v>
      </c>
      <c r="H5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8">
        <f>IF(DataTable[[#This Row],[E. Game Compl.]]="Nothing",0,IF(DataTable[[#This Row],[E. Game Compl.]]="Challenging the Tower",5,IF(DataTable[[#This Row],[E. Game Compl.]]="Scaling the Tower",15,)))</f>
        <v>0</v>
      </c>
      <c r="J528">
        <f>Table2[[#This Row],[AUTO Pts]]+Table2[[#This Row],[Shooting Pts.]]+Table2[[#This Row],[Def. Points]]+Table2[[#This Row],[E. Game Pts.]]</f>
        <v>0</v>
      </c>
    </row>
    <row r="529" spans="1:10" x14ac:dyDescent="0.25">
      <c r="A529">
        <f>DataTable[[#This Row],[Tm.]]</f>
        <v>0</v>
      </c>
      <c r="B529">
        <f>DataTable[[#This Row],[Match Nr.]]</f>
        <v>0</v>
      </c>
      <c r="C5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9">
        <f>DataTable[[#This Row],[Successful Lo. G. S]]*2+DataTable[[#This Row],[Successful Hi. G. S.]]*10</f>
        <v>0</v>
      </c>
      <c r="H5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9">
        <f>IF(DataTable[[#This Row],[E. Game Compl.]]="Nothing",0,IF(DataTable[[#This Row],[E. Game Compl.]]="Challenging the Tower",5,IF(DataTable[[#This Row],[E. Game Compl.]]="Scaling the Tower",15,)))</f>
        <v>0</v>
      </c>
      <c r="J529">
        <f>Table2[[#This Row],[AUTO Pts]]+Table2[[#This Row],[Shooting Pts.]]+Table2[[#This Row],[Def. Points]]+Table2[[#This Row],[E. Game Pts.]]</f>
        <v>0</v>
      </c>
    </row>
    <row r="530" spans="1:10" x14ac:dyDescent="0.25">
      <c r="A530">
        <f>DataTable[[#This Row],[Tm.]]</f>
        <v>0</v>
      </c>
      <c r="B530">
        <f>DataTable[[#This Row],[Match Nr.]]</f>
        <v>0</v>
      </c>
      <c r="C5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0">
        <f>DataTable[[#This Row],[Successful Lo. G. S]]*2+DataTable[[#This Row],[Successful Hi. G. S.]]*10</f>
        <v>0</v>
      </c>
      <c r="H5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0">
        <f>IF(DataTable[[#This Row],[E. Game Compl.]]="Nothing",0,IF(DataTable[[#This Row],[E. Game Compl.]]="Challenging the Tower",5,IF(DataTable[[#This Row],[E. Game Compl.]]="Scaling the Tower",15,)))</f>
        <v>0</v>
      </c>
      <c r="J530">
        <f>Table2[[#This Row],[AUTO Pts]]+Table2[[#This Row],[Shooting Pts.]]+Table2[[#This Row],[Def. Points]]+Table2[[#This Row],[E. Game Pts.]]</f>
        <v>0</v>
      </c>
    </row>
    <row r="531" spans="1:10" x14ac:dyDescent="0.25">
      <c r="A531">
        <f>DataTable[[#This Row],[Tm.]]</f>
        <v>0</v>
      </c>
      <c r="B531">
        <f>DataTable[[#This Row],[Match Nr.]]</f>
        <v>0</v>
      </c>
      <c r="C5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1">
        <f>DataTable[[#This Row],[Successful Lo. G. S]]*2+DataTable[[#This Row],[Successful Hi. G. S.]]*10</f>
        <v>0</v>
      </c>
      <c r="H5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1">
        <f>IF(DataTable[[#This Row],[E. Game Compl.]]="Nothing",0,IF(DataTable[[#This Row],[E. Game Compl.]]="Challenging the Tower",5,IF(DataTable[[#This Row],[E. Game Compl.]]="Scaling the Tower",15,)))</f>
        <v>0</v>
      </c>
      <c r="J531">
        <f>Table2[[#This Row],[AUTO Pts]]+Table2[[#This Row],[Shooting Pts.]]+Table2[[#This Row],[Def. Points]]+Table2[[#This Row],[E. Game Pts.]]</f>
        <v>0</v>
      </c>
    </row>
    <row r="532" spans="1:10" x14ac:dyDescent="0.25">
      <c r="A532">
        <f>DataTable[[#This Row],[Tm.]]</f>
        <v>0</v>
      </c>
      <c r="B532">
        <f>DataTable[[#This Row],[Match Nr.]]</f>
        <v>0</v>
      </c>
      <c r="C5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2">
        <f>DataTable[[#This Row],[Successful Lo. G. S]]*2+DataTable[[#This Row],[Successful Hi. G. S.]]*10</f>
        <v>0</v>
      </c>
      <c r="H5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2">
        <f>IF(DataTable[[#This Row],[E. Game Compl.]]="Nothing",0,IF(DataTable[[#This Row],[E. Game Compl.]]="Challenging the Tower",5,IF(DataTable[[#This Row],[E. Game Compl.]]="Scaling the Tower",15,)))</f>
        <v>0</v>
      </c>
      <c r="J532">
        <f>Table2[[#This Row],[AUTO Pts]]+Table2[[#This Row],[Shooting Pts.]]+Table2[[#This Row],[Def. Points]]+Table2[[#This Row],[E. Game Pts.]]</f>
        <v>0</v>
      </c>
    </row>
    <row r="533" spans="1:10" x14ac:dyDescent="0.25">
      <c r="A533">
        <f>DataTable[[#This Row],[Tm.]]</f>
        <v>0</v>
      </c>
      <c r="B533">
        <f>DataTable[[#This Row],[Match Nr.]]</f>
        <v>0</v>
      </c>
      <c r="C5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3">
        <f>DataTable[[#This Row],[Successful Lo. G. S]]*2+DataTable[[#This Row],[Successful Hi. G. S.]]*10</f>
        <v>0</v>
      </c>
      <c r="H5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3">
        <f>IF(DataTable[[#This Row],[E. Game Compl.]]="Nothing",0,IF(DataTable[[#This Row],[E. Game Compl.]]="Challenging the Tower",5,IF(DataTable[[#This Row],[E. Game Compl.]]="Scaling the Tower",15,)))</f>
        <v>0</v>
      </c>
      <c r="J533">
        <f>Table2[[#This Row],[AUTO Pts]]+Table2[[#This Row],[Shooting Pts.]]+Table2[[#This Row],[Def. Points]]+Table2[[#This Row],[E. Game Pts.]]</f>
        <v>0</v>
      </c>
    </row>
    <row r="534" spans="1:10" x14ac:dyDescent="0.25">
      <c r="A534">
        <f>DataTable[[#This Row],[Tm.]]</f>
        <v>0</v>
      </c>
      <c r="B534">
        <f>DataTable[[#This Row],[Match Nr.]]</f>
        <v>0</v>
      </c>
      <c r="C5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4">
        <f>DataTable[[#This Row],[Successful Lo. G. S]]*2+DataTable[[#This Row],[Successful Hi. G. S.]]*10</f>
        <v>0</v>
      </c>
      <c r="H5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4">
        <f>IF(DataTable[[#This Row],[E. Game Compl.]]="Nothing",0,IF(DataTable[[#This Row],[E. Game Compl.]]="Challenging the Tower",5,IF(DataTable[[#This Row],[E. Game Compl.]]="Scaling the Tower",15,)))</f>
        <v>0</v>
      </c>
      <c r="J534">
        <f>Table2[[#This Row],[AUTO Pts]]+Table2[[#This Row],[Shooting Pts.]]+Table2[[#This Row],[Def. Points]]+Table2[[#This Row],[E. Game Pts.]]</f>
        <v>0</v>
      </c>
    </row>
    <row r="535" spans="1:10" x14ac:dyDescent="0.25">
      <c r="A535">
        <f>DataTable[[#This Row],[Tm.]]</f>
        <v>0</v>
      </c>
      <c r="B535">
        <f>DataTable[[#This Row],[Match Nr.]]</f>
        <v>0</v>
      </c>
      <c r="C5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5">
        <f>DataTable[[#This Row],[Successful Lo. G. S]]*2+DataTable[[#This Row],[Successful Hi. G. S.]]*10</f>
        <v>0</v>
      </c>
      <c r="H5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5">
        <f>IF(DataTable[[#This Row],[E. Game Compl.]]="Nothing",0,IF(DataTable[[#This Row],[E. Game Compl.]]="Challenging the Tower",5,IF(DataTable[[#This Row],[E. Game Compl.]]="Scaling the Tower",15,)))</f>
        <v>0</v>
      </c>
      <c r="J535">
        <f>Table2[[#This Row],[AUTO Pts]]+Table2[[#This Row],[Shooting Pts.]]+Table2[[#This Row],[Def. Points]]+Table2[[#This Row],[E. Game Pts.]]</f>
        <v>0</v>
      </c>
    </row>
    <row r="536" spans="1:10" x14ac:dyDescent="0.25">
      <c r="A536">
        <f>DataTable[[#This Row],[Tm.]]</f>
        <v>0</v>
      </c>
      <c r="B536">
        <f>DataTable[[#This Row],[Match Nr.]]</f>
        <v>0</v>
      </c>
      <c r="C5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6">
        <f>DataTable[[#This Row],[Successful Lo. G. S]]*2+DataTable[[#This Row],[Successful Hi. G. S.]]*10</f>
        <v>0</v>
      </c>
      <c r="H5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6">
        <f>IF(DataTable[[#This Row],[E. Game Compl.]]="Nothing",0,IF(DataTable[[#This Row],[E. Game Compl.]]="Challenging the Tower",5,IF(DataTable[[#This Row],[E. Game Compl.]]="Scaling the Tower",15,)))</f>
        <v>0</v>
      </c>
      <c r="J536">
        <f>Table2[[#This Row],[AUTO Pts]]+Table2[[#This Row],[Shooting Pts.]]+Table2[[#This Row],[Def. Points]]+Table2[[#This Row],[E. Game Pts.]]</f>
        <v>0</v>
      </c>
    </row>
    <row r="537" spans="1:10" x14ac:dyDescent="0.25">
      <c r="A537">
        <f>DataTable[[#This Row],[Tm.]]</f>
        <v>0</v>
      </c>
      <c r="B537">
        <f>DataTable[[#This Row],[Match Nr.]]</f>
        <v>0</v>
      </c>
      <c r="C5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7">
        <f>DataTable[[#This Row],[Successful Lo. G. S]]*2+DataTable[[#This Row],[Successful Hi. G. S.]]*10</f>
        <v>0</v>
      </c>
      <c r="H5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7">
        <f>IF(DataTable[[#This Row],[E. Game Compl.]]="Nothing",0,IF(DataTable[[#This Row],[E. Game Compl.]]="Challenging the Tower",5,IF(DataTable[[#This Row],[E. Game Compl.]]="Scaling the Tower",15,)))</f>
        <v>0</v>
      </c>
      <c r="J537">
        <f>Table2[[#This Row],[AUTO Pts]]+Table2[[#This Row],[Shooting Pts.]]+Table2[[#This Row],[Def. Points]]+Table2[[#This Row],[E. Game Pts.]]</f>
        <v>0</v>
      </c>
    </row>
    <row r="538" spans="1:10" x14ac:dyDescent="0.25">
      <c r="A538">
        <f>DataTable[[#This Row],[Tm.]]</f>
        <v>0</v>
      </c>
      <c r="B538">
        <f>DataTable[[#This Row],[Match Nr.]]</f>
        <v>0</v>
      </c>
      <c r="C5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8">
        <f>DataTable[[#This Row],[Successful Lo. G. S]]*2+DataTable[[#This Row],[Successful Hi. G. S.]]*10</f>
        <v>0</v>
      </c>
      <c r="H5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8">
        <f>IF(DataTable[[#This Row],[E. Game Compl.]]="Nothing",0,IF(DataTable[[#This Row],[E. Game Compl.]]="Challenging the Tower",5,IF(DataTable[[#This Row],[E. Game Compl.]]="Scaling the Tower",15,)))</f>
        <v>0</v>
      </c>
      <c r="J538">
        <f>Table2[[#This Row],[AUTO Pts]]+Table2[[#This Row],[Shooting Pts.]]+Table2[[#This Row],[Def. Points]]+Table2[[#This Row],[E. Game Pts.]]</f>
        <v>0</v>
      </c>
    </row>
    <row r="539" spans="1:10" x14ac:dyDescent="0.25">
      <c r="A539">
        <f>DataTable[[#This Row],[Tm.]]</f>
        <v>0</v>
      </c>
      <c r="B539">
        <f>DataTable[[#This Row],[Match Nr.]]</f>
        <v>0</v>
      </c>
      <c r="C5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9">
        <f>DataTable[[#This Row],[Successful Lo. G. S]]*2+DataTable[[#This Row],[Successful Hi. G. S.]]*10</f>
        <v>0</v>
      </c>
      <c r="H5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9">
        <f>IF(DataTable[[#This Row],[E. Game Compl.]]="Nothing",0,IF(DataTable[[#This Row],[E. Game Compl.]]="Challenging the Tower",5,IF(DataTable[[#This Row],[E. Game Compl.]]="Scaling the Tower",15,)))</f>
        <v>0</v>
      </c>
      <c r="J539">
        <f>Table2[[#This Row],[AUTO Pts]]+Table2[[#This Row],[Shooting Pts.]]+Table2[[#This Row],[Def. Points]]+Table2[[#This Row],[E. Game Pts.]]</f>
        <v>0</v>
      </c>
    </row>
    <row r="540" spans="1:10" x14ac:dyDescent="0.25">
      <c r="A540">
        <f>DataTable[[#This Row],[Tm.]]</f>
        <v>0</v>
      </c>
      <c r="B540">
        <f>DataTable[[#This Row],[Match Nr.]]</f>
        <v>0</v>
      </c>
      <c r="C5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0">
        <f>DataTable[[#This Row],[Successful Lo. G. S]]*2+DataTable[[#This Row],[Successful Hi. G. S.]]*10</f>
        <v>0</v>
      </c>
      <c r="H5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0">
        <f>IF(DataTable[[#This Row],[E. Game Compl.]]="Nothing",0,IF(DataTable[[#This Row],[E. Game Compl.]]="Challenging the Tower",5,IF(DataTable[[#This Row],[E. Game Compl.]]="Scaling the Tower",15,)))</f>
        <v>0</v>
      </c>
      <c r="J540">
        <f>Table2[[#This Row],[AUTO Pts]]+Table2[[#This Row],[Shooting Pts.]]+Table2[[#This Row],[Def. Points]]+Table2[[#This Row],[E. Game Pts.]]</f>
        <v>0</v>
      </c>
    </row>
    <row r="541" spans="1:10" x14ac:dyDescent="0.25">
      <c r="A541">
        <f>DataTable[[#This Row],[Tm.]]</f>
        <v>0</v>
      </c>
      <c r="B541">
        <f>DataTable[[#This Row],[Match Nr.]]</f>
        <v>0</v>
      </c>
      <c r="C5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1">
        <f>DataTable[[#This Row],[Successful Lo. G. S]]*2+DataTable[[#This Row],[Successful Hi. G. S.]]*10</f>
        <v>0</v>
      </c>
      <c r="H5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1">
        <f>IF(DataTable[[#This Row],[E. Game Compl.]]="Nothing",0,IF(DataTable[[#This Row],[E. Game Compl.]]="Challenging the Tower",5,IF(DataTable[[#This Row],[E. Game Compl.]]="Scaling the Tower",15,)))</f>
        <v>0</v>
      </c>
      <c r="J541">
        <f>Table2[[#This Row],[AUTO Pts]]+Table2[[#This Row],[Shooting Pts.]]+Table2[[#This Row],[Def. Points]]+Table2[[#This Row],[E. Game Pts.]]</f>
        <v>0</v>
      </c>
    </row>
    <row r="542" spans="1:10" x14ac:dyDescent="0.25">
      <c r="A542">
        <f>DataTable[[#This Row],[Tm.]]</f>
        <v>0</v>
      </c>
      <c r="B542">
        <f>DataTable[[#This Row],[Match Nr.]]</f>
        <v>0</v>
      </c>
      <c r="C5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2">
        <f>DataTable[[#This Row],[Successful Lo. G. S]]*2+DataTable[[#This Row],[Successful Hi. G. S.]]*10</f>
        <v>0</v>
      </c>
      <c r="H5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2">
        <f>IF(DataTable[[#This Row],[E. Game Compl.]]="Nothing",0,IF(DataTable[[#This Row],[E. Game Compl.]]="Challenging the Tower",5,IF(DataTable[[#This Row],[E. Game Compl.]]="Scaling the Tower",15,)))</f>
        <v>0</v>
      </c>
      <c r="J542">
        <f>Table2[[#This Row],[AUTO Pts]]+Table2[[#This Row],[Shooting Pts.]]+Table2[[#This Row],[Def. Points]]+Table2[[#This Row],[E. Game Pts.]]</f>
        <v>0</v>
      </c>
    </row>
    <row r="543" spans="1:10" x14ac:dyDescent="0.25">
      <c r="A543">
        <f>DataTable[[#This Row],[Tm.]]</f>
        <v>0</v>
      </c>
      <c r="B543">
        <f>DataTable[[#This Row],[Match Nr.]]</f>
        <v>0</v>
      </c>
      <c r="C5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3">
        <f>DataTable[[#This Row],[Successful Lo. G. S]]*2+DataTable[[#This Row],[Successful Hi. G. S.]]*10</f>
        <v>0</v>
      </c>
      <c r="H5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3">
        <f>IF(DataTable[[#This Row],[E. Game Compl.]]="Nothing",0,IF(DataTable[[#This Row],[E. Game Compl.]]="Challenging the Tower",5,IF(DataTable[[#This Row],[E. Game Compl.]]="Scaling the Tower",15,)))</f>
        <v>0</v>
      </c>
      <c r="J543">
        <f>Table2[[#This Row],[AUTO Pts]]+Table2[[#This Row],[Shooting Pts.]]+Table2[[#This Row],[Def. Points]]+Table2[[#This Row],[E. Game Pts.]]</f>
        <v>0</v>
      </c>
    </row>
    <row r="544" spans="1:10" x14ac:dyDescent="0.25">
      <c r="A544">
        <f>DataTable[[#This Row],[Tm.]]</f>
        <v>0</v>
      </c>
      <c r="B544">
        <f>DataTable[[#This Row],[Match Nr.]]</f>
        <v>0</v>
      </c>
      <c r="C5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4">
        <f>DataTable[[#This Row],[Successful Lo. G. S]]*2+DataTable[[#This Row],[Successful Hi. G. S.]]*10</f>
        <v>0</v>
      </c>
      <c r="H5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4">
        <f>IF(DataTable[[#This Row],[E. Game Compl.]]="Nothing",0,IF(DataTable[[#This Row],[E. Game Compl.]]="Challenging the Tower",5,IF(DataTable[[#This Row],[E. Game Compl.]]="Scaling the Tower",15,)))</f>
        <v>0</v>
      </c>
      <c r="J544">
        <f>Table2[[#This Row],[AUTO Pts]]+Table2[[#This Row],[Shooting Pts.]]+Table2[[#This Row],[Def. Points]]+Table2[[#This Row],[E. Game Pts.]]</f>
        <v>0</v>
      </c>
    </row>
    <row r="545" spans="1:10" x14ac:dyDescent="0.25">
      <c r="A545">
        <f>DataTable[[#This Row],[Tm.]]</f>
        <v>0</v>
      </c>
      <c r="B545">
        <f>DataTable[[#This Row],[Match Nr.]]</f>
        <v>0</v>
      </c>
      <c r="C5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5">
        <f>DataTable[[#This Row],[Successful Lo. G. S]]*2+DataTable[[#This Row],[Successful Hi. G. S.]]*10</f>
        <v>0</v>
      </c>
      <c r="H5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5">
        <f>IF(DataTable[[#This Row],[E. Game Compl.]]="Nothing",0,IF(DataTable[[#This Row],[E. Game Compl.]]="Challenging the Tower",5,IF(DataTable[[#This Row],[E. Game Compl.]]="Scaling the Tower",15,)))</f>
        <v>0</v>
      </c>
      <c r="J545">
        <f>Table2[[#This Row],[AUTO Pts]]+Table2[[#This Row],[Shooting Pts.]]+Table2[[#This Row],[Def. Points]]+Table2[[#This Row],[E. Game Pts.]]</f>
        <v>0</v>
      </c>
    </row>
    <row r="546" spans="1:10" x14ac:dyDescent="0.25">
      <c r="A546">
        <f>DataTable[[#This Row],[Tm.]]</f>
        <v>0</v>
      </c>
      <c r="B546">
        <f>DataTable[[#This Row],[Match Nr.]]</f>
        <v>0</v>
      </c>
      <c r="C5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6">
        <f>DataTable[[#This Row],[Successful Lo. G. S]]*2+DataTable[[#This Row],[Successful Hi. G. S.]]*10</f>
        <v>0</v>
      </c>
      <c r="H5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6">
        <f>IF(DataTable[[#This Row],[E. Game Compl.]]="Nothing",0,IF(DataTable[[#This Row],[E. Game Compl.]]="Challenging the Tower",5,IF(DataTable[[#This Row],[E. Game Compl.]]="Scaling the Tower",15,)))</f>
        <v>0</v>
      </c>
      <c r="J546">
        <f>Table2[[#This Row],[AUTO Pts]]+Table2[[#This Row],[Shooting Pts.]]+Table2[[#This Row],[Def. Points]]+Table2[[#This Row],[E. Game Pts.]]</f>
        <v>0</v>
      </c>
    </row>
    <row r="547" spans="1:10" x14ac:dyDescent="0.25">
      <c r="A547">
        <f>DataTable[[#This Row],[Tm.]]</f>
        <v>0</v>
      </c>
      <c r="B547">
        <f>DataTable[[#This Row],[Match Nr.]]</f>
        <v>0</v>
      </c>
      <c r="C5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7">
        <f>DataTable[[#This Row],[Successful Lo. G. S]]*2+DataTable[[#This Row],[Successful Hi. G. S.]]*10</f>
        <v>0</v>
      </c>
      <c r="H5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7">
        <f>IF(DataTable[[#This Row],[E. Game Compl.]]="Nothing",0,IF(DataTable[[#This Row],[E. Game Compl.]]="Challenging the Tower",5,IF(DataTable[[#This Row],[E. Game Compl.]]="Scaling the Tower",15,)))</f>
        <v>0</v>
      </c>
      <c r="J547">
        <f>Table2[[#This Row],[AUTO Pts]]+Table2[[#This Row],[Shooting Pts.]]+Table2[[#This Row],[Def. Points]]+Table2[[#This Row],[E. Game Pts.]]</f>
        <v>0</v>
      </c>
    </row>
    <row r="548" spans="1:10" x14ac:dyDescent="0.25">
      <c r="A548">
        <f>DataTable[[#This Row],[Tm.]]</f>
        <v>0</v>
      </c>
      <c r="B548">
        <f>DataTable[[#This Row],[Match Nr.]]</f>
        <v>0</v>
      </c>
      <c r="C5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8">
        <f>DataTable[[#This Row],[Successful Lo. G. S]]*2+DataTable[[#This Row],[Successful Hi. G. S.]]*10</f>
        <v>0</v>
      </c>
      <c r="H5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8">
        <f>IF(DataTable[[#This Row],[E. Game Compl.]]="Nothing",0,IF(DataTable[[#This Row],[E. Game Compl.]]="Challenging the Tower",5,IF(DataTable[[#This Row],[E. Game Compl.]]="Scaling the Tower",15,)))</f>
        <v>0</v>
      </c>
      <c r="J548">
        <f>Table2[[#This Row],[AUTO Pts]]+Table2[[#This Row],[Shooting Pts.]]+Table2[[#This Row],[Def. Points]]+Table2[[#This Row],[E. Game Pts.]]</f>
        <v>0</v>
      </c>
    </row>
    <row r="549" spans="1:10" x14ac:dyDescent="0.25">
      <c r="A549">
        <f>DataTable[[#This Row],[Tm.]]</f>
        <v>0</v>
      </c>
      <c r="B549">
        <f>DataTable[[#This Row],[Match Nr.]]</f>
        <v>0</v>
      </c>
      <c r="C5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9">
        <f>DataTable[[#This Row],[Successful Lo. G. S]]*2+DataTable[[#This Row],[Successful Hi. G. S.]]*10</f>
        <v>0</v>
      </c>
      <c r="H5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9">
        <f>IF(DataTable[[#This Row],[E. Game Compl.]]="Nothing",0,IF(DataTable[[#This Row],[E. Game Compl.]]="Challenging the Tower",5,IF(DataTable[[#This Row],[E. Game Compl.]]="Scaling the Tower",15,)))</f>
        <v>0</v>
      </c>
      <c r="J549">
        <f>Table2[[#This Row],[AUTO Pts]]+Table2[[#This Row],[Shooting Pts.]]+Table2[[#This Row],[Def. Points]]+Table2[[#This Row],[E. Game Pts.]]</f>
        <v>0</v>
      </c>
    </row>
    <row r="550" spans="1:10" x14ac:dyDescent="0.25">
      <c r="A550">
        <f>DataTable[[#This Row],[Tm.]]</f>
        <v>0</v>
      </c>
      <c r="B550">
        <f>DataTable[[#This Row],[Match Nr.]]</f>
        <v>0</v>
      </c>
      <c r="C5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0">
        <f>DataTable[[#This Row],[Successful Lo. G. S]]*2+DataTable[[#This Row],[Successful Hi. G. S.]]*10</f>
        <v>0</v>
      </c>
      <c r="H5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0">
        <f>IF(DataTable[[#This Row],[E. Game Compl.]]="Nothing",0,IF(DataTable[[#This Row],[E. Game Compl.]]="Challenging the Tower",5,IF(DataTable[[#This Row],[E. Game Compl.]]="Scaling the Tower",15,)))</f>
        <v>0</v>
      </c>
      <c r="J550">
        <f>Table2[[#This Row],[AUTO Pts]]+Table2[[#This Row],[Shooting Pts.]]+Table2[[#This Row],[Def. Points]]+Table2[[#This Row],[E. Game Pts.]]</f>
        <v>0</v>
      </c>
    </row>
    <row r="551" spans="1:10" x14ac:dyDescent="0.25">
      <c r="A551">
        <f>DataTable[[#This Row],[Tm.]]</f>
        <v>0</v>
      </c>
      <c r="B551">
        <f>DataTable[[#This Row],[Match Nr.]]</f>
        <v>0</v>
      </c>
      <c r="C5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1">
        <f>DataTable[[#This Row],[Successful Lo. G. S]]*2+DataTable[[#This Row],[Successful Hi. G. S.]]*10</f>
        <v>0</v>
      </c>
      <c r="H5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1">
        <f>IF(DataTable[[#This Row],[E. Game Compl.]]="Nothing",0,IF(DataTable[[#This Row],[E. Game Compl.]]="Challenging the Tower",5,IF(DataTable[[#This Row],[E. Game Compl.]]="Scaling the Tower",15,)))</f>
        <v>0</v>
      </c>
      <c r="J551">
        <f>Table2[[#This Row],[AUTO Pts]]+Table2[[#This Row],[Shooting Pts.]]+Table2[[#This Row],[Def. Points]]+Table2[[#This Row],[E. Game Pts.]]</f>
        <v>0</v>
      </c>
    </row>
    <row r="552" spans="1:10" x14ac:dyDescent="0.25">
      <c r="A552">
        <f>DataTable[[#This Row],[Tm.]]</f>
        <v>0</v>
      </c>
      <c r="B552">
        <f>DataTable[[#This Row],[Match Nr.]]</f>
        <v>0</v>
      </c>
      <c r="C5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2">
        <f>DataTable[[#This Row],[Successful Lo. G. S]]*2+DataTable[[#This Row],[Successful Hi. G. S.]]*10</f>
        <v>0</v>
      </c>
      <c r="H5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2">
        <f>IF(DataTable[[#This Row],[E. Game Compl.]]="Nothing",0,IF(DataTable[[#This Row],[E. Game Compl.]]="Challenging the Tower",5,IF(DataTable[[#This Row],[E. Game Compl.]]="Scaling the Tower",15,)))</f>
        <v>0</v>
      </c>
      <c r="J552">
        <f>Table2[[#This Row],[AUTO Pts]]+Table2[[#This Row],[Shooting Pts.]]+Table2[[#This Row],[Def. Points]]+Table2[[#This Row],[E. Game Pts.]]</f>
        <v>0</v>
      </c>
    </row>
    <row r="553" spans="1:10" x14ac:dyDescent="0.25">
      <c r="A553">
        <f>DataTable[[#This Row],[Tm.]]</f>
        <v>0</v>
      </c>
      <c r="B553">
        <f>DataTable[[#This Row],[Match Nr.]]</f>
        <v>0</v>
      </c>
      <c r="C5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3">
        <f>DataTable[[#This Row],[Successful Lo. G. S]]*2+DataTable[[#This Row],[Successful Hi. G. S.]]*10</f>
        <v>0</v>
      </c>
      <c r="H5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3">
        <f>IF(DataTable[[#This Row],[E. Game Compl.]]="Nothing",0,IF(DataTable[[#This Row],[E. Game Compl.]]="Challenging the Tower",5,IF(DataTable[[#This Row],[E. Game Compl.]]="Scaling the Tower",15,)))</f>
        <v>0</v>
      </c>
      <c r="J553">
        <f>Table2[[#This Row],[AUTO Pts]]+Table2[[#This Row],[Shooting Pts.]]+Table2[[#This Row],[Def. Points]]+Table2[[#This Row],[E. Game Pts.]]</f>
        <v>0</v>
      </c>
    </row>
    <row r="554" spans="1:10" x14ac:dyDescent="0.25">
      <c r="A554">
        <f>DataTable[[#This Row],[Tm.]]</f>
        <v>0</v>
      </c>
      <c r="B554">
        <f>DataTable[[#This Row],[Match Nr.]]</f>
        <v>0</v>
      </c>
      <c r="C5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4">
        <f>DataTable[[#This Row],[Successful Lo. G. S]]*2+DataTable[[#This Row],[Successful Hi. G. S.]]*10</f>
        <v>0</v>
      </c>
      <c r="H5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4">
        <f>IF(DataTable[[#This Row],[E. Game Compl.]]="Nothing",0,IF(DataTable[[#This Row],[E. Game Compl.]]="Challenging the Tower",5,IF(DataTable[[#This Row],[E. Game Compl.]]="Scaling the Tower",15,)))</f>
        <v>0</v>
      </c>
      <c r="J554">
        <f>Table2[[#This Row],[AUTO Pts]]+Table2[[#This Row],[Shooting Pts.]]+Table2[[#This Row],[Def. Points]]+Table2[[#This Row],[E. Game Pts.]]</f>
        <v>0</v>
      </c>
    </row>
    <row r="555" spans="1:10" x14ac:dyDescent="0.25">
      <c r="A555">
        <f>DataTable[[#This Row],[Tm.]]</f>
        <v>0</v>
      </c>
      <c r="B555">
        <f>DataTable[[#This Row],[Match Nr.]]</f>
        <v>0</v>
      </c>
      <c r="C5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5">
        <f>DataTable[[#This Row],[Successful Lo. G. S]]*2+DataTable[[#This Row],[Successful Hi. G. S.]]*10</f>
        <v>0</v>
      </c>
      <c r="H5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5">
        <f>IF(DataTable[[#This Row],[E. Game Compl.]]="Nothing",0,IF(DataTable[[#This Row],[E. Game Compl.]]="Challenging the Tower",5,IF(DataTable[[#This Row],[E. Game Compl.]]="Scaling the Tower",15,)))</f>
        <v>0</v>
      </c>
      <c r="J555">
        <f>Table2[[#This Row],[AUTO Pts]]+Table2[[#This Row],[Shooting Pts.]]+Table2[[#This Row],[Def. Points]]+Table2[[#This Row],[E. Game Pts.]]</f>
        <v>0</v>
      </c>
    </row>
    <row r="556" spans="1:10" x14ac:dyDescent="0.25">
      <c r="A556">
        <f>DataTable[[#This Row],[Tm.]]</f>
        <v>0</v>
      </c>
      <c r="B556">
        <f>DataTable[[#This Row],[Match Nr.]]</f>
        <v>0</v>
      </c>
      <c r="C5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6">
        <f>DataTable[[#This Row],[Successful Lo. G. S]]*2+DataTable[[#This Row],[Successful Hi. G. S.]]*10</f>
        <v>0</v>
      </c>
      <c r="H5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6">
        <f>IF(DataTable[[#This Row],[E. Game Compl.]]="Nothing",0,IF(DataTable[[#This Row],[E. Game Compl.]]="Challenging the Tower",5,IF(DataTable[[#This Row],[E. Game Compl.]]="Scaling the Tower",15,)))</f>
        <v>0</v>
      </c>
      <c r="J556">
        <f>Table2[[#This Row],[AUTO Pts]]+Table2[[#This Row],[Shooting Pts.]]+Table2[[#This Row],[Def. Points]]+Table2[[#This Row],[E. Game Pts.]]</f>
        <v>0</v>
      </c>
    </row>
    <row r="557" spans="1:10" x14ac:dyDescent="0.25">
      <c r="A557">
        <f>DataTable[[#This Row],[Tm.]]</f>
        <v>0</v>
      </c>
      <c r="B557">
        <f>DataTable[[#This Row],[Match Nr.]]</f>
        <v>0</v>
      </c>
      <c r="C5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7">
        <f>DataTable[[#This Row],[Successful Lo. G. S]]*2+DataTable[[#This Row],[Successful Hi. G. S.]]*10</f>
        <v>0</v>
      </c>
      <c r="H5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7">
        <f>IF(DataTable[[#This Row],[E. Game Compl.]]="Nothing",0,IF(DataTable[[#This Row],[E. Game Compl.]]="Challenging the Tower",5,IF(DataTable[[#This Row],[E. Game Compl.]]="Scaling the Tower",15,)))</f>
        <v>0</v>
      </c>
      <c r="J557">
        <f>Table2[[#This Row],[AUTO Pts]]+Table2[[#This Row],[Shooting Pts.]]+Table2[[#This Row],[Def. Points]]+Table2[[#This Row],[E. Game Pts.]]</f>
        <v>0</v>
      </c>
    </row>
    <row r="558" spans="1:10" x14ac:dyDescent="0.25">
      <c r="A558">
        <f>DataTable[[#This Row],[Tm.]]</f>
        <v>0</v>
      </c>
      <c r="B558">
        <f>DataTable[[#This Row],[Match Nr.]]</f>
        <v>0</v>
      </c>
      <c r="C5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8">
        <f>DataTable[[#This Row],[Successful Lo. G. S]]*2+DataTable[[#This Row],[Successful Hi. G. S.]]*10</f>
        <v>0</v>
      </c>
      <c r="H5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8">
        <f>IF(DataTable[[#This Row],[E. Game Compl.]]="Nothing",0,IF(DataTable[[#This Row],[E. Game Compl.]]="Challenging the Tower",5,IF(DataTable[[#This Row],[E. Game Compl.]]="Scaling the Tower",15,)))</f>
        <v>0</v>
      </c>
      <c r="J558">
        <f>Table2[[#This Row],[AUTO Pts]]+Table2[[#This Row],[Shooting Pts.]]+Table2[[#This Row],[Def. Points]]+Table2[[#This Row],[E. Game Pts.]]</f>
        <v>0</v>
      </c>
    </row>
    <row r="559" spans="1:10" x14ac:dyDescent="0.25">
      <c r="A559">
        <f>DataTable[[#This Row],[Tm.]]</f>
        <v>0</v>
      </c>
      <c r="B559">
        <f>DataTable[[#This Row],[Match Nr.]]</f>
        <v>0</v>
      </c>
      <c r="C5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9">
        <f>DataTable[[#This Row],[Successful Lo. G. S]]*2+DataTable[[#This Row],[Successful Hi. G. S.]]*10</f>
        <v>0</v>
      </c>
      <c r="H5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9">
        <f>IF(DataTable[[#This Row],[E. Game Compl.]]="Nothing",0,IF(DataTable[[#This Row],[E. Game Compl.]]="Challenging the Tower",5,IF(DataTable[[#This Row],[E. Game Compl.]]="Scaling the Tower",15,)))</f>
        <v>0</v>
      </c>
      <c r="J559">
        <f>Table2[[#This Row],[AUTO Pts]]+Table2[[#This Row],[Shooting Pts.]]+Table2[[#This Row],[Def. Points]]+Table2[[#This Row],[E. Game Pts.]]</f>
        <v>0</v>
      </c>
    </row>
    <row r="560" spans="1:10" x14ac:dyDescent="0.25">
      <c r="A560">
        <f>DataTable[[#This Row],[Tm.]]</f>
        <v>0</v>
      </c>
      <c r="B560">
        <f>DataTable[[#This Row],[Match Nr.]]</f>
        <v>0</v>
      </c>
      <c r="C5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0">
        <f>DataTable[[#This Row],[Successful Lo. G. S]]*2+DataTable[[#This Row],[Successful Hi. G. S.]]*10</f>
        <v>0</v>
      </c>
      <c r="H5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0">
        <f>IF(DataTable[[#This Row],[E. Game Compl.]]="Nothing",0,IF(DataTable[[#This Row],[E. Game Compl.]]="Challenging the Tower",5,IF(DataTable[[#This Row],[E. Game Compl.]]="Scaling the Tower",15,)))</f>
        <v>0</v>
      </c>
      <c r="J560">
        <f>Table2[[#This Row],[AUTO Pts]]+Table2[[#This Row],[Shooting Pts.]]+Table2[[#This Row],[Def. Points]]+Table2[[#This Row],[E. Game Pts.]]</f>
        <v>0</v>
      </c>
    </row>
    <row r="561" spans="1:10" x14ac:dyDescent="0.25">
      <c r="A561">
        <f>DataTable[[#This Row],[Tm.]]</f>
        <v>0</v>
      </c>
      <c r="B561">
        <f>DataTable[[#This Row],[Match Nr.]]</f>
        <v>0</v>
      </c>
      <c r="C5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1">
        <f>DataTable[[#This Row],[Successful Lo. G. S]]*2+DataTable[[#This Row],[Successful Hi. G. S.]]*10</f>
        <v>0</v>
      </c>
      <c r="H5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1">
        <f>IF(DataTable[[#This Row],[E. Game Compl.]]="Nothing",0,IF(DataTable[[#This Row],[E. Game Compl.]]="Challenging the Tower",5,IF(DataTable[[#This Row],[E. Game Compl.]]="Scaling the Tower",15,)))</f>
        <v>0</v>
      </c>
      <c r="J561">
        <f>Table2[[#This Row],[AUTO Pts]]+Table2[[#This Row],[Shooting Pts.]]+Table2[[#This Row],[Def. Points]]+Table2[[#This Row],[E. Game Pts.]]</f>
        <v>0</v>
      </c>
    </row>
    <row r="562" spans="1:10" x14ac:dyDescent="0.25">
      <c r="A562">
        <f>DataTable[[#This Row],[Tm.]]</f>
        <v>0</v>
      </c>
      <c r="B562">
        <f>DataTable[[#This Row],[Match Nr.]]</f>
        <v>0</v>
      </c>
      <c r="C5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2">
        <f>DataTable[[#This Row],[Successful Lo. G. S]]*2+DataTable[[#This Row],[Successful Hi. G. S.]]*10</f>
        <v>0</v>
      </c>
      <c r="H5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2">
        <f>IF(DataTable[[#This Row],[E. Game Compl.]]="Nothing",0,IF(DataTable[[#This Row],[E. Game Compl.]]="Challenging the Tower",5,IF(DataTable[[#This Row],[E. Game Compl.]]="Scaling the Tower",15,)))</f>
        <v>0</v>
      </c>
      <c r="J562">
        <f>Table2[[#This Row],[AUTO Pts]]+Table2[[#This Row],[Shooting Pts.]]+Table2[[#This Row],[Def. Points]]+Table2[[#This Row],[E. Game Pts.]]</f>
        <v>0</v>
      </c>
    </row>
    <row r="563" spans="1:10" x14ac:dyDescent="0.25">
      <c r="A563">
        <f>DataTable[[#This Row],[Tm.]]</f>
        <v>0</v>
      </c>
      <c r="B563">
        <f>DataTable[[#This Row],[Match Nr.]]</f>
        <v>0</v>
      </c>
      <c r="C5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3">
        <f>DataTable[[#This Row],[Successful Lo. G. S]]*2+DataTable[[#This Row],[Successful Hi. G. S.]]*10</f>
        <v>0</v>
      </c>
      <c r="H5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3">
        <f>IF(DataTable[[#This Row],[E. Game Compl.]]="Nothing",0,IF(DataTable[[#This Row],[E. Game Compl.]]="Challenging the Tower",5,IF(DataTable[[#This Row],[E. Game Compl.]]="Scaling the Tower",15,)))</f>
        <v>0</v>
      </c>
      <c r="J563">
        <f>Table2[[#This Row],[AUTO Pts]]+Table2[[#This Row],[Shooting Pts.]]+Table2[[#This Row],[Def. Points]]+Table2[[#This Row],[E. Game Pts.]]</f>
        <v>0</v>
      </c>
    </row>
    <row r="564" spans="1:10" x14ac:dyDescent="0.25">
      <c r="A564">
        <f>DataTable[[#This Row],[Tm.]]</f>
        <v>0</v>
      </c>
      <c r="B564">
        <f>DataTable[[#This Row],[Match Nr.]]</f>
        <v>0</v>
      </c>
      <c r="C5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4">
        <f>DataTable[[#This Row],[Successful Lo. G. S]]*2+DataTable[[#This Row],[Successful Hi. G. S.]]*10</f>
        <v>0</v>
      </c>
      <c r="H5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4">
        <f>IF(DataTable[[#This Row],[E. Game Compl.]]="Nothing",0,IF(DataTable[[#This Row],[E. Game Compl.]]="Challenging the Tower",5,IF(DataTable[[#This Row],[E. Game Compl.]]="Scaling the Tower",15,)))</f>
        <v>0</v>
      </c>
      <c r="J564">
        <f>Table2[[#This Row],[AUTO Pts]]+Table2[[#This Row],[Shooting Pts.]]+Table2[[#This Row],[Def. Points]]+Table2[[#This Row],[E. Game Pts.]]</f>
        <v>0</v>
      </c>
    </row>
    <row r="565" spans="1:10" x14ac:dyDescent="0.25">
      <c r="A565">
        <f>DataTable[[#This Row],[Tm.]]</f>
        <v>0</v>
      </c>
      <c r="B565">
        <f>DataTable[[#This Row],[Match Nr.]]</f>
        <v>0</v>
      </c>
      <c r="C5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5">
        <f>DataTable[[#This Row],[Successful Lo. G. S]]*2+DataTable[[#This Row],[Successful Hi. G. S.]]*10</f>
        <v>0</v>
      </c>
      <c r="H5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5">
        <f>IF(DataTable[[#This Row],[E. Game Compl.]]="Nothing",0,IF(DataTable[[#This Row],[E. Game Compl.]]="Challenging the Tower",5,IF(DataTable[[#This Row],[E. Game Compl.]]="Scaling the Tower",15,)))</f>
        <v>0</v>
      </c>
      <c r="J565">
        <f>Table2[[#This Row],[AUTO Pts]]+Table2[[#This Row],[Shooting Pts.]]+Table2[[#This Row],[Def. Points]]+Table2[[#This Row],[E. Game Pts.]]</f>
        <v>0</v>
      </c>
    </row>
    <row r="566" spans="1:10" x14ac:dyDescent="0.25">
      <c r="A566">
        <f>DataTable[[#This Row],[Tm.]]</f>
        <v>0</v>
      </c>
      <c r="B566">
        <f>DataTable[[#This Row],[Match Nr.]]</f>
        <v>0</v>
      </c>
      <c r="C5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6">
        <f>DataTable[[#This Row],[Successful Lo. G. S]]*2+DataTable[[#This Row],[Successful Hi. G. S.]]*10</f>
        <v>0</v>
      </c>
      <c r="H5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6">
        <f>IF(DataTable[[#This Row],[E. Game Compl.]]="Nothing",0,IF(DataTable[[#This Row],[E. Game Compl.]]="Challenging the Tower",5,IF(DataTable[[#This Row],[E. Game Compl.]]="Scaling the Tower",15,)))</f>
        <v>0</v>
      </c>
      <c r="J566">
        <f>Table2[[#This Row],[AUTO Pts]]+Table2[[#This Row],[Shooting Pts.]]+Table2[[#This Row],[Def. Points]]+Table2[[#This Row],[E. Game Pts.]]</f>
        <v>0</v>
      </c>
    </row>
    <row r="567" spans="1:10" x14ac:dyDescent="0.25">
      <c r="A567">
        <f>DataTable[[#This Row],[Tm.]]</f>
        <v>0</v>
      </c>
      <c r="B567">
        <f>DataTable[[#This Row],[Match Nr.]]</f>
        <v>0</v>
      </c>
      <c r="C5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7">
        <f>DataTable[[#This Row],[Successful Lo. G. S]]*2+DataTable[[#This Row],[Successful Hi. G. S.]]*10</f>
        <v>0</v>
      </c>
      <c r="H5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7">
        <f>IF(DataTable[[#This Row],[E. Game Compl.]]="Nothing",0,IF(DataTable[[#This Row],[E. Game Compl.]]="Challenging the Tower",5,IF(DataTable[[#This Row],[E. Game Compl.]]="Scaling the Tower",15,)))</f>
        <v>0</v>
      </c>
      <c r="J567">
        <f>Table2[[#This Row],[AUTO Pts]]+Table2[[#This Row],[Shooting Pts.]]+Table2[[#This Row],[Def. Points]]+Table2[[#This Row],[E. Game Pts.]]</f>
        <v>0</v>
      </c>
    </row>
    <row r="568" spans="1:10" x14ac:dyDescent="0.25">
      <c r="A568">
        <f>DataTable[[#This Row],[Tm.]]</f>
        <v>0</v>
      </c>
      <c r="B568">
        <f>DataTable[[#This Row],[Match Nr.]]</f>
        <v>0</v>
      </c>
      <c r="C5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8">
        <f>DataTable[[#This Row],[Successful Lo. G. S]]*2+DataTable[[#This Row],[Successful Hi. G. S.]]*10</f>
        <v>0</v>
      </c>
      <c r="H5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8">
        <f>IF(DataTable[[#This Row],[E. Game Compl.]]="Nothing",0,IF(DataTable[[#This Row],[E. Game Compl.]]="Challenging the Tower",5,IF(DataTable[[#This Row],[E. Game Compl.]]="Scaling the Tower",15,)))</f>
        <v>0</v>
      </c>
      <c r="J568">
        <f>Table2[[#This Row],[AUTO Pts]]+Table2[[#This Row],[Shooting Pts.]]+Table2[[#This Row],[Def. Points]]+Table2[[#This Row],[E. Game Pts.]]</f>
        <v>0</v>
      </c>
    </row>
    <row r="569" spans="1:10" x14ac:dyDescent="0.25">
      <c r="A569">
        <f>DataTable[[#This Row],[Tm.]]</f>
        <v>0</v>
      </c>
      <c r="B569">
        <f>DataTable[[#This Row],[Match Nr.]]</f>
        <v>0</v>
      </c>
      <c r="C5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9">
        <f>DataTable[[#This Row],[Successful Lo. G. S]]*2+DataTable[[#This Row],[Successful Hi. G. S.]]*10</f>
        <v>0</v>
      </c>
      <c r="H5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9">
        <f>IF(DataTable[[#This Row],[E. Game Compl.]]="Nothing",0,IF(DataTable[[#This Row],[E. Game Compl.]]="Challenging the Tower",5,IF(DataTable[[#This Row],[E. Game Compl.]]="Scaling the Tower",15,)))</f>
        <v>0</v>
      </c>
      <c r="J569">
        <f>Table2[[#This Row],[AUTO Pts]]+Table2[[#This Row],[Shooting Pts.]]+Table2[[#This Row],[Def. Points]]+Table2[[#This Row],[E. Game Pts.]]</f>
        <v>0</v>
      </c>
    </row>
    <row r="570" spans="1:10" x14ac:dyDescent="0.25">
      <c r="A570">
        <f>DataTable[[#This Row],[Tm.]]</f>
        <v>0</v>
      </c>
      <c r="B570">
        <f>DataTable[[#This Row],[Match Nr.]]</f>
        <v>0</v>
      </c>
      <c r="C5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0">
        <f>DataTable[[#This Row],[Successful Lo. G. S]]*2+DataTable[[#This Row],[Successful Hi. G. S.]]*10</f>
        <v>0</v>
      </c>
      <c r="H5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0">
        <f>IF(DataTable[[#This Row],[E. Game Compl.]]="Nothing",0,IF(DataTable[[#This Row],[E. Game Compl.]]="Challenging the Tower",5,IF(DataTable[[#This Row],[E. Game Compl.]]="Scaling the Tower",15,)))</f>
        <v>0</v>
      </c>
      <c r="J570">
        <f>Table2[[#This Row],[AUTO Pts]]+Table2[[#This Row],[Shooting Pts.]]+Table2[[#This Row],[Def. Points]]+Table2[[#This Row],[E. Game Pts.]]</f>
        <v>0</v>
      </c>
    </row>
    <row r="571" spans="1:10" x14ac:dyDescent="0.25">
      <c r="A571">
        <f>DataTable[[#This Row],[Tm.]]</f>
        <v>0</v>
      </c>
      <c r="B571">
        <f>DataTable[[#This Row],[Match Nr.]]</f>
        <v>0</v>
      </c>
      <c r="C5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1">
        <f>DataTable[[#This Row],[Successful Lo. G. S]]*2+DataTable[[#This Row],[Successful Hi. G. S.]]*10</f>
        <v>0</v>
      </c>
      <c r="H5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1">
        <f>IF(DataTable[[#This Row],[E. Game Compl.]]="Nothing",0,IF(DataTable[[#This Row],[E. Game Compl.]]="Challenging the Tower",5,IF(DataTable[[#This Row],[E. Game Compl.]]="Scaling the Tower",15,)))</f>
        <v>0</v>
      </c>
      <c r="J571">
        <f>Table2[[#This Row],[AUTO Pts]]+Table2[[#This Row],[Shooting Pts.]]+Table2[[#This Row],[Def. Points]]+Table2[[#This Row],[E. Game Pts.]]</f>
        <v>0</v>
      </c>
    </row>
    <row r="572" spans="1:10" x14ac:dyDescent="0.25">
      <c r="A572">
        <f>DataTable[[#This Row],[Tm.]]</f>
        <v>0</v>
      </c>
      <c r="B572">
        <f>DataTable[[#This Row],[Match Nr.]]</f>
        <v>0</v>
      </c>
      <c r="C5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2">
        <f>DataTable[[#This Row],[Successful Lo. G. S]]*2+DataTable[[#This Row],[Successful Hi. G. S.]]*10</f>
        <v>0</v>
      </c>
      <c r="H5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2">
        <f>IF(DataTable[[#This Row],[E. Game Compl.]]="Nothing",0,IF(DataTable[[#This Row],[E. Game Compl.]]="Challenging the Tower",5,IF(DataTable[[#This Row],[E. Game Compl.]]="Scaling the Tower",15,)))</f>
        <v>0</v>
      </c>
      <c r="J572">
        <f>Table2[[#This Row],[AUTO Pts]]+Table2[[#This Row],[Shooting Pts.]]+Table2[[#This Row],[Def. Points]]+Table2[[#This Row],[E. Game Pts.]]</f>
        <v>0</v>
      </c>
    </row>
    <row r="573" spans="1:10" x14ac:dyDescent="0.25">
      <c r="A573">
        <f>DataTable[[#This Row],[Tm.]]</f>
        <v>0</v>
      </c>
      <c r="B573">
        <f>DataTable[[#This Row],[Match Nr.]]</f>
        <v>0</v>
      </c>
      <c r="C5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3">
        <f>DataTable[[#This Row],[Successful Lo. G. S]]*2+DataTable[[#This Row],[Successful Hi. G. S.]]*10</f>
        <v>0</v>
      </c>
      <c r="H5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3">
        <f>IF(DataTable[[#This Row],[E. Game Compl.]]="Nothing",0,IF(DataTable[[#This Row],[E. Game Compl.]]="Challenging the Tower",5,IF(DataTable[[#This Row],[E. Game Compl.]]="Scaling the Tower",15,)))</f>
        <v>0</v>
      </c>
      <c r="J573">
        <f>Table2[[#This Row],[AUTO Pts]]+Table2[[#This Row],[Shooting Pts.]]+Table2[[#This Row],[Def. Points]]+Table2[[#This Row],[E. Game Pts.]]</f>
        <v>0</v>
      </c>
    </row>
    <row r="574" spans="1:10" x14ac:dyDescent="0.25">
      <c r="A574">
        <f>DataTable[[#This Row],[Tm.]]</f>
        <v>0</v>
      </c>
      <c r="B574">
        <f>DataTable[[#This Row],[Match Nr.]]</f>
        <v>0</v>
      </c>
      <c r="C5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4">
        <f>DataTable[[#This Row],[Successful Lo. G. S]]*2+DataTable[[#This Row],[Successful Hi. G. S.]]*10</f>
        <v>0</v>
      </c>
      <c r="H5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4">
        <f>IF(DataTable[[#This Row],[E. Game Compl.]]="Nothing",0,IF(DataTable[[#This Row],[E. Game Compl.]]="Challenging the Tower",5,IF(DataTable[[#This Row],[E. Game Compl.]]="Scaling the Tower",15,)))</f>
        <v>0</v>
      </c>
      <c r="J574">
        <f>Table2[[#This Row],[AUTO Pts]]+Table2[[#This Row],[Shooting Pts.]]+Table2[[#This Row],[Def. Points]]+Table2[[#This Row],[E. Game Pts.]]</f>
        <v>0</v>
      </c>
    </row>
    <row r="575" spans="1:10" x14ac:dyDescent="0.25">
      <c r="A575">
        <f>DataTable[[#This Row],[Tm.]]</f>
        <v>0</v>
      </c>
      <c r="B575">
        <f>DataTable[[#This Row],[Match Nr.]]</f>
        <v>0</v>
      </c>
      <c r="C5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5">
        <f>DataTable[[#This Row],[Successful Lo. G. S]]*2+DataTable[[#This Row],[Successful Hi. G. S.]]*10</f>
        <v>0</v>
      </c>
      <c r="H5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5">
        <f>IF(DataTable[[#This Row],[E. Game Compl.]]="Nothing",0,IF(DataTable[[#This Row],[E. Game Compl.]]="Challenging the Tower",5,IF(DataTable[[#This Row],[E. Game Compl.]]="Scaling the Tower",15,)))</f>
        <v>0</v>
      </c>
      <c r="J575">
        <f>Table2[[#This Row],[AUTO Pts]]+Table2[[#This Row],[Shooting Pts.]]+Table2[[#This Row],[Def. Points]]+Table2[[#This Row],[E. Game Pts.]]</f>
        <v>0</v>
      </c>
    </row>
    <row r="576" spans="1:10" x14ac:dyDescent="0.25">
      <c r="A576">
        <f>DataTable[[#This Row],[Tm.]]</f>
        <v>0</v>
      </c>
      <c r="B576">
        <f>DataTable[[#This Row],[Match Nr.]]</f>
        <v>0</v>
      </c>
      <c r="C5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6">
        <f>DataTable[[#This Row],[Successful Lo. G. S]]*2+DataTable[[#This Row],[Successful Hi. G. S.]]*10</f>
        <v>0</v>
      </c>
      <c r="H5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6">
        <f>IF(DataTable[[#This Row],[E. Game Compl.]]="Nothing",0,IF(DataTable[[#This Row],[E. Game Compl.]]="Challenging the Tower",5,IF(DataTable[[#This Row],[E. Game Compl.]]="Scaling the Tower",15,)))</f>
        <v>0</v>
      </c>
      <c r="J576">
        <f>Table2[[#This Row],[AUTO Pts]]+Table2[[#This Row],[Shooting Pts.]]+Table2[[#This Row],[Def. Points]]+Table2[[#This Row],[E. Game Pts.]]</f>
        <v>0</v>
      </c>
    </row>
    <row r="577" spans="1:10" x14ac:dyDescent="0.25">
      <c r="A577">
        <f>DataTable[[#This Row],[Tm.]]</f>
        <v>0</v>
      </c>
      <c r="B577">
        <f>DataTable[[#This Row],[Match Nr.]]</f>
        <v>0</v>
      </c>
      <c r="C5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7">
        <f>DataTable[[#This Row],[Successful Lo. G. S]]*2+DataTable[[#This Row],[Successful Hi. G. S.]]*10</f>
        <v>0</v>
      </c>
      <c r="H5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7">
        <f>IF(DataTable[[#This Row],[E. Game Compl.]]="Nothing",0,IF(DataTable[[#This Row],[E. Game Compl.]]="Challenging the Tower",5,IF(DataTable[[#This Row],[E. Game Compl.]]="Scaling the Tower",15,)))</f>
        <v>0</v>
      </c>
      <c r="J577">
        <f>Table2[[#This Row],[AUTO Pts]]+Table2[[#This Row],[Shooting Pts.]]+Table2[[#This Row],[Def. Points]]+Table2[[#This Row],[E. Game Pts.]]</f>
        <v>0</v>
      </c>
    </row>
    <row r="578" spans="1:10" x14ac:dyDescent="0.25">
      <c r="A578">
        <f>DataTable[[#This Row],[Tm.]]</f>
        <v>0</v>
      </c>
      <c r="B578">
        <f>DataTable[[#This Row],[Match Nr.]]</f>
        <v>0</v>
      </c>
      <c r="C5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8">
        <f>DataTable[[#This Row],[Successful Lo. G. S]]*2+DataTable[[#This Row],[Successful Hi. G. S.]]*10</f>
        <v>0</v>
      </c>
      <c r="H5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8">
        <f>IF(DataTable[[#This Row],[E. Game Compl.]]="Nothing",0,IF(DataTable[[#This Row],[E. Game Compl.]]="Challenging the Tower",5,IF(DataTable[[#This Row],[E. Game Compl.]]="Scaling the Tower",15,)))</f>
        <v>0</v>
      </c>
      <c r="J578">
        <f>Table2[[#This Row],[AUTO Pts]]+Table2[[#This Row],[Shooting Pts.]]+Table2[[#This Row],[Def. Points]]+Table2[[#This Row],[E. Game Pts.]]</f>
        <v>0</v>
      </c>
    </row>
    <row r="579" spans="1:10" x14ac:dyDescent="0.25">
      <c r="A579">
        <f>DataTable[[#This Row],[Tm.]]</f>
        <v>0</v>
      </c>
      <c r="B579">
        <f>DataTable[[#This Row],[Match Nr.]]</f>
        <v>0</v>
      </c>
      <c r="C5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9">
        <f>DataTable[[#This Row],[Successful Lo. G. S]]*2+DataTable[[#This Row],[Successful Hi. G. S.]]*10</f>
        <v>0</v>
      </c>
      <c r="H5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9">
        <f>IF(DataTable[[#This Row],[E. Game Compl.]]="Nothing",0,IF(DataTable[[#This Row],[E. Game Compl.]]="Challenging the Tower",5,IF(DataTable[[#This Row],[E. Game Compl.]]="Scaling the Tower",15,)))</f>
        <v>0</v>
      </c>
      <c r="J579">
        <f>Table2[[#This Row],[AUTO Pts]]+Table2[[#This Row],[Shooting Pts.]]+Table2[[#This Row],[Def. Points]]+Table2[[#This Row],[E. Game Pts.]]</f>
        <v>0</v>
      </c>
    </row>
    <row r="580" spans="1:10" x14ac:dyDescent="0.25">
      <c r="A580">
        <f>DataTable[[#This Row],[Tm.]]</f>
        <v>0</v>
      </c>
      <c r="B580">
        <f>DataTable[[#This Row],[Match Nr.]]</f>
        <v>0</v>
      </c>
      <c r="C5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0">
        <f>DataTable[[#This Row],[Successful Lo. G. S]]*2+DataTable[[#This Row],[Successful Hi. G. S.]]*10</f>
        <v>0</v>
      </c>
      <c r="H5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0">
        <f>IF(DataTable[[#This Row],[E. Game Compl.]]="Nothing",0,IF(DataTable[[#This Row],[E. Game Compl.]]="Challenging the Tower",5,IF(DataTable[[#This Row],[E. Game Compl.]]="Scaling the Tower",15,)))</f>
        <v>0</v>
      </c>
      <c r="J580">
        <f>Table2[[#This Row],[AUTO Pts]]+Table2[[#This Row],[Shooting Pts.]]+Table2[[#This Row],[Def. Points]]+Table2[[#This Row],[E. Game Pts.]]</f>
        <v>0</v>
      </c>
    </row>
    <row r="581" spans="1:10" x14ac:dyDescent="0.25">
      <c r="A581">
        <f>DataTable[[#This Row],[Tm.]]</f>
        <v>0</v>
      </c>
      <c r="B581">
        <f>DataTable[[#This Row],[Match Nr.]]</f>
        <v>0</v>
      </c>
      <c r="C5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1">
        <f>DataTable[[#This Row],[Successful Lo. G. S]]*2+DataTable[[#This Row],[Successful Hi. G. S.]]*10</f>
        <v>0</v>
      </c>
      <c r="H5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1">
        <f>IF(DataTable[[#This Row],[E. Game Compl.]]="Nothing",0,IF(DataTable[[#This Row],[E. Game Compl.]]="Challenging the Tower",5,IF(DataTable[[#This Row],[E. Game Compl.]]="Scaling the Tower",15,)))</f>
        <v>0</v>
      </c>
      <c r="J581">
        <f>Table2[[#This Row],[AUTO Pts]]+Table2[[#This Row],[Shooting Pts.]]+Table2[[#This Row],[Def. Points]]+Table2[[#This Row],[E. Game Pts.]]</f>
        <v>0</v>
      </c>
    </row>
    <row r="582" spans="1:10" x14ac:dyDescent="0.25">
      <c r="A582">
        <f>DataTable[[#This Row],[Tm.]]</f>
        <v>0</v>
      </c>
      <c r="B582">
        <f>DataTable[[#This Row],[Match Nr.]]</f>
        <v>0</v>
      </c>
      <c r="C5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2">
        <f>DataTable[[#This Row],[Successful Lo. G. S]]*2+DataTable[[#This Row],[Successful Hi. G. S.]]*10</f>
        <v>0</v>
      </c>
      <c r="H5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2">
        <f>IF(DataTable[[#This Row],[E. Game Compl.]]="Nothing",0,IF(DataTable[[#This Row],[E. Game Compl.]]="Challenging the Tower",5,IF(DataTable[[#This Row],[E. Game Compl.]]="Scaling the Tower",15,)))</f>
        <v>0</v>
      </c>
      <c r="J582">
        <f>Table2[[#This Row],[AUTO Pts]]+Table2[[#This Row],[Shooting Pts.]]+Table2[[#This Row],[Def. Points]]+Table2[[#This Row],[E. Game Pts.]]</f>
        <v>0</v>
      </c>
    </row>
    <row r="583" spans="1:10" x14ac:dyDescent="0.25">
      <c r="A583">
        <f>DataTable[[#This Row],[Tm.]]</f>
        <v>0</v>
      </c>
      <c r="B583">
        <f>DataTable[[#This Row],[Match Nr.]]</f>
        <v>0</v>
      </c>
      <c r="C5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3">
        <f>DataTable[[#This Row],[Successful Lo. G. S]]*2+DataTable[[#This Row],[Successful Hi. G. S.]]*10</f>
        <v>0</v>
      </c>
      <c r="H5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3">
        <f>IF(DataTable[[#This Row],[E. Game Compl.]]="Nothing",0,IF(DataTable[[#This Row],[E. Game Compl.]]="Challenging the Tower",5,IF(DataTable[[#This Row],[E. Game Compl.]]="Scaling the Tower",15,)))</f>
        <v>0</v>
      </c>
      <c r="J583">
        <f>Table2[[#This Row],[AUTO Pts]]+Table2[[#This Row],[Shooting Pts.]]+Table2[[#This Row],[Def. Points]]+Table2[[#This Row],[E. Game Pts.]]</f>
        <v>0</v>
      </c>
    </row>
    <row r="584" spans="1:10" x14ac:dyDescent="0.25">
      <c r="A584">
        <f>DataTable[[#This Row],[Tm.]]</f>
        <v>0</v>
      </c>
      <c r="B584">
        <f>DataTable[[#This Row],[Match Nr.]]</f>
        <v>0</v>
      </c>
      <c r="C5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4">
        <f>DataTable[[#This Row],[Successful Lo. G. S]]*2+DataTable[[#This Row],[Successful Hi. G. S.]]*10</f>
        <v>0</v>
      </c>
      <c r="H5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4">
        <f>IF(DataTable[[#This Row],[E. Game Compl.]]="Nothing",0,IF(DataTable[[#This Row],[E. Game Compl.]]="Challenging the Tower",5,IF(DataTable[[#This Row],[E. Game Compl.]]="Scaling the Tower",15,)))</f>
        <v>0</v>
      </c>
      <c r="J584">
        <f>Table2[[#This Row],[AUTO Pts]]+Table2[[#This Row],[Shooting Pts.]]+Table2[[#This Row],[Def. Points]]+Table2[[#This Row],[E. Game Pts.]]</f>
        <v>0</v>
      </c>
    </row>
    <row r="585" spans="1:10" x14ac:dyDescent="0.25">
      <c r="A585">
        <f>DataTable[[#This Row],[Tm.]]</f>
        <v>0</v>
      </c>
      <c r="B585">
        <f>DataTable[[#This Row],[Match Nr.]]</f>
        <v>0</v>
      </c>
      <c r="C5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5">
        <f>DataTable[[#This Row],[Successful Lo. G. S]]*2+DataTable[[#This Row],[Successful Hi. G. S.]]*10</f>
        <v>0</v>
      </c>
      <c r="H5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5">
        <f>IF(DataTable[[#This Row],[E. Game Compl.]]="Nothing",0,IF(DataTable[[#This Row],[E. Game Compl.]]="Challenging the Tower",5,IF(DataTable[[#This Row],[E. Game Compl.]]="Scaling the Tower",15,)))</f>
        <v>0</v>
      </c>
      <c r="J585">
        <f>Table2[[#This Row],[AUTO Pts]]+Table2[[#This Row],[Shooting Pts.]]+Table2[[#This Row],[Def. Points]]+Table2[[#This Row],[E. Game Pts.]]</f>
        <v>0</v>
      </c>
    </row>
    <row r="586" spans="1:10" x14ac:dyDescent="0.25">
      <c r="A586">
        <f>DataTable[[#This Row],[Tm.]]</f>
        <v>0</v>
      </c>
      <c r="B586">
        <f>DataTable[[#This Row],[Match Nr.]]</f>
        <v>0</v>
      </c>
      <c r="C5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6">
        <f>DataTable[[#This Row],[Successful Lo. G. S]]*2+DataTable[[#This Row],[Successful Hi. G. S.]]*10</f>
        <v>0</v>
      </c>
      <c r="H5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6">
        <f>IF(DataTable[[#This Row],[E. Game Compl.]]="Nothing",0,IF(DataTable[[#This Row],[E. Game Compl.]]="Challenging the Tower",5,IF(DataTable[[#This Row],[E. Game Compl.]]="Scaling the Tower",15,)))</f>
        <v>0</v>
      </c>
      <c r="J586">
        <f>Table2[[#This Row],[AUTO Pts]]+Table2[[#This Row],[Shooting Pts.]]+Table2[[#This Row],[Def. Points]]+Table2[[#This Row],[E. Game Pts.]]</f>
        <v>0</v>
      </c>
    </row>
    <row r="587" spans="1:10" x14ac:dyDescent="0.25">
      <c r="A587">
        <f>DataTable[[#This Row],[Tm.]]</f>
        <v>0</v>
      </c>
      <c r="B587">
        <f>DataTable[[#This Row],[Match Nr.]]</f>
        <v>0</v>
      </c>
      <c r="C5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7">
        <f>DataTable[[#This Row],[Successful Lo. G. S]]*2+DataTable[[#This Row],[Successful Hi. G. S.]]*10</f>
        <v>0</v>
      </c>
      <c r="H5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7">
        <f>IF(DataTable[[#This Row],[E. Game Compl.]]="Nothing",0,IF(DataTable[[#This Row],[E. Game Compl.]]="Challenging the Tower",5,IF(DataTable[[#This Row],[E. Game Compl.]]="Scaling the Tower",15,)))</f>
        <v>0</v>
      </c>
      <c r="J587">
        <f>Table2[[#This Row],[AUTO Pts]]+Table2[[#This Row],[Shooting Pts.]]+Table2[[#This Row],[Def. Points]]+Table2[[#This Row],[E. Game Pts.]]</f>
        <v>0</v>
      </c>
    </row>
    <row r="588" spans="1:10" x14ac:dyDescent="0.25">
      <c r="A588">
        <f>DataTable[[#This Row],[Tm.]]</f>
        <v>0</v>
      </c>
      <c r="B588">
        <f>DataTable[[#This Row],[Match Nr.]]</f>
        <v>0</v>
      </c>
      <c r="C5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8">
        <f>DataTable[[#This Row],[Successful Lo. G. S]]*2+DataTable[[#This Row],[Successful Hi. G. S.]]*10</f>
        <v>0</v>
      </c>
      <c r="H5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8">
        <f>IF(DataTable[[#This Row],[E. Game Compl.]]="Nothing",0,IF(DataTable[[#This Row],[E. Game Compl.]]="Challenging the Tower",5,IF(DataTable[[#This Row],[E. Game Compl.]]="Scaling the Tower",15,)))</f>
        <v>0</v>
      </c>
      <c r="J588">
        <f>Table2[[#This Row],[AUTO Pts]]+Table2[[#This Row],[Shooting Pts.]]+Table2[[#This Row],[Def. Points]]+Table2[[#This Row],[E. Game Pts.]]</f>
        <v>0</v>
      </c>
    </row>
    <row r="589" spans="1:10" x14ac:dyDescent="0.25">
      <c r="A589">
        <f>DataTable[[#This Row],[Tm.]]</f>
        <v>0</v>
      </c>
      <c r="B589">
        <f>DataTable[[#This Row],[Match Nr.]]</f>
        <v>0</v>
      </c>
      <c r="C5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9">
        <f>DataTable[[#This Row],[Successful Lo. G. S]]*2+DataTable[[#This Row],[Successful Hi. G. S.]]*10</f>
        <v>0</v>
      </c>
      <c r="H5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9">
        <f>IF(DataTable[[#This Row],[E. Game Compl.]]="Nothing",0,IF(DataTable[[#This Row],[E. Game Compl.]]="Challenging the Tower",5,IF(DataTable[[#This Row],[E. Game Compl.]]="Scaling the Tower",15,)))</f>
        <v>0</v>
      </c>
      <c r="J589">
        <f>Table2[[#This Row],[AUTO Pts]]+Table2[[#This Row],[Shooting Pts.]]+Table2[[#This Row],[Def. Points]]+Table2[[#This Row],[E. Game Pts.]]</f>
        <v>0</v>
      </c>
    </row>
    <row r="590" spans="1:10" x14ac:dyDescent="0.25">
      <c r="A590">
        <f>DataTable[[#This Row],[Tm.]]</f>
        <v>0</v>
      </c>
      <c r="B590">
        <f>DataTable[[#This Row],[Match Nr.]]</f>
        <v>0</v>
      </c>
      <c r="C5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0">
        <f>DataTable[[#This Row],[Successful Lo. G. S]]*2+DataTable[[#This Row],[Successful Hi. G. S.]]*10</f>
        <v>0</v>
      </c>
      <c r="H5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0">
        <f>IF(DataTable[[#This Row],[E. Game Compl.]]="Nothing",0,IF(DataTable[[#This Row],[E. Game Compl.]]="Challenging the Tower",5,IF(DataTable[[#This Row],[E. Game Compl.]]="Scaling the Tower",15,)))</f>
        <v>0</v>
      </c>
      <c r="J590">
        <f>Table2[[#This Row],[AUTO Pts]]+Table2[[#This Row],[Shooting Pts.]]+Table2[[#This Row],[Def. Points]]+Table2[[#This Row],[E. Game Pts.]]</f>
        <v>0</v>
      </c>
    </row>
    <row r="591" spans="1:10" x14ac:dyDescent="0.25">
      <c r="A591">
        <f>DataTable[[#This Row],[Tm.]]</f>
        <v>0</v>
      </c>
      <c r="B591">
        <f>DataTable[[#This Row],[Match Nr.]]</f>
        <v>0</v>
      </c>
      <c r="C5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1">
        <f>DataTable[[#This Row],[Successful Lo. G. S]]*2+DataTable[[#This Row],[Successful Hi. G. S.]]*10</f>
        <v>0</v>
      </c>
      <c r="H5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1">
        <f>IF(DataTable[[#This Row],[E. Game Compl.]]="Nothing",0,IF(DataTable[[#This Row],[E. Game Compl.]]="Challenging the Tower",5,IF(DataTable[[#This Row],[E. Game Compl.]]="Scaling the Tower",15,)))</f>
        <v>0</v>
      </c>
      <c r="J591">
        <f>Table2[[#This Row],[AUTO Pts]]+Table2[[#This Row],[Shooting Pts.]]+Table2[[#This Row],[Def. Points]]+Table2[[#This Row],[E. Game Pts.]]</f>
        <v>0</v>
      </c>
    </row>
    <row r="592" spans="1:10" x14ac:dyDescent="0.25">
      <c r="A592">
        <f>DataTable[[#This Row],[Tm.]]</f>
        <v>0</v>
      </c>
      <c r="B592">
        <f>DataTable[[#This Row],[Match Nr.]]</f>
        <v>0</v>
      </c>
      <c r="C5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2">
        <f>DataTable[[#This Row],[Successful Lo. G. S]]*2+DataTable[[#This Row],[Successful Hi. G. S.]]*10</f>
        <v>0</v>
      </c>
      <c r="H5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2">
        <f>IF(DataTable[[#This Row],[E. Game Compl.]]="Nothing",0,IF(DataTable[[#This Row],[E. Game Compl.]]="Challenging the Tower",5,IF(DataTable[[#This Row],[E. Game Compl.]]="Scaling the Tower",15,)))</f>
        <v>0</v>
      </c>
      <c r="J592">
        <f>Table2[[#This Row],[AUTO Pts]]+Table2[[#This Row],[Shooting Pts.]]+Table2[[#This Row],[Def. Points]]+Table2[[#This Row],[E. Game Pts.]]</f>
        <v>0</v>
      </c>
    </row>
    <row r="593" spans="1:10" x14ac:dyDescent="0.25">
      <c r="A593">
        <f>DataTable[[#This Row],[Tm.]]</f>
        <v>0</v>
      </c>
      <c r="B593">
        <f>DataTable[[#This Row],[Match Nr.]]</f>
        <v>0</v>
      </c>
      <c r="C5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3">
        <f>DataTable[[#This Row],[Successful Lo. G. S]]*2+DataTable[[#This Row],[Successful Hi. G. S.]]*10</f>
        <v>0</v>
      </c>
      <c r="H5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3">
        <f>IF(DataTable[[#This Row],[E. Game Compl.]]="Nothing",0,IF(DataTable[[#This Row],[E. Game Compl.]]="Challenging the Tower",5,IF(DataTable[[#This Row],[E. Game Compl.]]="Scaling the Tower",15,)))</f>
        <v>0</v>
      </c>
      <c r="J593">
        <f>Table2[[#This Row],[AUTO Pts]]+Table2[[#This Row],[Shooting Pts.]]+Table2[[#This Row],[Def. Points]]+Table2[[#This Row],[E. Game Pts.]]</f>
        <v>0</v>
      </c>
    </row>
    <row r="594" spans="1:10" x14ac:dyDescent="0.25">
      <c r="A594">
        <f>DataTable[[#This Row],[Tm.]]</f>
        <v>0</v>
      </c>
      <c r="B594">
        <f>DataTable[[#This Row],[Match Nr.]]</f>
        <v>0</v>
      </c>
      <c r="C5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4">
        <f>DataTable[[#This Row],[Successful Lo. G. S]]*2+DataTable[[#This Row],[Successful Hi. G. S.]]*10</f>
        <v>0</v>
      </c>
      <c r="H5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4">
        <f>IF(DataTable[[#This Row],[E. Game Compl.]]="Nothing",0,IF(DataTable[[#This Row],[E. Game Compl.]]="Challenging the Tower",5,IF(DataTable[[#This Row],[E. Game Compl.]]="Scaling the Tower",15,)))</f>
        <v>0</v>
      </c>
      <c r="J594">
        <f>Table2[[#This Row],[AUTO Pts]]+Table2[[#This Row],[Shooting Pts.]]+Table2[[#This Row],[Def. Points]]+Table2[[#This Row],[E. Game Pts.]]</f>
        <v>0</v>
      </c>
    </row>
    <row r="595" spans="1:10" x14ac:dyDescent="0.25">
      <c r="A595">
        <f>DataTable[[#This Row],[Tm.]]</f>
        <v>0</v>
      </c>
      <c r="B595">
        <f>DataTable[[#This Row],[Match Nr.]]</f>
        <v>0</v>
      </c>
      <c r="C5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5">
        <f>DataTable[[#This Row],[Successful Lo. G. S]]*2+DataTable[[#This Row],[Successful Hi. G. S.]]*10</f>
        <v>0</v>
      </c>
      <c r="H5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5">
        <f>IF(DataTable[[#This Row],[E. Game Compl.]]="Nothing",0,IF(DataTable[[#This Row],[E. Game Compl.]]="Challenging the Tower",5,IF(DataTable[[#This Row],[E. Game Compl.]]="Scaling the Tower",15,)))</f>
        <v>0</v>
      </c>
      <c r="J595">
        <f>Table2[[#This Row],[AUTO Pts]]+Table2[[#This Row],[Shooting Pts.]]+Table2[[#This Row],[Def. Points]]+Table2[[#This Row],[E. Game Pts.]]</f>
        <v>0</v>
      </c>
    </row>
    <row r="596" spans="1:10" x14ac:dyDescent="0.25">
      <c r="A596">
        <f>DataTable[[#This Row],[Tm.]]</f>
        <v>0</v>
      </c>
      <c r="B596">
        <f>DataTable[[#This Row],[Match Nr.]]</f>
        <v>0</v>
      </c>
      <c r="C5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6">
        <f>DataTable[[#This Row],[Successful Lo. G. S]]*2+DataTable[[#This Row],[Successful Hi. G. S.]]*10</f>
        <v>0</v>
      </c>
      <c r="H5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6">
        <f>IF(DataTable[[#This Row],[E. Game Compl.]]="Nothing",0,IF(DataTable[[#This Row],[E. Game Compl.]]="Challenging the Tower",5,IF(DataTable[[#This Row],[E. Game Compl.]]="Scaling the Tower",15,)))</f>
        <v>0</v>
      </c>
      <c r="J596">
        <f>Table2[[#This Row],[AUTO Pts]]+Table2[[#This Row],[Shooting Pts.]]+Table2[[#This Row],[Def. Points]]+Table2[[#This Row],[E. Game Pts.]]</f>
        <v>0</v>
      </c>
    </row>
    <row r="597" spans="1:10" x14ac:dyDescent="0.25">
      <c r="A597">
        <f>DataTable[[#This Row],[Tm.]]</f>
        <v>0</v>
      </c>
      <c r="B597">
        <f>DataTable[[#This Row],[Match Nr.]]</f>
        <v>0</v>
      </c>
      <c r="C5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7">
        <f>DataTable[[#This Row],[Successful Lo. G. S]]*2+DataTable[[#This Row],[Successful Hi. G. S.]]*10</f>
        <v>0</v>
      </c>
      <c r="H5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7">
        <f>IF(DataTable[[#This Row],[E. Game Compl.]]="Nothing",0,IF(DataTable[[#This Row],[E. Game Compl.]]="Challenging the Tower",5,IF(DataTable[[#This Row],[E. Game Compl.]]="Scaling the Tower",15,)))</f>
        <v>0</v>
      </c>
      <c r="J597">
        <f>Table2[[#This Row],[AUTO Pts]]+Table2[[#This Row],[Shooting Pts.]]+Table2[[#This Row],[Def. Points]]+Table2[[#This Row],[E. Game Pts.]]</f>
        <v>0</v>
      </c>
    </row>
    <row r="598" spans="1:10" x14ac:dyDescent="0.25">
      <c r="A598">
        <f>DataTable[[#This Row],[Tm.]]</f>
        <v>0</v>
      </c>
      <c r="B598">
        <f>DataTable[[#This Row],[Match Nr.]]</f>
        <v>0</v>
      </c>
      <c r="C5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8">
        <f>DataTable[[#This Row],[Successful Lo. G. S]]*2+DataTable[[#This Row],[Successful Hi. G. S.]]*10</f>
        <v>0</v>
      </c>
      <c r="H5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8">
        <f>IF(DataTable[[#This Row],[E. Game Compl.]]="Nothing",0,IF(DataTable[[#This Row],[E. Game Compl.]]="Challenging the Tower",5,IF(DataTable[[#This Row],[E. Game Compl.]]="Scaling the Tower",15,)))</f>
        <v>0</v>
      </c>
      <c r="J598">
        <f>Table2[[#This Row],[AUTO Pts]]+Table2[[#This Row],[Shooting Pts.]]+Table2[[#This Row],[Def. Points]]+Table2[[#This Row],[E. Game Pts.]]</f>
        <v>0</v>
      </c>
    </row>
    <row r="599" spans="1:10" x14ac:dyDescent="0.25">
      <c r="A599">
        <f>DataTable[[#This Row],[Tm.]]</f>
        <v>0</v>
      </c>
      <c r="B599">
        <f>DataTable[[#This Row],[Match Nr.]]</f>
        <v>0</v>
      </c>
      <c r="C5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9">
        <f>DataTable[[#This Row],[Successful Lo. G. S]]*2+DataTable[[#This Row],[Successful Hi. G. S.]]*10</f>
        <v>0</v>
      </c>
      <c r="H5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9">
        <f>IF(DataTable[[#This Row],[E. Game Compl.]]="Nothing",0,IF(DataTable[[#This Row],[E. Game Compl.]]="Challenging the Tower",5,IF(DataTable[[#This Row],[E. Game Compl.]]="Scaling the Tower",15,)))</f>
        <v>0</v>
      </c>
      <c r="J599">
        <f>Table2[[#This Row],[AUTO Pts]]+Table2[[#This Row],[Shooting Pts.]]+Table2[[#This Row],[Def. Points]]+Table2[[#This Row],[E. Game Pts.]]</f>
        <v>0</v>
      </c>
    </row>
    <row r="600" spans="1:10" x14ac:dyDescent="0.25">
      <c r="A600">
        <f>DataTable[[#This Row],[Tm.]]</f>
        <v>0</v>
      </c>
      <c r="B600">
        <f>DataTable[[#This Row],[Match Nr.]]</f>
        <v>0</v>
      </c>
      <c r="C6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0">
        <f>DataTable[[#This Row],[Successful Lo. G. S]]*2+DataTable[[#This Row],[Successful Hi. G. S.]]*10</f>
        <v>0</v>
      </c>
      <c r="H6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0">
        <f>IF(DataTable[[#This Row],[E. Game Compl.]]="Nothing",0,IF(DataTable[[#This Row],[E. Game Compl.]]="Challenging the Tower",5,IF(DataTable[[#This Row],[E. Game Compl.]]="Scaling the Tower",15,)))</f>
        <v>0</v>
      </c>
      <c r="J600">
        <f>Table2[[#This Row],[AUTO Pts]]+Table2[[#This Row],[Shooting Pts.]]+Table2[[#This Row],[Def. Points]]+Table2[[#This Row],[E. Game Pts.]]</f>
        <v>0</v>
      </c>
    </row>
    <row r="601" spans="1:10" x14ac:dyDescent="0.25">
      <c r="A601">
        <f>DataTable[[#This Row],[Tm.]]</f>
        <v>0</v>
      </c>
      <c r="B601">
        <f>DataTable[[#This Row],[Match Nr.]]</f>
        <v>0</v>
      </c>
      <c r="C6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1">
        <f>DataTable[[#This Row],[Successful Lo. G. S]]*2+DataTable[[#This Row],[Successful Hi. G. S.]]*10</f>
        <v>0</v>
      </c>
      <c r="H6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1">
        <f>IF(DataTable[[#This Row],[E. Game Compl.]]="Nothing",0,IF(DataTable[[#This Row],[E. Game Compl.]]="Challenging the Tower",5,IF(DataTable[[#This Row],[E. Game Compl.]]="Scaling the Tower",15,)))</f>
        <v>0</v>
      </c>
      <c r="J601">
        <f>Table2[[#This Row],[AUTO Pts]]+Table2[[#This Row],[Shooting Pts.]]+Table2[[#This Row],[Def. Points]]+Table2[[#This Row],[E. Game Pts.]]</f>
        <v>0</v>
      </c>
    </row>
    <row r="602" spans="1:10" x14ac:dyDescent="0.25">
      <c r="A602">
        <f>DataTable[[#This Row],[Tm.]]</f>
        <v>0</v>
      </c>
      <c r="B602">
        <f>DataTable[[#This Row],[Match Nr.]]</f>
        <v>0</v>
      </c>
      <c r="C6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2">
        <f>DataTable[[#This Row],[Successful Lo. G. S]]*2+DataTable[[#This Row],[Successful Hi. G. S.]]*10</f>
        <v>0</v>
      </c>
      <c r="H6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2">
        <f>IF(DataTable[[#This Row],[E. Game Compl.]]="Nothing",0,IF(DataTable[[#This Row],[E. Game Compl.]]="Challenging the Tower",5,IF(DataTable[[#This Row],[E. Game Compl.]]="Scaling the Tower",15,)))</f>
        <v>0</v>
      </c>
      <c r="J602">
        <f>Table2[[#This Row],[AUTO Pts]]+Table2[[#This Row],[Shooting Pts.]]+Table2[[#This Row],[Def. Points]]+Table2[[#This Row],[E. Game Pts.]]</f>
        <v>0</v>
      </c>
    </row>
    <row r="603" spans="1:10" x14ac:dyDescent="0.25">
      <c r="A603">
        <f>DataTable[[#This Row],[Tm.]]</f>
        <v>0</v>
      </c>
      <c r="B603">
        <f>DataTable[[#This Row],[Match Nr.]]</f>
        <v>0</v>
      </c>
      <c r="C6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3">
        <f>DataTable[[#This Row],[Successful Lo. G. S]]*2+DataTable[[#This Row],[Successful Hi. G. S.]]*10</f>
        <v>0</v>
      </c>
      <c r="H6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3">
        <f>IF(DataTable[[#This Row],[E. Game Compl.]]="Nothing",0,IF(DataTable[[#This Row],[E. Game Compl.]]="Challenging the Tower",5,IF(DataTable[[#This Row],[E. Game Compl.]]="Scaling the Tower",15,)))</f>
        <v>0</v>
      </c>
      <c r="J603">
        <f>Table2[[#This Row],[AUTO Pts]]+Table2[[#This Row],[Shooting Pts.]]+Table2[[#This Row],[Def. Points]]+Table2[[#This Row],[E. Game Pts.]]</f>
        <v>0</v>
      </c>
    </row>
    <row r="604" spans="1:10" x14ac:dyDescent="0.25">
      <c r="A604">
        <f>DataTable[[#This Row],[Tm.]]</f>
        <v>0</v>
      </c>
      <c r="B604">
        <f>DataTable[[#This Row],[Match Nr.]]</f>
        <v>0</v>
      </c>
      <c r="C6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4">
        <f>DataTable[[#This Row],[Successful Lo. G. S]]*2+DataTable[[#This Row],[Successful Hi. G. S.]]*10</f>
        <v>0</v>
      </c>
      <c r="H6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4">
        <f>IF(DataTable[[#This Row],[E. Game Compl.]]="Nothing",0,IF(DataTable[[#This Row],[E. Game Compl.]]="Challenging the Tower",5,IF(DataTable[[#This Row],[E. Game Compl.]]="Scaling the Tower",15,)))</f>
        <v>0</v>
      </c>
      <c r="J604">
        <f>Table2[[#This Row],[AUTO Pts]]+Table2[[#This Row],[Shooting Pts.]]+Table2[[#This Row],[Def. Points]]+Table2[[#This Row],[E. Game Pts.]]</f>
        <v>0</v>
      </c>
    </row>
    <row r="605" spans="1:10" x14ac:dyDescent="0.25">
      <c r="A605">
        <f>DataTable[[#This Row],[Tm.]]</f>
        <v>0</v>
      </c>
      <c r="B605">
        <f>DataTable[[#This Row],[Match Nr.]]</f>
        <v>0</v>
      </c>
      <c r="C6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5">
        <f>DataTable[[#This Row],[Successful Lo. G. S]]*2+DataTable[[#This Row],[Successful Hi. G. S.]]*10</f>
        <v>0</v>
      </c>
      <c r="H6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5">
        <f>IF(DataTable[[#This Row],[E. Game Compl.]]="Nothing",0,IF(DataTable[[#This Row],[E. Game Compl.]]="Challenging the Tower",5,IF(DataTable[[#This Row],[E. Game Compl.]]="Scaling the Tower",15,)))</f>
        <v>0</v>
      </c>
      <c r="J605">
        <f>Table2[[#This Row],[AUTO Pts]]+Table2[[#This Row],[Shooting Pts.]]+Table2[[#This Row],[Def. Points]]+Table2[[#This Row],[E. Game Pts.]]</f>
        <v>0</v>
      </c>
    </row>
    <row r="606" spans="1:10" x14ac:dyDescent="0.25">
      <c r="A606">
        <f>DataTable[[#This Row],[Tm.]]</f>
        <v>0</v>
      </c>
      <c r="B606">
        <f>DataTable[[#This Row],[Match Nr.]]</f>
        <v>0</v>
      </c>
      <c r="C6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6">
        <f>DataTable[[#This Row],[Successful Lo. G. S]]*2+DataTable[[#This Row],[Successful Hi. G. S.]]*10</f>
        <v>0</v>
      </c>
      <c r="H6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6">
        <f>IF(DataTable[[#This Row],[E. Game Compl.]]="Nothing",0,IF(DataTable[[#This Row],[E. Game Compl.]]="Challenging the Tower",5,IF(DataTable[[#This Row],[E. Game Compl.]]="Scaling the Tower",15,)))</f>
        <v>0</v>
      </c>
      <c r="J606">
        <f>Table2[[#This Row],[AUTO Pts]]+Table2[[#This Row],[Shooting Pts.]]+Table2[[#This Row],[Def. Points]]+Table2[[#This Row],[E. Game Pts.]]</f>
        <v>0</v>
      </c>
    </row>
    <row r="607" spans="1:10" x14ac:dyDescent="0.25">
      <c r="A607">
        <f>DataTable[[#This Row],[Tm.]]</f>
        <v>0</v>
      </c>
      <c r="B607">
        <f>DataTable[[#This Row],[Match Nr.]]</f>
        <v>0</v>
      </c>
      <c r="C6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7">
        <f>DataTable[[#This Row],[Successful Lo. G. S]]*2+DataTable[[#This Row],[Successful Hi. G. S.]]*10</f>
        <v>0</v>
      </c>
      <c r="H6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7">
        <f>IF(DataTable[[#This Row],[E. Game Compl.]]="Nothing",0,IF(DataTable[[#This Row],[E. Game Compl.]]="Challenging the Tower",5,IF(DataTable[[#This Row],[E. Game Compl.]]="Scaling the Tower",15,)))</f>
        <v>0</v>
      </c>
      <c r="J607">
        <f>Table2[[#This Row],[AUTO Pts]]+Table2[[#This Row],[Shooting Pts.]]+Table2[[#This Row],[Def. Points]]+Table2[[#This Row],[E. Game Pts.]]</f>
        <v>0</v>
      </c>
    </row>
    <row r="608" spans="1:10" x14ac:dyDescent="0.25">
      <c r="A608">
        <f>DataTable[[#This Row],[Tm.]]</f>
        <v>0</v>
      </c>
      <c r="B608">
        <f>DataTable[[#This Row],[Match Nr.]]</f>
        <v>0</v>
      </c>
      <c r="C6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8">
        <f>DataTable[[#This Row],[Successful Lo. G. S]]*2+DataTable[[#This Row],[Successful Hi. G. S.]]*10</f>
        <v>0</v>
      </c>
      <c r="H6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8">
        <f>IF(DataTable[[#This Row],[E. Game Compl.]]="Nothing",0,IF(DataTable[[#This Row],[E. Game Compl.]]="Challenging the Tower",5,IF(DataTable[[#This Row],[E. Game Compl.]]="Scaling the Tower",15,)))</f>
        <v>0</v>
      </c>
      <c r="J608">
        <f>Table2[[#This Row],[AUTO Pts]]+Table2[[#This Row],[Shooting Pts.]]+Table2[[#This Row],[Def. Points]]+Table2[[#This Row],[E. Game Pts.]]</f>
        <v>0</v>
      </c>
    </row>
    <row r="609" spans="1:10" x14ac:dyDescent="0.25">
      <c r="A609">
        <f>DataTable[[#This Row],[Tm.]]</f>
        <v>0</v>
      </c>
      <c r="B609">
        <f>DataTable[[#This Row],[Match Nr.]]</f>
        <v>0</v>
      </c>
      <c r="C6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9">
        <f>DataTable[[#This Row],[Successful Lo. G. S]]*2+DataTable[[#This Row],[Successful Hi. G. S.]]*10</f>
        <v>0</v>
      </c>
      <c r="H6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9">
        <f>IF(DataTable[[#This Row],[E. Game Compl.]]="Nothing",0,IF(DataTable[[#This Row],[E. Game Compl.]]="Challenging the Tower",5,IF(DataTable[[#This Row],[E. Game Compl.]]="Scaling the Tower",15,)))</f>
        <v>0</v>
      </c>
      <c r="J609">
        <f>Table2[[#This Row],[AUTO Pts]]+Table2[[#This Row],[Shooting Pts.]]+Table2[[#This Row],[Def. Points]]+Table2[[#This Row],[E. Game Pts.]]</f>
        <v>0</v>
      </c>
    </row>
    <row r="610" spans="1:10" x14ac:dyDescent="0.25">
      <c r="A610">
        <f>DataTable[[#This Row],[Tm.]]</f>
        <v>0</v>
      </c>
      <c r="B610">
        <f>DataTable[[#This Row],[Match Nr.]]</f>
        <v>0</v>
      </c>
      <c r="C6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0">
        <f>DataTable[[#This Row],[Successful Lo. G. S]]*2+DataTable[[#This Row],[Successful Hi. G. S.]]*10</f>
        <v>0</v>
      </c>
      <c r="H6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0">
        <f>IF(DataTable[[#This Row],[E. Game Compl.]]="Nothing",0,IF(DataTable[[#This Row],[E. Game Compl.]]="Challenging the Tower",5,IF(DataTable[[#This Row],[E. Game Compl.]]="Scaling the Tower",15,)))</f>
        <v>0</v>
      </c>
      <c r="J610">
        <f>Table2[[#This Row],[AUTO Pts]]+Table2[[#This Row],[Shooting Pts.]]+Table2[[#This Row],[Def. Points]]+Table2[[#This Row],[E. Game Pts.]]</f>
        <v>0</v>
      </c>
    </row>
    <row r="611" spans="1:10" x14ac:dyDescent="0.25">
      <c r="A611">
        <f>DataTable[[#This Row],[Tm.]]</f>
        <v>0</v>
      </c>
      <c r="B611">
        <f>DataTable[[#This Row],[Match Nr.]]</f>
        <v>0</v>
      </c>
      <c r="C6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1">
        <f>DataTable[[#This Row],[Successful Lo. G. S]]*2+DataTable[[#This Row],[Successful Hi. G. S.]]*10</f>
        <v>0</v>
      </c>
      <c r="H6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1">
        <f>IF(DataTable[[#This Row],[E. Game Compl.]]="Nothing",0,IF(DataTable[[#This Row],[E. Game Compl.]]="Challenging the Tower",5,IF(DataTable[[#This Row],[E. Game Compl.]]="Scaling the Tower",15,)))</f>
        <v>0</v>
      </c>
      <c r="J611">
        <f>Table2[[#This Row],[AUTO Pts]]+Table2[[#This Row],[Shooting Pts.]]+Table2[[#This Row],[Def. Points]]+Table2[[#This Row],[E. Game Pts.]]</f>
        <v>0</v>
      </c>
    </row>
    <row r="612" spans="1:10" x14ac:dyDescent="0.25">
      <c r="A612">
        <f>DataTable[[#This Row],[Tm.]]</f>
        <v>0</v>
      </c>
      <c r="B612">
        <f>DataTable[[#This Row],[Match Nr.]]</f>
        <v>0</v>
      </c>
      <c r="C6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2">
        <f>DataTable[[#This Row],[Successful Lo. G. S]]*2+DataTable[[#This Row],[Successful Hi. G. S.]]*10</f>
        <v>0</v>
      </c>
      <c r="H6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2">
        <f>IF(DataTable[[#This Row],[E. Game Compl.]]="Nothing",0,IF(DataTable[[#This Row],[E. Game Compl.]]="Challenging the Tower",5,IF(DataTable[[#This Row],[E. Game Compl.]]="Scaling the Tower",15,)))</f>
        <v>0</v>
      </c>
      <c r="J612">
        <f>Table2[[#This Row],[AUTO Pts]]+Table2[[#This Row],[Shooting Pts.]]+Table2[[#This Row],[Def. Points]]+Table2[[#This Row],[E. Game Pts.]]</f>
        <v>0</v>
      </c>
    </row>
    <row r="613" spans="1:10" x14ac:dyDescent="0.25">
      <c r="A613">
        <f>DataTable[[#This Row],[Tm.]]</f>
        <v>0</v>
      </c>
      <c r="B613">
        <f>DataTable[[#This Row],[Match Nr.]]</f>
        <v>0</v>
      </c>
      <c r="C6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3">
        <f>DataTable[[#This Row],[Successful Lo. G. S]]*2+DataTable[[#This Row],[Successful Hi. G. S.]]*10</f>
        <v>0</v>
      </c>
      <c r="H6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3">
        <f>IF(DataTable[[#This Row],[E. Game Compl.]]="Nothing",0,IF(DataTable[[#This Row],[E. Game Compl.]]="Challenging the Tower",5,IF(DataTable[[#This Row],[E. Game Compl.]]="Scaling the Tower",15,)))</f>
        <v>0</v>
      </c>
      <c r="J613">
        <f>Table2[[#This Row],[AUTO Pts]]+Table2[[#This Row],[Shooting Pts.]]+Table2[[#This Row],[Def. Points]]+Table2[[#This Row],[E. Game Pts.]]</f>
        <v>0</v>
      </c>
    </row>
    <row r="614" spans="1:10" x14ac:dyDescent="0.25">
      <c r="A614">
        <f>DataTable[[#This Row],[Tm.]]</f>
        <v>0</v>
      </c>
      <c r="B614">
        <f>DataTable[[#This Row],[Match Nr.]]</f>
        <v>0</v>
      </c>
      <c r="C6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4">
        <f>DataTable[[#This Row],[Successful Lo. G. S]]*2+DataTable[[#This Row],[Successful Hi. G. S.]]*10</f>
        <v>0</v>
      </c>
      <c r="H6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4">
        <f>IF(DataTable[[#This Row],[E. Game Compl.]]="Nothing",0,IF(DataTable[[#This Row],[E. Game Compl.]]="Challenging the Tower",5,IF(DataTable[[#This Row],[E. Game Compl.]]="Scaling the Tower",15,)))</f>
        <v>0</v>
      </c>
      <c r="J614">
        <f>Table2[[#This Row],[AUTO Pts]]+Table2[[#This Row],[Shooting Pts.]]+Table2[[#This Row],[Def. Points]]+Table2[[#This Row],[E. Game Pts.]]</f>
        <v>0</v>
      </c>
    </row>
    <row r="615" spans="1:10" x14ac:dyDescent="0.25">
      <c r="A615">
        <f>DataTable[[#This Row],[Tm.]]</f>
        <v>0</v>
      </c>
      <c r="B615">
        <f>DataTable[[#This Row],[Match Nr.]]</f>
        <v>0</v>
      </c>
      <c r="C6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5">
        <f>DataTable[[#This Row],[Successful Lo. G. S]]*2+DataTable[[#This Row],[Successful Hi. G. S.]]*10</f>
        <v>0</v>
      </c>
      <c r="H6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5">
        <f>IF(DataTable[[#This Row],[E. Game Compl.]]="Nothing",0,IF(DataTable[[#This Row],[E. Game Compl.]]="Challenging the Tower",5,IF(DataTable[[#This Row],[E. Game Compl.]]="Scaling the Tower",15,)))</f>
        <v>0</v>
      </c>
      <c r="J615">
        <f>Table2[[#This Row],[AUTO Pts]]+Table2[[#This Row],[Shooting Pts.]]+Table2[[#This Row],[Def. Points]]+Table2[[#This Row],[E. Game Pts.]]</f>
        <v>0</v>
      </c>
    </row>
    <row r="616" spans="1:10" x14ac:dyDescent="0.25">
      <c r="A616">
        <f>DataTable[[#This Row],[Tm.]]</f>
        <v>0</v>
      </c>
      <c r="B616">
        <f>DataTable[[#This Row],[Match Nr.]]</f>
        <v>0</v>
      </c>
      <c r="C6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6">
        <f>DataTable[[#This Row],[Successful Lo. G. S]]*2+DataTable[[#This Row],[Successful Hi. G. S.]]*10</f>
        <v>0</v>
      </c>
      <c r="H6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6">
        <f>IF(DataTable[[#This Row],[E. Game Compl.]]="Nothing",0,IF(DataTable[[#This Row],[E. Game Compl.]]="Challenging the Tower",5,IF(DataTable[[#This Row],[E. Game Compl.]]="Scaling the Tower",15,)))</f>
        <v>0</v>
      </c>
      <c r="J616">
        <f>Table2[[#This Row],[AUTO Pts]]+Table2[[#This Row],[Shooting Pts.]]+Table2[[#This Row],[Def. Points]]+Table2[[#This Row],[E. Game Pts.]]</f>
        <v>0</v>
      </c>
    </row>
    <row r="617" spans="1:10" x14ac:dyDescent="0.25">
      <c r="A617">
        <f>DataTable[[#This Row],[Tm.]]</f>
        <v>0</v>
      </c>
      <c r="B617">
        <f>DataTable[[#This Row],[Match Nr.]]</f>
        <v>0</v>
      </c>
      <c r="C6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7">
        <f>DataTable[[#This Row],[Successful Lo. G. S]]*2+DataTable[[#This Row],[Successful Hi. G. S.]]*10</f>
        <v>0</v>
      </c>
      <c r="H6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7">
        <f>IF(DataTable[[#This Row],[E. Game Compl.]]="Nothing",0,IF(DataTable[[#This Row],[E. Game Compl.]]="Challenging the Tower",5,IF(DataTable[[#This Row],[E. Game Compl.]]="Scaling the Tower",15,)))</f>
        <v>0</v>
      </c>
      <c r="J617">
        <f>Table2[[#This Row],[AUTO Pts]]+Table2[[#This Row],[Shooting Pts.]]+Table2[[#This Row],[Def. Points]]+Table2[[#This Row],[E. Game Pts.]]</f>
        <v>0</v>
      </c>
    </row>
    <row r="618" spans="1:10" x14ac:dyDescent="0.25">
      <c r="A618">
        <f>DataTable[[#This Row],[Tm.]]</f>
        <v>0</v>
      </c>
      <c r="B618">
        <f>DataTable[[#This Row],[Match Nr.]]</f>
        <v>0</v>
      </c>
      <c r="C6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8">
        <f>DataTable[[#This Row],[Successful Lo. G. S]]*2+DataTable[[#This Row],[Successful Hi. G. S.]]*10</f>
        <v>0</v>
      </c>
      <c r="H6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8">
        <f>IF(DataTable[[#This Row],[E. Game Compl.]]="Nothing",0,IF(DataTable[[#This Row],[E. Game Compl.]]="Challenging the Tower",5,IF(DataTable[[#This Row],[E. Game Compl.]]="Scaling the Tower",15,)))</f>
        <v>0</v>
      </c>
      <c r="J618">
        <f>Table2[[#This Row],[AUTO Pts]]+Table2[[#This Row],[Shooting Pts.]]+Table2[[#This Row],[Def. Points]]+Table2[[#This Row],[E. Game Pts.]]</f>
        <v>0</v>
      </c>
    </row>
    <row r="619" spans="1:10" x14ac:dyDescent="0.25">
      <c r="A619">
        <f>DataTable[[#This Row],[Tm.]]</f>
        <v>0</v>
      </c>
      <c r="B619">
        <f>DataTable[[#This Row],[Match Nr.]]</f>
        <v>0</v>
      </c>
      <c r="C6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9">
        <f>DataTable[[#This Row],[Successful Lo. G. S]]*2+DataTable[[#This Row],[Successful Hi. G. S.]]*10</f>
        <v>0</v>
      </c>
      <c r="H6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9">
        <f>IF(DataTable[[#This Row],[E. Game Compl.]]="Nothing",0,IF(DataTable[[#This Row],[E. Game Compl.]]="Challenging the Tower",5,IF(DataTable[[#This Row],[E. Game Compl.]]="Scaling the Tower",15,)))</f>
        <v>0</v>
      </c>
      <c r="J619">
        <f>Table2[[#This Row],[AUTO Pts]]+Table2[[#This Row],[Shooting Pts.]]+Table2[[#This Row],[Def. Points]]+Table2[[#This Row],[E. Game Pts.]]</f>
        <v>0</v>
      </c>
    </row>
    <row r="620" spans="1:10" x14ac:dyDescent="0.25">
      <c r="A620">
        <f>DataTable[[#This Row],[Tm.]]</f>
        <v>0</v>
      </c>
      <c r="B620">
        <f>DataTable[[#This Row],[Match Nr.]]</f>
        <v>0</v>
      </c>
      <c r="C6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0">
        <f>DataTable[[#This Row],[Successful Lo. G. S]]*2+DataTable[[#This Row],[Successful Hi. G. S.]]*10</f>
        <v>0</v>
      </c>
      <c r="H6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0">
        <f>IF(DataTable[[#This Row],[E. Game Compl.]]="Nothing",0,IF(DataTable[[#This Row],[E. Game Compl.]]="Challenging the Tower",5,IF(DataTable[[#This Row],[E. Game Compl.]]="Scaling the Tower",15,)))</f>
        <v>0</v>
      </c>
      <c r="J620">
        <f>Table2[[#This Row],[AUTO Pts]]+Table2[[#This Row],[Shooting Pts.]]+Table2[[#This Row],[Def. Points]]+Table2[[#This Row],[E. Game Pts.]]</f>
        <v>0</v>
      </c>
    </row>
    <row r="621" spans="1:10" x14ac:dyDescent="0.25">
      <c r="A621">
        <f>DataTable[[#This Row],[Tm.]]</f>
        <v>0</v>
      </c>
      <c r="B621">
        <f>DataTable[[#This Row],[Match Nr.]]</f>
        <v>0</v>
      </c>
      <c r="C6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1">
        <f>DataTable[[#This Row],[Successful Lo. G. S]]*2+DataTable[[#This Row],[Successful Hi. G. S.]]*10</f>
        <v>0</v>
      </c>
      <c r="H6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1">
        <f>IF(DataTable[[#This Row],[E. Game Compl.]]="Nothing",0,IF(DataTable[[#This Row],[E. Game Compl.]]="Challenging the Tower",5,IF(DataTable[[#This Row],[E. Game Compl.]]="Scaling the Tower",15,)))</f>
        <v>0</v>
      </c>
      <c r="J621">
        <f>Table2[[#This Row],[AUTO Pts]]+Table2[[#This Row],[Shooting Pts.]]+Table2[[#This Row],[Def. Points]]+Table2[[#This Row],[E. Game Pts.]]</f>
        <v>0</v>
      </c>
    </row>
    <row r="622" spans="1:10" x14ac:dyDescent="0.25">
      <c r="A622">
        <f>DataTable[[#This Row],[Tm.]]</f>
        <v>0</v>
      </c>
      <c r="B622">
        <f>DataTable[[#This Row],[Match Nr.]]</f>
        <v>0</v>
      </c>
      <c r="C6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2">
        <f>DataTable[[#This Row],[Successful Lo. G. S]]*2+DataTable[[#This Row],[Successful Hi. G. S.]]*10</f>
        <v>0</v>
      </c>
      <c r="H6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2">
        <f>IF(DataTable[[#This Row],[E. Game Compl.]]="Nothing",0,IF(DataTable[[#This Row],[E. Game Compl.]]="Challenging the Tower",5,IF(DataTable[[#This Row],[E. Game Compl.]]="Scaling the Tower",15,)))</f>
        <v>0</v>
      </c>
      <c r="J622">
        <f>Table2[[#This Row],[AUTO Pts]]+Table2[[#This Row],[Shooting Pts.]]+Table2[[#This Row],[Def. Points]]+Table2[[#This Row],[E. Game Pts.]]</f>
        <v>0</v>
      </c>
    </row>
    <row r="623" spans="1:10" x14ac:dyDescent="0.25">
      <c r="A623">
        <f>DataTable[[#This Row],[Tm.]]</f>
        <v>0</v>
      </c>
      <c r="B623">
        <f>DataTable[[#This Row],[Match Nr.]]</f>
        <v>0</v>
      </c>
      <c r="C6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3">
        <f>DataTable[[#This Row],[Successful Lo. G. S]]*2+DataTable[[#This Row],[Successful Hi. G. S.]]*10</f>
        <v>0</v>
      </c>
      <c r="H6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3">
        <f>IF(DataTable[[#This Row],[E. Game Compl.]]="Nothing",0,IF(DataTable[[#This Row],[E. Game Compl.]]="Challenging the Tower",5,IF(DataTable[[#This Row],[E. Game Compl.]]="Scaling the Tower",15,)))</f>
        <v>0</v>
      </c>
      <c r="J623">
        <f>Table2[[#This Row],[AUTO Pts]]+Table2[[#This Row],[Shooting Pts.]]+Table2[[#This Row],[Def. Points]]+Table2[[#This Row],[E. Game Pts.]]</f>
        <v>0</v>
      </c>
    </row>
    <row r="624" spans="1:10" x14ac:dyDescent="0.25">
      <c r="A624">
        <f>DataTable[[#This Row],[Tm.]]</f>
        <v>0</v>
      </c>
      <c r="B624">
        <f>DataTable[[#This Row],[Match Nr.]]</f>
        <v>0</v>
      </c>
      <c r="C6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4">
        <f>DataTable[[#This Row],[Successful Lo. G. S]]*2+DataTable[[#This Row],[Successful Hi. G. S.]]*10</f>
        <v>0</v>
      </c>
      <c r="H6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4">
        <f>IF(DataTable[[#This Row],[E. Game Compl.]]="Nothing",0,IF(DataTable[[#This Row],[E. Game Compl.]]="Challenging the Tower",5,IF(DataTable[[#This Row],[E. Game Compl.]]="Scaling the Tower",15,)))</f>
        <v>0</v>
      </c>
      <c r="J624">
        <f>Table2[[#This Row],[AUTO Pts]]+Table2[[#This Row],[Shooting Pts.]]+Table2[[#This Row],[Def. Points]]+Table2[[#This Row],[E. Game Pts.]]</f>
        <v>0</v>
      </c>
    </row>
    <row r="625" spans="1:10" x14ac:dyDescent="0.25">
      <c r="A625">
        <f>DataTable[[#This Row],[Tm.]]</f>
        <v>0</v>
      </c>
      <c r="B625">
        <f>DataTable[[#This Row],[Match Nr.]]</f>
        <v>0</v>
      </c>
      <c r="C6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5">
        <f>DataTable[[#This Row],[Successful Lo. G. S]]*2+DataTable[[#This Row],[Successful Hi. G. S.]]*10</f>
        <v>0</v>
      </c>
      <c r="H6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5">
        <f>IF(DataTable[[#This Row],[E. Game Compl.]]="Nothing",0,IF(DataTable[[#This Row],[E. Game Compl.]]="Challenging the Tower",5,IF(DataTable[[#This Row],[E. Game Compl.]]="Scaling the Tower",15,)))</f>
        <v>0</v>
      </c>
      <c r="J625">
        <f>Table2[[#This Row],[AUTO Pts]]+Table2[[#This Row],[Shooting Pts.]]+Table2[[#This Row],[Def. Points]]+Table2[[#This Row],[E. Game Pts.]]</f>
        <v>0</v>
      </c>
    </row>
    <row r="626" spans="1:10" x14ac:dyDescent="0.25">
      <c r="A626">
        <f>DataTable[[#This Row],[Tm.]]</f>
        <v>0</v>
      </c>
      <c r="B626">
        <f>DataTable[[#This Row],[Match Nr.]]</f>
        <v>0</v>
      </c>
      <c r="C6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6">
        <f>DataTable[[#This Row],[Successful Lo. G. S]]*2+DataTable[[#This Row],[Successful Hi. G. S.]]*10</f>
        <v>0</v>
      </c>
      <c r="H6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6">
        <f>IF(DataTable[[#This Row],[E. Game Compl.]]="Nothing",0,IF(DataTable[[#This Row],[E. Game Compl.]]="Challenging the Tower",5,IF(DataTable[[#This Row],[E. Game Compl.]]="Scaling the Tower",15,)))</f>
        <v>0</v>
      </c>
      <c r="J626">
        <f>Table2[[#This Row],[AUTO Pts]]+Table2[[#This Row],[Shooting Pts.]]+Table2[[#This Row],[Def. Points]]+Table2[[#This Row],[E. Game Pts.]]</f>
        <v>0</v>
      </c>
    </row>
    <row r="627" spans="1:10" x14ac:dyDescent="0.25">
      <c r="A627">
        <f>DataTable[[#This Row],[Tm.]]</f>
        <v>0</v>
      </c>
      <c r="B627">
        <f>DataTable[[#This Row],[Match Nr.]]</f>
        <v>0</v>
      </c>
      <c r="C6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7">
        <f>DataTable[[#This Row],[Successful Lo. G. S]]*2+DataTable[[#This Row],[Successful Hi. G. S.]]*10</f>
        <v>0</v>
      </c>
      <c r="H6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7">
        <f>IF(DataTable[[#This Row],[E. Game Compl.]]="Nothing",0,IF(DataTable[[#This Row],[E. Game Compl.]]="Challenging the Tower",5,IF(DataTable[[#This Row],[E. Game Compl.]]="Scaling the Tower",15,)))</f>
        <v>0</v>
      </c>
      <c r="J627">
        <f>Table2[[#This Row],[AUTO Pts]]+Table2[[#This Row],[Shooting Pts.]]+Table2[[#This Row],[Def. Points]]+Table2[[#This Row],[E. Game Pts.]]</f>
        <v>0</v>
      </c>
    </row>
    <row r="628" spans="1:10" x14ac:dyDescent="0.25">
      <c r="A628">
        <f>DataTable[[#This Row],[Tm.]]</f>
        <v>0</v>
      </c>
      <c r="B628">
        <f>DataTable[[#This Row],[Match Nr.]]</f>
        <v>0</v>
      </c>
      <c r="C6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8">
        <f>DataTable[[#This Row],[Successful Lo. G. S]]*2+DataTable[[#This Row],[Successful Hi. G. S.]]*10</f>
        <v>0</v>
      </c>
      <c r="H6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8">
        <f>IF(DataTable[[#This Row],[E. Game Compl.]]="Nothing",0,IF(DataTable[[#This Row],[E. Game Compl.]]="Challenging the Tower",5,IF(DataTable[[#This Row],[E. Game Compl.]]="Scaling the Tower",15,)))</f>
        <v>0</v>
      </c>
      <c r="J628">
        <f>Table2[[#This Row],[AUTO Pts]]+Table2[[#This Row],[Shooting Pts.]]+Table2[[#This Row],[Def. Points]]+Table2[[#This Row],[E. Game Pts.]]</f>
        <v>0</v>
      </c>
    </row>
    <row r="629" spans="1:10" x14ac:dyDescent="0.25">
      <c r="A629">
        <f>DataTable[[#This Row],[Tm.]]</f>
        <v>0</v>
      </c>
      <c r="B629">
        <f>DataTable[[#This Row],[Match Nr.]]</f>
        <v>0</v>
      </c>
      <c r="C6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9">
        <f>DataTable[[#This Row],[Successful Lo. G. S]]*2+DataTable[[#This Row],[Successful Hi. G. S.]]*10</f>
        <v>0</v>
      </c>
      <c r="H6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9">
        <f>IF(DataTable[[#This Row],[E. Game Compl.]]="Nothing",0,IF(DataTable[[#This Row],[E. Game Compl.]]="Challenging the Tower",5,IF(DataTable[[#This Row],[E. Game Compl.]]="Scaling the Tower",15,)))</f>
        <v>0</v>
      </c>
      <c r="J629">
        <f>Table2[[#This Row],[AUTO Pts]]+Table2[[#This Row],[Shooting Pts.]]+Table2[[#This Row],[Def. Points]]+Table2[[#This Row],[E. Game Pts.]]</f>
        <v>0</v>
      </c>
    </row>
    <row r="630" spans="1:10" x14ac:dyDescent="0.25">
      <c r="A630">
        <f>DataTable[[#This Row],[Tm.]]</f>
        <v>0</v>
      </c>
      <c r="B630">
        <f>DataTable[[#This Row],[Match Nr.]]</f>
        <v>0</v>
      </c>
      <c r="C6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0">
        <f>DataTable[[#This Row],[Successful Lo. G. S]]*2+DataTable[[#This Row],[Successful Hi. G. S.]]*10</f>
        <v>0</v>
      </c>
      <c r="H6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0">
        <f>IF(DataTable[[#This Row],[E. Game Compl.]]="Nothing",0,IF(DataTable[[#This Row],[E. Game Compl.]]="Challenging the Tower",5,IF(DataTable[[#This Row],[E. Game Compl.]]="Scaling the Tower",15,)))</f>
        <v>0</v>
      </c>
      <c r="J630">
        <f>Table2[[#This Row],[AUTO Pts]]+Table2[[#This Row],[Shooting Pts.]]+Table2[[#This Row],[Def. Points]]+Table2[[#This Row],[E. Game Pts.]]</f>
        <v>0</v>
      </c>
    </row>
    <row r="631" spans="1:10" x14ac:dyDescent="0.25">
      <c r="A631">
        <f>DataTable[[#This Row],[Tm.]]</f>
        <v>0</v>
      </c>
      <c r="B631">
        <f>DataTable[[#This Row],[Match Nr.]]</f>
        <v>0</v>
      </c>
      <c r="C6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1">
        <f>DataTable[[#This Row],[Successful Lo. G. S]]*2+DataTable[[#This Row],[Successful Hi. G. S.]]*10</f>
        <v>0</v>
      </c>
      <c r="H6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1">
        <f>IF(DataTable[[#This Row],[E. Game Compl.]]="Nothing",0,IF(DataTable[[#This Row],[E. Game Compl.]]="Challenging the Tower",5,IF(DataTable[[#This Row],[E. Game Compl.]]="Scaling the Tower",15,)))</f>
        <v>0</v>
      </c>
      <c r="J631">
        <f>Table2[[#This Row],[AUTO Pts]]+Table2[[#This Row],[Shooting Pts.]]+Table2[[#This Row],[Def. Points]]+Table2[[#This Row],[E. Game Pts.]]</f>
        <v>0</v>
      </c>
    </row>
    <row r="632" spans="1:10" x14ac:dyDescent="0.25">
      <c r="A632">
        <f>DataTable[[#This Row],[Tm.]]</f>
        <v>0</v>
      </c>
      <c r="B632">
        <f>DataTable[[#This Row],[Match Nr.]]</f>
        <v>0</v>
      </c>
      <c r="C6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2">
        <f>DataTable[[#This Row],[Successful Lo. G. S]]*2+DataTable[[#This Row],[Successful Hi. G. S.]]*10</f>
        <v>0</v>
      </c>
      <c r="H6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2">
        <f>IF(DataTable[[#This Row],[E. Game Compl.]]="Nothing",0,IF(DataTable[[#This Row],[E. Game Compl.]]="Challenging the Tower",5,IF(DataTable[[#This Row],[E. Game Compl.]]="Scaling the Tower",15,)))</f>
        <v>0</v>
      </c>
      <c r="J632">
        <f>Table2[[#This Row],[AUTO Pts]]+Table2[[#This Row],[Shooting Pts.]]+Table2[[#This Row],[Def. Points]]+Table2[[#This Row],[E. Game Pts.]]</f>
        <v>0</v>
      </c>
    </row>
    <row r="633" spans="1:10" x14ac:dyDescent="0.25">
      <c r="A633">
        <f>DataTable[[#This Row],[Tm.]]</f>
        <v>0</v>
      </c>
      <c r="B633">
        <f>DataTable[[#This Row],[Match Nr.]]</f>
        <v>0</v>
      </c>
      <c r="C6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3">
        <f>DataTable[[#This Row],[Successful Lo. G. S]]*2+DataTable[[#This Row],[Successful Hi. G. S.]]*10</f>
        <v>0</v>
      </c>
      <c r="H6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3">
        <f>IF(DataTable[[#This Row],[E. Game Compl.]]="Nothing",0,IF(DataTable[[#This Row],[E. Game Compl.]]="Challenging the Tower",5,IF(DataTable[[#This Row],[E. Game Compl.]]="Scaling the Tower",15,)))</f>
        <v>0</v>
      </c>
      <c r="J633">
        <f>Table2[[#This Row],[AUTO Pts]]+Table2[[#This Row],[Shooting Pts.]]+Table2[[#This Row],[Def. Points]]+Table2[[#This Row],[E. Game Pts.]]</f>
        <v>0</v>
      </c>
    </row>
    <row r="634" spans="1:10" x14ac:dyDescent="0.25">
      <c r="A634">
        <f>DataTable[[#This Row],[Tm.]]</f>
        <v>0</v>
      </c>
      <c r="B634">
        <f>DataTable[[#This Row],[Match Nr.]]</f>
        <v>0</v>
      </c>
      <c r="C6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4">
        <f>DataTable[[#This Row],[Successful Lo. G. S]]*2+DataTable[[#This Row],[Successful Hi. G. S.]]*10</f>
        <v>0</v>
      </c>
      <c r="H6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4">
        <f>IF(DataTable[[#This Row],[E. Game Compl.]]="Nothing",0,IF(DataTable[[#This Row],[E. Game Compl.]]="Challenging the Tower",5,IF(DataTable[[#This Row],[E. Game Compl.]]="Scaling the Tower",15,)))</f>
        <v>0</v>
      </c>
      <c r="J634">
        <f>Table2[[#This Row],[AUTO Pts]]+Table2[[#This Row],[Shooting Pts.]]+Table2[[#This Row],[Def. Points]]+Table2[[#This Row],[E. Game Pts.]]</f>
        <v>0</v>
      </c>
    </row>
    <row r="635" spans="1:10" x14ac:dyDescent="0.25">
      <c r="A635">
        <f>DataTable[[#This Row],[Tm.]]</f>
        <v>0</v>
      </c>
      <c r="B635">
        <f>DataTable[[#This Row],[Match Nr.]]</f>
        <v>0</v>
      </c>
      <c r="C6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5">
        <f>DataTable[[#This Row],[Successful Lo. G. S]]*2+DataTable[[#This Row],[Successful Hi. G. S.]]*10</f>
        <v>0</v>
      </c>
      <c r="H6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5">
        <f>IF(DataTable[[#This Row],[E. Game Compl.]]="Nothing",0,IF(DataTable[[#This Row],[E. Game Compl.]]="Challenging the Tower",5,IF(DataTable[[#This Row],[E. Game Compl.]]="Scaling the Tower",15,)))</f>
        <v>0</v>
      </c>
      <c r="J635">
        <f>Table2[[#This Row],[AUTO Pts]]+Table2[[#This Row],[Shooting Pts.]]+Table2[[#This Row],[Def. Points]]+Table2[[#This Row],[E. Game Pts.]]</f>
        <v>0</v>
      </c>
    </row>
    <row r="636" spans="1:10" x14ac:dyDescent="0.25">
      <c r="A636">
        <f>DataTable[[#This Row],[Tm.]]</f>
        <v>0</v>
      </c>
      <c r="B636">
        <f>DataTable[[#This Row],[Match Nr.]]</f>
        <v>0</v>
      </c>
      <c r="C6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6">
        <f>DataTable[[#This Row],[Successful Lo. G. S]]*2+DataTable[[#This Row],[Successful Hi. G. S.]]*10</f>
        <v>0</v>
      </c>
      <c r="H6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6">
        <f>IF(DataTable[[#This Row],[E. Game Compl.]]="Nothing",0,IF(DataTable[[#This Row],[E. Game Compl.]]="Challenging the Tower",5,IF(DataTable[[#This Row],[E. Game Compl.]]="Scaling the Tower",15,)))</f>
        <v>0</v>
      </c>
      <c r="J636">
        <f>Table2[[#This Row],[AUTO Pts]]+Table2[[#This Row],[Shooting Pts.]]+Table2[[#This Row],[Def. Points]]+Table2[[#This Row],[E. Game Pts.]]</f>
        <v>0</v>
      </c>
    </row>
    <row r="637" spans="1:10" x14ac:dyDescent="0.25">
      <c r="A637">
        <f>DataTable[[#This Row],[Tm.]]</f>
        <v>0</v>
      </c>
      <c r="B637">
        <f>DataTable[[#This Row],[Match Nr.]]</f>
        <v>0</v>
      </c>
      <c r="C6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7">
        <f>DataTable[[#This Row],[Successful Lo. G. S]]*2+DataTable[[#This Row],[Successful Hi. G. S.]]*10</f>
        <v>0</v>
      </c>
      <c r="H6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7">
        <f>IF(DataTable[[#This Row],[E. Game Compl.]]="Nothing",0,IF(DataTable[[#This Row],[E. Game Compl.]]="Challenging the Tower",5,IF(DataTable[[#This Row],[E. Game Compl.]]="Scaling the Tower",15,)))</f>
        <v>0</v>
      </c>
      <c r="J637">
        <f>Table2[[#This Row],[AUTO Pts]]+Table2[[#This Row],[Shooting Pts.]]+Table2[[#This Row],[Def. Points]]+Table2[[#This Row],[E. Game Pts.]]</f>
        <v>0</v>
      </c>
    </row>
    <row r="638" spans="1:10" x14ac:dyDescent="0.25">
      <c r="A638">
        <f>DataTable[[#This Row],[Tm.]]</f>
        <v>0</v>
      </c>
      <c r="B638">
        <f>DataTable[[#This Row],[Match Nr.]]</f>
        <v>0</v>
      </c>
      <c r="C6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8">
        <f>DataTable[[#This Row],[Successful Lo. G. S]]*2+DataTable[[#This Row],[Successful Hi. G. S.]]*10</f>
        <v>0</v>
      </c>
      <c r="H6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8">
        <f>IF(DataTable[[#This Row],[E. Game Compl.]]="Nothing",0,IF(DataTable[[#This Row],[E. Game Compl.]]="Challenging the Tower",5,IF(DataTable[[#This Row],[E. Game Compl.]]="Scaling the Tower",15,)))</f>
        <v>0</v>
      </c>
      <c r="J638">
        <f>Table2[[#This Row],[AUTO Pts]]+Table2[[#This Row],[Shooting Pts.]]+Table2[[#This Row],[Def. Points]]+Table2[[#This Row],[E. Game Pts.]]</f>
        <v>0</v>
      </c>
    </row>
    <row r="639" spans="1:10" x14ac:dyDescent="0.25">
      <c r="A639">
        <f>DataTable[[#This Row],[Tm.]]</f>
        <v>0</v>
      </c>
      <c r="B639">
        <f>DataTable[[#This Row],[Match Nr.]]</f>
        <v>0</v>
      </c>
      <c r="C6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9">
        <f>DataTable[[#This Row],[Successful Lo. G. S]]*2+DataTable[[#This Row],[Successful Hi. G. S.]]*10</f>
        <v>0</v>
      </c>
      <c r="H6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9">
        <f>IF(DataTable[[#This Row],[E. Game Compl.]]="Nothing",0,IF(DataTable[[#This Row],[E. Game Compl.]]="Challenging the Tower",5,IF(DataTable[[#This Row],[E. Game Compl.]]="Scaling the Tower",15,)))</f>
        <v>0</v>
      </c>
      <c r="J639">
        <f>Table2[[#This Row],[AUTO Pts]]+Table2[[#This Row],[Shooting Pts.]]+Table2[[#This Row],[Def. Points]]+Table2[[#This Row],[E. Game Pts.]]</f>
        <v>0</v>
      </c>
    </row>
    <row r="640" spans="1:10" x14ac:dyDescent="0.25">
      <c r="A640">
        <f>DataTable[[#This Row],[Tm.]]</f>
        <v>0</v>
      </c>
      <c r="B640">
        <f>DataTable[[#This Row],[Match Nr.]]</f>
        <v>0</v>
      </c>
      <c r="C6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0">
        <f>DataTable[[#This Row],[Successful Lo. G. S]]*2+DataTable[[#This Row],[Successful Hi. G. S.]]*10</f>
        <v>0</v>
      </c>
      <c r="H6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0">
        <f>IF(DataTable[[#This Row],[E. Game Compl.]]="Nothing",0,IF(DataTable[[#This Row],[E. Game Compl.]]="Challenging the Tower",5,IF(DataTable[[#This Row],[E. Game Compl.]]="Scaling the Tower",15,)))</f>
        <v>0</v>
      </c>
      <c r="J640">
        <f>Table2[[#This Row],[AUTO Pts]]+Table2[[#This Row],[Shooting Pts.]]+Table2[[#This Row],[Def. Points]]+Table2[[#This Row],[E. Game Pts.]]</f>
        <v>0</v>
      </c>
    </row>
    <row r="641" spans="1:10" x14ac:dyDescent="0.25">
      <c r="A641">
        <f>DataTable[[#This Row],[Tm.]]</f>
        <v>0</v>
      </c>
      <c r="B641">
        <f>DataTable[[#This Row],[Match Nr.]]</f>
        <v>0</v>
      </c>
      <c r="C6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1">
        <f>DataTable[[#This Row],[Successful Lo. G. S]]*2+DataTable[[#This Row],[Successful Hi. G. S.]]*10</f>
        <v>0</v>
      </c>
      <c r="H6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1">
        <f>IF(DataTable[[#This Row],[E. Game Compl.]]="Nothing",0,IF(DataTable[[#This Row],[E. Game Compl.]]="Challenging the Tower",5,IF(DataTable[[#This Row],[E. Game Compl.]]="Scaling the Tower",15,)))</f>
        <v>0</v>
      </c>
      <c r="J641">
        <f>Table2[[#This Row],[AUTO Pts]]+Table2[[#This Row],[Shooting Pts.]]+Table2[[#This Row],[Def. Points]]+Table2[[#This Row],[E. Game Pts.]]</f>
        <v>0</v>
      </c>
    </row>
    <row r="642" spans="1:10" x14ac:dyDescent="0.25">
      <c r="A642">
        <f>DataTable[[#This Row],[Tm.]]</f>
        <v>0</v>
      </c>
      <c r="B642">
        <f>DataTable[[#This Row],[Match Nr.]]</f>
        <v>0</v>
      </c>
      <c r="C6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2">
        <f>DataTable[[#This Row],[Successful Lo. G. S]]*2+DataTable[[#This Row],[Successful Hi. G. S.]]*10</f>
        <v>0</v>
      </c>
      <c r="H6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2">
        <f>IF(DataTable[[#This Row],[E. Game Compl.]]="Nothing",0,IF(DataTable[[#This Row],[E. Game Compl.]]="Challenging the Tower",5,IF(DataTable[[#This Row],[E. Game Compl.]]="Scaling the Tower",15,)))</f>
        <v>0</v>
      </c>
      <c r="J642">
        <f>Table2[[#This Row],[AUTO Pts]]+Table2[[#This Row],[Shooting Pts.]]+Table2[[#This Row],[Def. Points]]+Table2[[#This Row],[E. Game Pts.]]</f>
        <v>0</v>
      </c>
    </row>
    <row r="643" spans="1:10" x14ac:dyDescent="0.25">
      <c r="A643">
        <f>DataTable[[#This Row],[Tm.]]</f>
        <v>0</v>
      </c>
      <c r="B643">
        <f>DataTable[[#This Row],[Match Nr.]]</f>
        <v>0</v>
      </c>
      <c r="C6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3">
        <f>DataTable[[#This Row],[Successful Lo. G. S]]*2+DataTable[[#This Row],[Successful Hi. G. S.]]*10</f>
        <v>0</v>
      </c>
      <c r="H6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3">
        <f>IF(DataTable[[#This Row],[E. Game Compl.]]="Nothing",0,IF(DataTable[[#This Row],[E. Game Compl.]]="Challenging the Tower",5,IF(DataTable[[#This Row],[E. Game Compl.]]="Scaling the Tower",15,)))</f>
        <v>0</v>
      </c>
      <c r="J643">
        <f>Table2[[#This Row],[AUTO Pts]]+Table2[[#This Row],[Shooting Pts.]]+Table2[[#This Row],[Def. Points]]+Table2[[#This Row],[E. Game Pts.]]</f>
        <v>0</v>
      </c>
    </row>
    <row r="644" spans="1:10" x14ac:dyDescent="0.25">
      <c r="A644">
        <f>DataTable[[#This Row],[Tm.]]</f>
        <v>0</v>
      </c>
      <c r="B644">
        <f>DataTable[[#This Row],[Match Nr.]]</f>
        <v>0</v>
      </c>
      <c r="C6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4">
        <f>DataTable[[#This Row],[Successful Lo. G. S]]*2+DataTable[[#This Row],[Successful Hi. G. S.]]*10</f>
        <v>0</v>
      </c>
      <c r="H6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4">
        <f>IF(DataTable[[#This Row],[E. Game Compl.]]="Nothing",0,IF(DataTable[[#This Row],[E. Game Compl.]]="Challenging the Tower",5,IF(DataTable[[#This Row],[E. Game Compl.]]="Scaling the Tower",15,)))</f>
        <v>0</v>
      </c>
      <c r="J644">
        <f>Table2[[#This Row],[AUTO Pts]]+Table2[[#This Row],[Shooting Pts.]]+Table2[[#This Row],[Def. Points]]+Table2[[#This Row],[E. Game Pts.]]</f>
        <v>0</v>
      </c>
    </row>
    <row r="645" spans="1:10" x14ac:dyDescent="0.25">
      <c r="A645">
        <f>DataTable[[#This Row],[Tm.]]</f>
        <v>0</v>
      </c>
      <c r="B645">
        <f>DataTable[[#This Row],[Match Nr.]]</f>
        <v>0</v>
      </c>
      <c r="C6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5">
        <f>DataTable[[#This Row],[Successful Lo. G. S]]*2+DataTable[[#This Row],[Successful Hi. G. S.]]*10</f>
        <v>0</v>
      </c>
      <c r="H6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5">
        <f>IF(DataTable[[#This Row],[E. Game Compl.]]="Nothing",0,IF(DataTable[[#This Row],[E. Game Compl.]]="Challenging the Tower",5,IF(DataTable[[#This Row],[E. Game Compl.]]="Scaling the Tower",15,)))</f>
        <v>0</v>
      </c>
      <c r="J645">
        <f>Table2[[#This Row],[AUTO Pts]]+Table2[[#This Row],[Shooting Pts.]]+Table2[[#This Row],[Def. Points]]+Table2[[#This Row],[E. Game Pts.]]</f>
        <v>0</v>
      </c>
    </row>
    <row r="646" spans="1:10" x14ac:dyDescent="0.25">
      <c r="A646">
        <f>DataTable[[#This Row],[Tm.]]</f>
        <v>0</v>
      </c>
      <c r="B646">
        <f>DataTable[[#This Row],[Match Nr.]]</f>
        <v>0</v>
      </c>
      <c r="C6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6">
        <f>DataTable[[#This Row],[Successful Lo. G. S]]*2+DataTable[[#This Row],[Successful Hi. G. S.]]*10</f>
        <v>0</v>
      </c>
      <c r="H6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6">
        <f>IF(DataTable[[#This Row],[E. Game Compl.]]="Nothing",0,IF(DataTable[[#This Row],[E. Game Compl.]]="Challenging the Tower",5,IF(DataTable[[#This Row],[E. Game Compl.]]="Scaling the Tower",15,)))</f>
        <v>0</v>
      </c>
      <c r="J646">
        <f>Table2[[#This Row],[AUTO Pts]]+Table2[[#This Row],[Shooting Pts.]]+Table2[[#This Row],[Def. Points]]+Table2[[#This Row],[E. Game Pts.]]</f>
        <v>0</v>
      </c>
    </row>
    <row r="647" spans="1:10" x14ac:dyDescent="0.25">
      <c r="A647">
        <f>DataTable[[#This Row],[Tm.]]</f>
        <v>0</v>
      </c>
      <c r="B647">
        <f>DataTable[[#This Row],[Match Nr.]]</f>
        <v>0</v>
      </c>
      <c r="C6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7">
        <f>DataTable[[#This Row],[Successful Lo. G. S]]*2+DataTable[[#This Row],[Successful Hi. G. S.]]*10</f>
        <v>0</v>
      </c>
      <c r="H6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7">
        <f>IF(DataTable[[#This Row],[E. Game Compl.]]="Nothing",0,IF(DataTable[[#This Row],[E. Game Compl.]]="Challenging the Tower",5,IF(DataTable[[#This Row],[E. Game Compl.]]="Scaling the Tower",15,)))</f>
        <v>0</v>
      </c>
      <c r="J647">
        <f>Table2[[#This Row],[AUTO Pts]]+Table2[[#This Row],[Shooting Pts.]]+Table2[[#This Row],[Def. Points]]+Table2[[#This Row],[E. Game Pts.]]</f>
        <v>0</v>
      </c>
    </row>
    <row r="648" spans="1:10" x14ac:dyDescent="0.25">
      <c r="A648">
        <f>DataTable[[#This Row],[Tm.]]</f>
        <v>0</v>
      </c>
      <c r="B648">
        <f>DataTable[[#This Row],[Match Nr.]]</f>
        <v>0</v>
      </c>
      <c r="C6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8">
        <f>DataTable[[#This Row],[Successful Lo. G. S]]*2+DataTable[[#This Row],[Successful Hi. G. S.]]*10</f>
        <v>0</v>
      </c>
      <c r="H6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8">
        <f>IF(DataTable[[#This Row],[E. Game Compl.]]="Nothing",0,IF(DataTable[[#This Row],[E. Game Compl.]]="Challenging the Tower",5,IF(DataTable[[#This Row],[E. Game Compl.]]="Scaling the Tower",15,)))</f>
        <v>0</v>
      </c>
      <c r="J648">
        <f>Table2[[#This Row],[AUTO Pts]]+Table2[[#This Row],[Shooting Pts.]]+Table2[[#This Row],[Def. Points]]+Table2[[#This Row],[E. Game Pts.]]</f>
        <v>0</v>
      </c>
    </row>
    <row r="649" spans="1:10" x14ac:dyDescent="0.25">
      <c r="A649">
        <f>DataTable[[#This Row],[Tm.]]</f>
        <v>0</v>
      </c>
      <c r="B649">
        <f>DataTable[[#This Row],[Match Nr.]]</f>
        <v>0</v>
      </c>
      <c r="C6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9">
        <f>DataTable[[#This Row],[Successful Lo. G. S]]*2+DataTable[[#This Row],[Successful Hi. G. S.]]*10</f>
        <v>0</v>
      </c>
      <c r="H6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9">
        <f>IF(DataTable[[#This Row],[E. Game Compl.]]="Nothing",0,IF(DataTable[[#This Row],[E. Game Compl.]]="Challenging the Tower",5,IF(DataTable[[#This Row],[E. Game Compl.]]="Scaling the Tower",15,)))</f>
        <v>0</v>
      </c>
      <c r="J649">
        <f>Table2[[#This Row],[AUTO Pts]]+Table2[[#This Row],[Shooting Pts.]]+Table2[[#This Row],[Def. Points]]+Table2[[#This Row],[E. Game Pts.]]</f>
        <v>0</v>
      </c>
    </row>
    <row r="650" spans="1:10" x14ac:dyDescent="0.25">
      <c r="A650">
        <f>DataTable[[#This Row],[Tm.]]</f>
        <v>0</v>
      </c>
      <c r="B650">
        <f>DataTable[[#This Row],[Match Nr.]]</f>
        <v>0</v>
      </c>
      <c r="C6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0">
        <f>DataTable[[#This Row],[Successful Lo. G. S]]*2+DataTable[[#This Row],[Successful Hi. G. S.]]*10</f>
        <v>0</v>
      </c>
      <c r="H6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0">
        <f>IF(DataTable[[#This Row],[E. Game Compl.]]="Nothing",0,IF(DataTable[[#This Row],[E. Game Compl.]]="Challenging the Tower",5,IF(DataTable[[#This Row],[E. Game Compl.]]="Scaling the Tower",15,)))</f>
        <v>0</v>
      </c>
      <c r="J650">
        <f>Table2[[#This Row],[AUTO Pts]]+Table2[[#This Row],[Shooting Pts.]]+Table2[[#This Row],[Def. Points]]+Table2[[#This Row],[E. Game Pts.]]</f>
        <v>0</v>
      </c>
    </row>
    <row r="651" spans="1:10" x14ac:dyDescent="0.25">
      <c r="A651">
        <f>DataTable[[#This Row],[Tm.]]</f>
        <v>0</v>
      </c>
      <c r="B651">
        <f>DataTable[[#This Row],[Match Nr.]]</f>
        <v>0</v>
      </c>
      <c r="C6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1">
        <f>DataTable[[#This Row],[Successful Lo. G. S]]*2+DataTable[[#This Row],[Successful Hi. G. S.]]*10</f>
        <v>0</v>
      </c>
      <c r="H6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1">
        <f>IF(DataTable[[#This Row],[E. Game Compl.]]="Nothing",0,IF(DataTable[[#This Row],[E. Game Compl.]]="Challenging the Tower",5,IF(DataTable[[#This Row],[E. Game Compl.]]="Scaling the Tower",15,)))</f>
        <v>0</v>
      </c>
      <c r="J651">
        <f>Table2[[#This Row],[AUTO Pts]]+Table2[[#This Row],[Shooting Pts.]]+Table2[[#This Row],[Def. Points]]+Table2[[#This Row],[E. Game Pts.]]</f>
        <v>0</v>
      </c>
    </row>
    <row r="652" spans="1:10" x14ac:dyDescent="0.25">
      <c r="A652">
        <f>DataTable[[#This Row],[Tm.]]</f>
        <v>0</v>
      </c>
      <c r="B652">
        <f>DataTable[[#This Row],[Match Nr.]]</f>
        <v>0</v>
      </c>
      <c r="C6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2">
        <f>DataTable[[#This Row],[Successful Lo. G. S]]*2+DataTable[[#This Row],[Successful Hi. G. S.]]*10</f>
        <v>0</v>
      </c>
      <c r="H6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2">
        <f>IF(DataTable[[#This Row],[E. Game Compl.]]="Nothing",0,IF(DataTable[[#This Row],[E. Game Compl.]]="Challenging the Tower",5,IF(DataTable[[#This Row],[E. Game Compl.]]="Scaling the Tower",15,)))</f>
        <v>0</v>
      </c>
      <c r="J652">
        <f>Table2[[#This Row],[AUTO Pts]]+Table2[[#This Row],[Shooting Pts.]]+Table2[[#This Row],[Def. Points]]+Table2[[#This Row],[E. Game Pts.]]</f>
        <v>0</v>
      </c>
    </row>
    <row r="653" spans="1:10" x14ac:dyDescent="0.25">
      <c r="A653">
        <f>DataTable[[#This Row],[Tm.]]</f>
        <v>0</v>
      </c>
      <c r="B653">
        <f>DataTable[[#This Row],[Match Nr.]]</f>
        <v>0</v>
      </c>
      <c r="C6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3">
        <f>DataTable[[#This Row],[Successful Lo. G. S]]*2+DataTable[[#This Row],[Successful Hi. G. S.]]*10</f>
        <v>0</v>
      </c>
      <c r="H6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3">
        <f>IF(DataTable[[#This Row],[E. Game Compl.]]="Nothing",0,IF(DataTable[[#This Row],[E. Game Compl.]]="Challenging the Tower",5,IF(DataTable[[#This Row],[E. Game Compl.]]="Scaling the Tower",15,)))</f>
        <v>0</v>
      </c>
      <c r="J653">
        <f>Table2[[#This Row],[AUTO Pts]]+Table2[[#This Row],[Shooting Pts.]]+Table2[[#This Row],[Def. Points]]+Table2[[#This Row],[E. Game Pts.]]</f>
        <v>0</v>
      </c>
    </row>
    <row r="654" spans="1:10" x14ac:dyDescent="0.25">
      <c r="A654">
        <f>DataTable[[#This Row],[Tm.]]</f>
        <v>0</v>
      </c>
      <c r="B654">
        <f>DataTable[[#This Row],[Match Nr.]]</f>
        <v>0</v>
      </c>
      <c r="C6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4">
        <f>DataTable[[#This Row],[Successful Lo. G. S]]*2+DataTable[[#This Row],[Successful Hi. G. S.]]*10</f>
        <v>0</v>
      </c>
      <c r="H6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4">
        <f>IF(DataTable[[#This Row],[E. Game Compl.]]="Nothing",0,IF(DataTable[[#This Row],[E. Game Compl.]]="Challenging the Tower",5,IF(DataTable[[#This Row],[E. Game Compl.]]="Scaling the Tower",15,)))</f>
        <v>0</v>
      </c>
      <c r="J654">
        <f>Table2[[#This Row],[AUTO Pts]]+Table2[[#This Row],[Shooting Pts.]]+Table2[[#This Row],[Def. Points]]+Table2[[#This Row],[E. Game Pts.]]</f>
        <v>0</v>
      </c>
    </row>
    <row r="655" spans="1:10" x14ac:dyDescent="0.25">
      <c r="A655">
        <f>DataTable[[#This Row],[Tm.]]</f>
        <v>0</v>
      </c>
      <c r="B655">
        <f>DataTable[[#This Row],[Match Nr.]]</f>
        <v>0</v>
      </c>
      <c r="C6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5">
        <f>DataTable[[#This Row],[Successful Lo. G. S]]*2+DataTable[[#This Row],[Successful Hi. G. S.]]*10</f>
        <v>0</v>
      </c>
      <c r="H6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5">
        <f>IF(DataTable[[#This Row],[E. Game Compl.]]="Nothing",0,IF(DataTable[[#This Row],[E. Game Compl.]]="Challenging the Tower",5,IF(DataTable[[#This Row],[E. Game Compl.]]="Scaling the Tower",15,)))</f>
        <v>0</v>
      </c>
      <c r="J655">
        <f>Table2[[#This Row],[AUTO Pts]]+Table2[[#This Row],[Shooting Pts.]]+Table2[[#This Row],[Def. Points]]+Table2[[#This Row],[E. Game Pts.]]</f>
        <v>0</v>
      </c>
    </row>
    <row r="656" spans="1:10" x14ac:dyDescent="0.25">
      <c r="A656">
        <f>DataTable[[#This Row],[Tm.]]</f>
        <v>0</v>
      </c>
      <c r="B656">
        <f>DataTable[[#This Row],[Match Nr.]]</f>
        <v>0</v>
      </c>
      <c r="C6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6">
        <f>DataTable[[#This Row],[Successful Lo. G. S]]*2+DataTable[[#This Row],[Successful Hi. G. S.]]*10</f>
        <v>0</v>
      </c>
      <c r="H6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6">
        <f>IF(DataTable[[#This Row],[E. Game Compl.]]="Nothing",0,IF(DataTable[[#This Row],[E. Game Compl.]]="Challenging the Tower",5,IF(DataTable[[#This Row],[E. Game Compl.]]="Scaling the Tower",15,)))</f>
        <v>0</v>
      </c>
      <c r="J656">
        <f>Table2[[#This Row],[AUTO Pts]]+Table2[[#This Row],[Shooting Pts.]]+Table2[[#This Row],[Def. Points]]+Table2[[#This Row],[E. Game Pts.]]</f>
        <v>0</v>
      </c>
    </row>
    <row r="657" spans="1:10" x14ac:dyDescent="0.25">
      <c r="A657">
        <f>DataTable[[#This Row],[Tm.]]</f>
        <v>0</v>
      </c>
      <c r="B657">
        <f>DataTable[[#This Row],[Match Nr.]]</f>
        <v>0</v>
      </c>
      <c r="C6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7">
        <f>DataTable[[#This Row],[Successful Lo. G. S]]*2+DataTable[[#This Row],[Successful Hi. G. S.]]*10</f>
        <v>0</v>
      </c>
      <c r="H6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7">
        <f>IF(DataTable[[#This Row],[E. Game Compl.]]="Nothing",0,IF(DataTable[[#This Row],[E. Game Compl.]]="Challenging the Tower",5,IF(DataTable[[#This Row],[E. Game Compl.]]="Scaling the Tower",15,)))</f>
        <v>0</v>
      </c>
      <c r="J657">
        <f>Table2[[#This Row],[AUTO Pts]]+Table2[[#This Row],[Shooting Pts.]]+Table2[[#This Row],[Def. Points]]+Table2[[#This Row],[E. Game Pts.]]</f>
        <v>0</v>
      </c>
    </row>
    <row r="658" spans="1:10" x14ac:dyDescent="0.25">
      <c r="A658">
        <f>DataTable[[#This Row],[Tm.]]</f>
        <v>0</v>
      </c>
      <c r="B658">
        <f>DataTable[[#This Row],[Match Nr.]]</f>
        <v>0</v>
      </c>
      <c r="C6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8">
        <f>DataTable[[#This Row],[Successful Lo. G. S]]*2+DataTable[[#This Row],[Successful Hi. G. S.]]*10</f>
        <v>0</v>
      </c>
      <c r="H6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8">
        <f>IF(DataTable[[#This Row],[E. Game Compl.]]="Nothing",0,IF(DataTable[[#This Row],[E. Game Compl.]]="Challenging the Tower",5,IF(DataTable[[#This Row],[E. Game Compl.]]="Scaling the Tower",15,)))</f>
        <v>0</v>
      </c>
      <c r="J658">
        <f>Table2[[#This Row],[AUTO Pts]]+Table2[[#This Row],[Shooting Pts.]]+Table2[[#This Row],[Def. Points]]+Table2[[#This Row],[E. Game Pts.]]</f>
        <v>0</v>
      </c>
    </row>
    <row r="659" spans="1:10" x14ac:dyDescent="0.25">
      <c r="A659">
        <f>DataTable[[#This Row],[Tm.]]</f>
        <v>0</v>
      </c>
      <c r="B659">
        <f>DataTable[[#This Row],[Match Nr.]]</f>
        <v>0</v>
      </c>
      <c r="C6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9">
        <f>DataTable[[#This Row],[Successful Lo. G. S]]*2+DataTable[[#This Row],[Successful Hi. G. S.]]*10</f>
        <v>0</v>
      </c>
      <c r="H6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9">
        <f>IF(DataTable[[#This Row],[E. Game Compl.]]="Nothing",0,IF(DataTable[[#This Row],[E. Game Compl.]]="Challenging the Tower",5,IF(DataTable[[#This Row],[E. Game Compl.]]="Scaling the Tower",15,)))</f>
        <v>0</v>
      </c>
      <c r="J659">
        <f>Table2[[#This Row],[AUTO Pts]]+Table2[[#This Row],[Shooting Pts.]]+Table2[[#This Row],[Def. Points]]+Table2[[#This Row],[E. Game Pts.]]</f>
        <v>0</v>
      </c>
    </row>
    <row r="660" spans="1:10" x14ac:dyDescent="0.25">
      <c r="A660">
        <f>DataTable[[#This Row],[Tm.]]</f>
        <v>0</v>
      </c>
      <c r="B660">
        <f>DataTable[[#This Row],[Match Nr.]]</f>
        <v>0</v>
      </c>
      <c r="C6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0">
        <f>DataTable[[#This Row],[Successful Lo. G. S]]*2+DataTable[[#This Row],[Successful Hi. G. S.]]*10</f>
        <v>0</v>
      </c>
      <c r="H6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0">
        <f>IF(DataTable[[#This Row],[E. Game Compl.]]="Nothing",0,IF(DataTable[[#This Row],[E. Game Compl.]]="Challenging the Tower",5,IF(DataTable[[#This Row],[E. Game Compl.]]="Scaling the Tower",15,)))</f>
        <v>0</v>
      </c>
      <c r="J660">
        <f>Table2[[#This Row],[AUTO Pts]]+Table2[[#This Row],[Shooting Pts.]]+Table2[[#This Row],[Def. Points]]+Table2[[#This Row],[E. Game Pts.]]</f>
        <v>0</v>
      </c>
    </row>
    <row r="661" spans="1:10" x14ac:dyDescent="0.25">
      <c r="A661">
        <f>DataTable[[#This Row],[Tm.]]</f>
        <v>0</v>
      </c>
      <c r="B661">
        <f>DataTable[[#This Row],[Match Nr.]]</f>
        <v>0</v>
      </c>
      <c r="C6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1">
        <f>DataTable[[#This Row],[Successful Lo. G. S]]*2+DataTable[[#This Row],[Successful Hi. G. S.]]*10</f>
        <v>0</v>
      </c>
      <c r="H6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1">
        <f>IF(DataTable[[#This Row],[E. Game Compl.]]="Nothing",0,IF(DataTable[[#This Row],[E. Game Compl.]]="Challenging the Tower",5,IF(DataTable[[#This Row],[E. Game Compl.]]="Scaling the Tower",15,)))</f>
        <v>0</v>
      </c>
      <c r="J661">
        <f>Table2[[#This Row],[AUTO Pts]]+Table2[[#This Row],[Shooting Pts.]]+Table2[[#This Row],[Def. Points]]+Table2[[#This Row],[E. Game Pts.]]</f>
        <v>0</v>
      </c>
    </row>
    <row r="662" spans="1:10" x14ac:dyDescent="0.25">
      <c r="A662">
        <f>DataTable[[#This Row],[Tm.]]</f>
        <v>0</v>
      </c>
      <c r="B662">
        <f>DataTable[[#This Row],[Match Nr.]]</f>
        <v>0</v>
      </c>
      <c r="C6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2">
        <f>DataTable[[#This Row],[Successful Lo. G. S]]*2+DataTable[[#This Row],[Successful Hi. G. S.]]*10</f>
        <v>0</v>
      </c>
      <c r="H6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2">
        <f>IF(DataTable[[#This Row],[E. Game Compl.]]="Nothing",0,IF(DataTable[[#This Row],[E. Game Compl.]]="Challenging the Tower",5,IF(DataTable[[#This Row],[E. Game Compl.]]="Scaling the Tower",15,)))</f>
        <v>0</v>
      </c>
      <c r="J662">
        <f>Table2[[#This Row],[AUTO Pts]]+Table2[[#This Row],[Shooting Pts.]]+Table2[[#This Row],[Def. Points]]+Table2[[#This Row],[E. Game Pts.]]</f>
        <v>0</v>
      </c>
    </row>
    <row r="663" spans="1:10" x14ac:dyDescent="0.25">
      <c r="A663">
        <f>DataTable[[#This Row],[Tm.]]</f>
        <v>0</v>
      </c>
      <c r="B663">
        <f>DataTable[[#This Row],[Match Nr.]]</f>
        <v>0</v>
      </c>
      <c r="C6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3">
        <f>DataTable[[#This Row],[Successful Lo. G. S]]*2+DataTable[[#This Row],[Successful Hi. G. S.]]*10</f>
        <v>0</v>
      </c>
      <c r="H6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3">
        <f>IF(DataTable[[#This Row],[E. Game Compl.]]="Nothing",0,IF(DataTable[[#This Row],[E. Game Compl.]]="Challenging the Tower",5,IF(DataTable[[#This Row],[E. Game Compl.]]="Scaling the Tower",15,)))</f>
        <v>0</v>
      </c>
      <c r="J663">
        <f>Table2[[#This Row],[AUTO Pts]]+Table2[[#This Row],[Shooting Pts.]]+Table2[[#This Row],[Def. Points]]+Table2[[#This Row],[E. Game Pts.]]</f>
        <v>0</v>
      </c>
    </row>
    <row r="664" spans="1:10" x14ac:dyDescent="0.25">
      <c r="A664">
        <f>DataTable[[#This Row],[Tm.]]</f>
        <v>0</v>
      </c>
      <c r="B664">
        <f>DataTable[[#This Row],[Match Nr.]]</f>
        <v>0</v>
      </c>
      <c r="C6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4">
        <f>DataTable[[#This Row],[Successful Lo. G. S]]*2+DataTable[[#This Row],[Successful Hi. G. S.]]*10</f>
        <v>0</v>
      </c>
      <c r="H6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4">
        <f>IF(DataTable[[#This Row],[E. Game Compl.]]="Nothing",0,IF(DataTable[[#This Row],[E. Game Compl.]]="Challenging the Tower",5,IF(DataTable[[#This Row],[E. Game Compl.]]="Scaling the Tower",15,)))</f>
        <v>0</v>
      </c>
      <c r="J664">
        <f>Table2[[#This Row],[AUTO Pts]]+Table2[[#This Row],[Shooting Pts.]]+Table2[[#This Row],[Def. Points]]+Table2[[#This Row],[E. Game Pts.]]</f>
        <v>0</v>
      </c>
    </row>
    <row r="665" spans="1:10" x14ac:dyDescent="0.25">
      <c r="A665">
        <f>DataTable[[#This Row],[Tm.]]</f>
        <v>0</v>
      </c>
      <c r="B665">
        <f>DataTable[[#This Row],[Match Nr.]]</f>
        <v>0</v>
      </c>
      <c r="C6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5">
        <f>DataTable[[#This Row],[Successful Lo. G. S]]*2+DataTable[[#This Row],[Successful Hi. G. S.]]*10</f>
        <v>0</v>
      </c>
      <c r="H6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5">
        <f>IF(DataTable[[#This Row],[E. Game Compl.]]="Nothing",0,IF(DataTable[[#This Row],[E. Game Compl.]]="Challenging the Tower",5,IF(DataTable[[#This Row],[E. Game Compl.]]="Scaling the Tower",15,)))</f>
        <v>0</v>
      </c>
      <c r="J665">
        <f>Table2[[#This Row],[AUTO Pts]]+Table2[[#This Row],[Shooting Pts.]]+Table2[[#This Row],[Def. Points]]+Table2[[#This Row],[E. Game Pts.]]</f>
        <v>0</v>
      </c>
    </row>
    <row r="666" spans="1:10" x14ac:dyDescent="0.25">
      <c r="A666">
        <f>DataTable[[#This Row],[Tm.]]</f>
        <v>0</v>
      </c>
      <c r="B666">
        <f>DataTable[[#This Row],[Match Nr.]]</f>
        <v>0</v>
      </c>
      <c r="C6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6">
        <f>DataTable[[#This Row],[Successful Lo. G. S]]*2+DataTable[[#This Row],[Successful Hi. G. S.]]*10</f>
        <v>0</v>
      </c>
      <c r="H6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6">
        <f>IF(DataTable[[#This Row],[E. Game Compl.]]="Nothing",0,IF(DataTable[[#This Row],[E. Game Compl.]]="Challenging the Tower",5,IF(DataTable[[#This Row],[E. Game Compl.]]="Scaling the Tower",15,)))</f>
        <v>0</v>
      </c>
      <c r="J666">
        <f>Table2[[#This Row],[AUTO Pts]]+Table2[[#This Row],[Shooting Pts.]]+Table2[[#This Row],[Def. Points]]+Table2[[#This Row],[E. Game Pts.]]</f>
        <v>0</v>
      </c>
    </row>
    <row r="667" spans="1:10" x14ac:dyDescent="0.25">
      <c r="A667">
        <f>DataTable[[#This Row],[Tm.]]</f>
        <v>0</v>
      </c>
      <c r="B667">
        <f>DataTable[[#This Row],[Match Nr.]]</f>
        <v>0</v>
      </c>
      <c r="C6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7">
        <f>DataTable[[#This Row],[Successful Lo. G. S]]*2+DataTable[[#This Row],[Successful Hi. G. S.]]*10</f>
        <v>0</v>
      </c>
      <c r="H6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7">
        <f>IF(DataTable[[#This Row],[E. Game Compl.]]="Nothing",0,IF(DataTable[[#This Row],[E. Game Compl.]]="Challenging the Tower",5,IF(DataTable[[#This Row],[E. Game Compl.]]="Scaling the Tower",15,)))</f>
        <v>0</v>
      </c>
      <c r="J667">
        <f>Table2[[#This Row],[AUTO Pts]]+Table2[[#This Row],[Shooting Pts.]]+Table2[[#This Row],[Def. Points]]+Table2[[#This Row],[E. Game Pts.]]</f>
        <v>0</v>
      </c>
    </row>
    <row r="668" spans="1:10" x14ac:dyDescent="0.25">
      <c r="A668">
        <f>DataTable[[#This Row],[Tm.]]</f>
        <v>0</v>
      </c>
      <c r="B668">
        <f>DataTable[[#This Row],[Match Nr.]]</f>
        <v>0</v>
      </c>
      <c r="C6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8">
        <f>DataTable[[#This Row],[Successful Lo. G. S]]*2+DataTable[[#This Row],[Successful Hi. G. S.]]*10</f>
        <v>0</v>
      </c>
      <c r="H6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8">
        <f>IF(DataTable[[#This Row],[E. Game Compl.]]="Nothing",0,IF(DataTable[[#This Row],[E. Game Compl.]]="Challenging the Tower",5,IF(DataTable[[#This Row],[E. Game Compl.]]="Scaling the Tower",15,)))</f>
        <v>0</v>
      </c>
      <c r="J668">
        <f>Table2[[#This Row],[AUTO Pts]]+Table2[[#This Row],[Shooting Pts.]]+Table2[[#This Row],[Def. Points]]+Table2[[#This Row],[E. Game Pts.]]</f>
        <v>0</v>
      </c>
    </row>
    <row r="669" spans="1:10" x14ac:dyDescent="0.25">
      <c r="A669">
        <f>DataTable[[#This Row],[Tm.]]</f>
        <v>0</v>
      </c>
      <c r="B669">
        <f>DataTable[[#This Row],[Match Nr.]]</f>
        <v>0</v>
      </c>
      <c r="C6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9">
        <f>DataTable[[#This Row],[Successful Lo. G. S]]*2+DataTable[[#This Row],[Successful Hi. G. S.]]*10</f>
        <v>0</v>
      </c>
      <c r="H6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9">
        <f>IF(DataTable[[#This Row],[E. Game Compl.]]="Nothing",0,IF(DataTable[[#This Row],[E. Game Compl.]]="Challenging the Tower",5,IF(DataTable[[#This Row],[E. Game Compl.]]="Scaling the Tower",15,)))</f>
        <v>0</v>
      </c>
      <c r="J669">
        <f>Table2[[#This Row],[AUTO Pts]]+Table2[[#This Row],[Shooting Pts.]]+Table2[[#This Row],[Def. Points]]+Table2[[#This Row],[E. Game Pts.]]</f>
        <v>0</v>
      </c>
    </row>
    <row r="670" spans="1:10" x14ac:dyDescent="0.25">
      <c r="A670">
        <f>DataTable[[#This Row],[Tm.]]</f>
        <v>0</v>
      </c>
      <c r="B670">
        <f>DataTable[[#This Row],[Match Nr.]]</f>
        <v>0</v>
      </c>
      <c r="C6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0">
        <f>DataTable[[#This Row],[Successful Lo. G. S]]*2+DataTable[[#This Row],[Successful Hi. G. S.]]*10</f>
        <v>0</v>
      </c>
      <c r="H6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0">
        <f>IF(DataTable[[#This Row],[E. Game Compl.]]="Nothing",0,IF(DataTable[[#This Row],[E. Game Compl.]]="Challenging the Tower",5,IF(DataTable[[#This Row],[E. Game Compl.]]="Scaling the Tower",15,)))</f>
        <v>0</v>
      </c>
      <c r="J670">
        <f>Table2[[#This Row],[AUTO Pts]]+Table2[[#This Row],[Shooting Pts.]]+Table2[[#This Row],[Def. Points]]+Table2[[#This Row],[E. Game Pts.]]</f>
        <v>0</v>
      </c>
    </row>
    <row r="671" spans="1:10" x14ac:dyDescent="0.25">
      <c r="A671">
        <f>DataTable[[#This Row],[Tm.]]</f>
        <v>0</v>
      </c>
      <c r="B671">
        <f>DataTable[[#This Row],[Match Nr.]]</f>
        <v>0</v>
      </c>
      <c r="C6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1">
        <f>DataTable[[#This Row],[Successful Lo. G. S]]*2+DataTable[[#This Row],[Successful Hi. G. S.]]*10</f>
        <v>0</v>
      </c>
      <c r="H6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1">
        <f>IF(DataTable[[#This Row],[E. Game Compl.]]="Nothing",0,IF(DataTable[[#This Row],[E. Game Compl.]]="Challenging the Tower",5,IF(DataTable[[#This Row],[E. Game Compl.]]="Scaling the Tower",15,)))</f>
        <v>0</v>
      </c>
      <c r="J671">
        <f>Table2[[#This Row],[AUTO Pts]]+Table2[[#This Row],[Shooting Pts.]]+Table2[[#This Row],[Def. Points]]+Table2[[#This Row],[E. Game Pts.]]</f>
        <v>0</v>
      </c>
    </row>
    <row r="672" spans="1:10" x14ac:dyDescent="0.25">
      <c r="A672">
        <f>DataTable[[#This Row],[Tm.]]</f>
        <v>0</v>
      </c>
      <c r="B672">
        <f>DataTable[[#This Row],[Match Nr.]]</f>
        <v>0</v>
      </c>
      <c r="C6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2">
        <f>DataTable[[#This Row],[Successful Lo. G. S]]*2+DataTable[[#This Row],[Successful Hi. G. S.]]*10</f>
        <v>0</v>
      </c>
      <c r="H6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2">
        <f>IF(DataTable[[#This Row],[E. Game Compl.]]="Nothing",0,IF(DataTable[[#This Row],[E. Game Compl.]]="Challenging the Tower",5,IF(DataTable[[#This Row],[E. Game Compl.]]="Scaling the Tower",15,)))</f>
        <v>0</v>
      </c>
      <c r="J672">
        <f>Table2[[#This Row],[AUTO Pts]]+Table2[[#This Row],[Shooting Pts.]]+Table2[[#This Row],[Def. Points]]+Table2[[#This Row],[E. Game Pts.]]</f>
        <v>0</v>
      </c>
    </row>
    <row r="673" spans="1:10" x14ac:dyDescent="0.25">
      <c r="A673">
        <f>DataTable[[#This Row],[Tm.]]</f>
        <v>0</v>
      </c>
      <c r="B673">
        <f>DataTable[[#This Row],[Match Nr.]]</f>
        <v>0</v>
      </c>
      <c r="C6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3">
        <f>DataTable[[#This Row],[Successful Lo. G. S]]*2+DataTable[[#This Row],[Successful Hi. G. S.]]*10</f>
        <v>0</v>
      </c>
      <c r="H6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3">
        <f>IF(DataTable[[#This Row],[E. Game Compl.]]="Nothing",0,IF(DataTable[[#This Row],[E. Game Compl.]]="Challenging the Tower",5,IF(DataTable[[#This Row],[E. Game Compl.]]="Scaling the Tower",15,)))</f>
        <v>0</v>
      </c>
      <c r="J673">
        <f>Table2[[#This Row],[AUTO Pts]]+Table2[[#This Row],[Shooting Pts.]]+Table2[[#This Row],[Def. Points]]+Table2[[#This Row],[E. Game Pts.]]</f>
        <v>0</v>
      </c>
    </row>
    <row r="674" spans="1:10" x14ac:dyDescent="0.25">
      <c r="A674">
        <f>DataTable[[#This Row],[Tm.]]</f>
        <v>0</v>
      </c>
      <c r="B674">
        <f>DataTable[[#This Row],[Match Nr.]]</f>
        <v>0</v>
      </c>
      <c r="C6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4">
        <f>DataTable[[#This Row],[Successful Lo. G. S]]*2+DataTable[[#This Row],[Successful Hi. G. S.]]*10</f>
        <v>0</v>
      </c>
      <c r="H6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4">
        <f>IF(DataTable[[#This Row],[E. Game Compl.]]="Nothing",0,IF(DataTable[[#This Row],[E. Game Compl.]]="Challenging the Tower",5,IF(DataTable[[#This Row],[E. Game Compl.]]="Scaling the Tower",15,)))</f>
        <v>0</v>
      </c>
      <c r="J674">
        <f>Table2[[#This Row],[AUTO Pts]]+Table2[[#This Row],[Shooting Pts.]]+Table2[[#This Row],[Def. Points]]+Table2[[#This Row],[E. Game Pts.]]</f>
        <v>0</v>
      </c>
    </row>
    <row r="675" spans="1:10" x14ac:dyDescent="0.25">
      <c r="A675">
        <f>DataTable[[#This Row],[Tm.]]</f>
        <v>0</v>
      </c>
      <c r="B675">
        <f>DataTable[[#This Row],[Match Nr.]]</f>
        <v>0</v>
      </c>
      <c r="C6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5">
        <f>DataTable[[#This Row],[Successful Lo. G. S]]*2+DataTable[[#This Row],[Successful Hi. G. S.]]*10</f>
        <v>0</v>
      </c>
      <c r="H6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5">
        <f>IF(DataTable[[#This Row],[E. Game Compl.]]="Nothing",0,IF(DataTable[[#This Row],[E. Game Compl.]]="Challenging the Tower",5,IF(DataTable[[#This Row],[E. Game Compl.]]="Scaling the Tower",15,)))</f>
        <v>0</v>
      </c>
      <c r="J675">
        <f>Table2[[#This Row],[AUTO Pts]]+Table2[[#This Row],[Shooting Pts.]]+Table2[[#This Row],[Def. Points]]+Table2[[#This Row],[E. Game Pts.]]</f>
        <v>0</v>
      </c>
    </row>
    <row r="676" spans="1:10" x14ac:dyDescent="0.25">
      <c r="A676">
        <f>DataTable[[#This Row],[Tm.]]</f>
        <v>0</v>
      </c>
      <c r="B676">
        <f>DataTable[[#This Row],[Match Nr.]]</f>
        <v>0</v>
      </c>
      <c r="C6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6">
        <f>DataTable[[#This Row],[Successful Lo. G. S]]*2+DataTable[[#This Row],[Successful Hi. G. S.]]*10</f>
        <v>0</v>
      </c>
      <c r="H6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6">
        <f>IF(DataTable[[#This Row],[E. Game Compl.]]="Nothing",0,IF(DataTable[[#This Row],[E. Game Compl.]]="Challenging the Tower",5,IF(DataTable[[#This Row],[E. Game Compl.]]="Scaling the Tower",15,)))</f>
        <v>0</v>
      </c>
      <c r="J676">
        <f>Table2[[#This Row],[AUTO Pts]]+Table2[[#This Row],[Shooting Pts.]]+Table2[[#This Row],[Def. Points]]+Table2[[#This Row],[E. Game Pts.]]</f>
        <v>0</v>
      </c>
    </row>
    <row r="677" spans="1:10" x14ac:dyDescent="0.25">
      <c r="A677">
        <f>DataTable[[#This Row],[Tm.]]</f>
        <v>0</v>
      </c>
      <c r="B677">
        <f>DataTable[[#This Row],[Match Nr.]]</f>
        <v>0</v>
      </c>
      <c r="C6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7">
        <f>DataTable[[#This Row],[Successful Lo. G. S]]*2+DataTable[[#This Row],[Successful Hi. G. S.]]*10</f>
        <v>0</v>
      </c>
      <c r="H6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7">
        <f>IF(DataTable[[#This Row],[E. Game Compl.]]="Nothing",0,IF(DataTable[[#This Row],[E. Game Compl.]]="Challenging the Tower",5,IF(DataTable[[#This Row],[E. Game Compl.]]="Scaling the Tower",15,)))</f>
        <v>0</v>
      </c>
      <c r="J677">
        <f>Table2[[#This Row],[AUTO Pts]]+Table2[[#This Row],[Shooting Pts.]]+Table2[[#This Row],[Def. Points]]+Table2[[#This Row],[E. Game Pts.]]</f>
        <v>0</v>
      </c>
    </row>
    <row r="678" spans="1:10" x14ac:dyDescent="0.25">
      <c r="A678">
        <f>DataTable[[#This Row],[Tm.]]</f>
        <v>0</v>
      </c>
      <c r="B678">
        <f>DataTable[[#This Row],[Match Nr.]]</f>
        <v>0</v>
      </c>
      <c r="C6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8">
        <f>DataTable[[#This Row],[Successful Lo. G. S]]*2+DataTable[[#This Row],[Successful Hi. G. S.]]*10</f>
        <v>0</v>
      </c>
      <c r="H6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8">
        <f>IF(DataTable[[#This Row],[E. Game Compl.]]="Nothing",0,IF(DataTable[[#This Row],[E. Game Compl.]]="Challenging the Tower",5,IF(DataTable[[#This Row],[E. Game Compl.]]="Scaling the Tower",15,)))</f>
        <v>0</v>
      </c>
      <c r="J678">
        <f>Table2[[#This Row],[AUTO Pts]]+Table2[[#This Row],[Shooting Pts.]]+Table2[[#This Row],[Def. Points]]+Table2[[#This Row],[E. Game Pts.]]</f>
        <v>0</v>
      </c>
    </row>
    <row r="679" spans="1:10" x14ac:dyDescent="0.25">
      <c r="A679">
        <f>DataTable[[#This Row],[Tm.]]</f>
        <v>0</v>
      </c>
      <c r="B679">
        <f>DataTable[[#This Row],[Match Nr.]]</f>
        <v>0</v>
      </c>
      <c r="C6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9">
        <f>DataTable[[#This Row],[Successful Lo. G. S]]*2+DataTable[[#This Row],[Successful Hi. G. S.]]*10</f>
        <v>0</v>
      </c>
      <c r="H6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9">
        <f>IF(DataTable[[#This Row],[E. Game Compl.]]="Nothing",0,IF(DataTable[[#This Row],[E. Game Compl.]]="Challenging the Tower",5,IF(DataTable[[#This Row],[E. Game Compl.]]="Scaling the Tower",15,)))</f>
        <v>0</v>
      </c>
      <c r="J679">
        <f>Table2[[#This Row],[AUTO Pts]]+Table2[[#This Row],[Shooting Pts.]]+Table2[[#This Row],[Def. Points]]+Table2[[#This Row],[E. Game Pts.]]</f>
        <v>0</v>
      </c>
    </row>
    <row r="680" spans="1:10" x14ac:dyDescent="0.25">
      <c r="A680">
        <f>DataTable[[#This Row],[Tm.]]</f>
        <v>0</v>
      </c>
      <c r="B680">
        <f>DataTable[[#This Row],[Match Nr.]]</f>
        <v>0</v>
      </c>
      <c r="C6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0">
        <f>DataTable[[#This Row],[Successful Lo. G. S]]*2+DataTable[[#This Row],[Successful Hi. G. S.]]*10</f>
        <v>0</v>
      </c>
      <c r="H6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0">
        <f>IF(DataTable[[#This Row],[E. Game Compl.]]="Nothing",0,IF(DataTable[[#This Row],[E. Game Compl.]]="Challenging the Tower",5,IF(DataTable[[#This Row],[E. Game Compl.]]="Scaling the Tower",15,)))</f>
        <v>0</v>
      </c>
      <c r="J680">
        <f>Table2[[#This Row],[AUTO Pts]]+Table2[[#This Row],[Shooting Pts.]]+Table2[[#This Row],[Def. Points]]+Table2[[#This Row],[E. Game Pts.]]</f>
        <v>0</v>
      </c>
    </row>
    <row r="681" spans="1:10" x14ac:dyDescent="0.25">
      <c r="A681">
        <f>DataTable[[#This Row],[Tm.]]</f>
        <v>0</v>
      </c>
      <c r="B681">
        <f>DataTable[[#This Row],[Match Nr.]]</f>
        <v>0</v>
      </c>
      <c r="C6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1">
        <f>DataTable[[#This Row],[Successful Lo. G. S]]*2+DataTable[[#This Row],[Successful Hi. G. S.]]*10</f>
        <v>0</v>
      </c>
      <c r="H6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1">
        <f>IF(DataTable[[#This Row],[E. Game Compl.]]="Nothing",0,IF(DataTable[[#This Row],[E. Game Compl.]]="Challenging the Tower",5,IF(DataTable[[#This Row],[E. Game Compl.]]="Scaling the Tower",15,)))</f>
        <v>0</v>
      </c>
      <c r="J681">
        <f>Table2[[#This Row],[AUTO Pts]]+Table2[[#This Row],[Shooting Pts.]]+Table2[[#This Row],[Def. Points]]+Table2[[#This Row],[E. Game Pts.]]</f>
        <v>0</v>
      </c>
    </row>
    <row r="682" spans="1:10" x14ac:dyDescent="0.25">
      <c r="A682">
        <f>DataTable[[#This Row],[Tm.]]</f>
        <v>0</v>
      </c>
      <c r="B682">
        <f>DataTable[[#This Row],[Match Nr.]]</f>
        <v>0</v>
      </c>
      <c r="C6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2">
        <f>DataTable[[#This Row],[Successful Lo. G. S]]*2+DataTable[[#This Row],[Successful Hi. G. S.]]*10</f>
        <v>0</v>
      </c>
      <c r="H6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2">
        <f>IF(DataTable[[#This Row],[E. Game Compl.]]="Nothing",0,IF(DataTable[[#This Row],[E. Game Compl.]]="Challenging the Tower",5,IF(DataTable[[#This Row],[E. Game Compl.]]="Scaling the Tower",15,)))</f>
        <v>0</v>
      </c>
      <c r="J682">
        <f>Table2[[#This Row],[AUTO Pts]]+Table2[[#This Row],[Shooting Pts.]]+Table2[[#This Row],[Def. Points]]+Table2[[#This Row],[E. Game Pts.]]</f>
        <v>0</v>
      </c>
    </row>
    <row r="683" spans="1:10" x14ac:dyDescent="0.25">
      <c r="A683">
        <f>DataTable[[#This Row],[Tm.]]</f>
        <v>0</v>
      </c>
      <c r="B683">
        <f>DataTable[[#This Row],[Match Nr.]]</f>
        <v>0</v>
      </c>
      <c r="C6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3">
        <f>DataTable[[#This Row],[Successful Lo. G. S]]*2+DataTable[[#This Row],[Successful Hi. G. S.]]*10</f>
        <v>0</v>
      </c>
      <c r="H6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3">
        <f>IF(DataTable[[#This Row],[E. Game Compl.]]="Nothing",0,IF(DataTable[[#This Row],[E. Game Compl.]]="Challenging the Tower",5,IF(DataTable[[#This Row],[E. Game Compl.]]="Scaling the Tower",15,)))</f>
        <v>0</v>
      </c>
      <c r="J683">
        <f>Table2[[#This Row],[AUTO Pts]]+Table2[[#This Row],[Shooting Pts.]]+Table2[[#This Row],[Def. Points]]+Table2[[#This Row],[E. Game Pts.]]</f>
        <v>0</v>
      </c>
    </row>
    <row r="684" spans="1:10" x14ac:dyDescent="0.25">
      <c r="A684">
        <f>DataTable[[#This Row],[Tm.]]</f>
        <v>0</v>
      </c>
      <c r="B684">
        <f>DataTable[[#This Row],[Match Nr.]]</f>
        <v>0</v>
      </c>
      <c r="C6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4">
        <f>DataTable[[#This Row],[Successful Lo. G. S]]*2+DataTable[[#This Row],[Successful Hi. G. S.]]*10</f>
        <v>0</v>
      </c>
      <c r="H6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4">
        <f>IF(DataTable[[#This Row],[E. Game Compl.]]="Nothing",0,IF(DataTable[[#This Row],[E. Game Compl.]]="Challenging the Tower",5,IF(DataTable[[#This Row],[E. Game Compl.]]="Scaling the Tower",15,)))</f>
        <v>0</v>
      </c>
      <c r="J684">
        <f>Table2[[#This Row],[AUTO Pts]]+Table2[[#This Row],[Shooting Pts.]]+Table2[[#This Row],[Def. Points]]+Table2[[#This Row],[E. Game Pts.]]</f>
        <v>0</v>
      </c>
    </row>
    <row r="685" spans="1:10" x14ac:dyDescent="0.25">
      <c r="A685">
        <f>DataTable[[#This Row],[Tm.]]</f>
        <v>0</v>
      </c>
      <c r="B685">
        <f>DataTable[[#This Row],[Match Nr.]]</f>
        <v>0</v>
      </c>
      <c r="C6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5">
        <f>DataTable[[#This Row],[Successful Lo. G. S]]*2+DataTable[[#This Row],[Successful Hi. G. S.]]*10</f>
        <v>0</v>
      </c>
      <c r="H6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5">
        <f>IF(DataTable[[#This Row],[E. Game Compl.]]="Nothing",0,IF(DataTable[[#This Row],[E. Game Compl.]]="Challenging the Tower",5,IF(DataTable[[#This Row],[E. Game Compl.]]="Scaling the Tower",15,)))</f>
        <v>0</v>
      </c>
      <c r="J685">
        <f>Table2[[#This Row],[AUTO Pts]]+Table2[[#This Row],[Shooting Pts.]]+Table2[[#This Row],[Def. Points]]+Table2[[#This Row],[E. Game Pts.]]</f>
        <v>0</v>
      </c>
    </row>
    <row r="686" spans="1:10" x14ac:dyDescent="0.25">
      <c r="A686">
        <f>DataTable[[#This Row],[Tm.]]</f>
        <v>0</v>
      </c>
      <c r="B686">
        <f>DataTable[[#This Row],[Match Nr.]]</f>
        <v>0</v>
      </c>
      <c r="C6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6">
        <f>DataTable[[#This Row],[Successful Lo. G. S]]*2+DataTable[[#This Row],[Successful Hi. G. S.]]*10</f>
        <v>0</v>
      </c>
      <c r="H6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6">
        <f>IF(DataTable[[#This Row],[E. Game Compl.]]="Nothing",0,IF(DataTable[[#This Row],[E. Game Compl.]]="Challenging the Tower",5,IF(DataTable[[#This Row],[E. Game Compl.]]="Scaling the Tower",15,)))</f>
        <v>0</v>
      </c>
      <c r="J686">
        <f>Table2[[#This Row],[AUTO Pts]]+Table2[[#This Row],[Shooting Pts.]]+Table2[[#This Row],[Def. Points]]+Table2[[#This Row],[E. Game Pts.]]</f>
        <v>0</v>
      </c>
    </row>
    <row r="687" spans="1:10" x14ac:dyDescent="0.25">
      <c r="A687">
        <f>DataTable[[#This Row],[Tm.]]</f>
        <v>0</v>
      </c>
      <c r="B687">
        <f>DataTable[[#This Row],[Match Nr.]]</f>
        <v>0</v>
      </c>
      <c r="C6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7">
        <f>DataTable[[#This Row],[Successful Lo. G. S]]*2+DataTable[[#This Row],[Successful Hi. G. S.]]*10</f>
        <v>0</v>
      </c>
      <c r="H6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7">
        <f>IF(DataTable[[#This Row],[E. Game Compl.]]="Nothing",0,IF(DataTable[[#This Row],[E. Game Compl.]]="Challenging the Tower",5,IF(DataTable[[#This Row],[E. Game Compl.]]="Scaling the Tower",15,)))</f>
        <v>0</v>
      </c>
      <c r="J687">
        <f>Table2[[#This Row],[AUTO Pts]]+Table2[[#This Row],[Shooting Pts.]]+Table2[[#This Row],[Def. Points]]+Table2[[#This Row],[E. Game Pts.]]</f>
        <v>0</v>
      </c>
    </row>
    <row r="688" spans="1:10" x14ac:dyDescent="0.25">
      <c r="A688">
        <f>DataTable[[#This Row],[Tm.]]</f>
        <v>0</v>
      </c>
      <c r="B688">
        <f>DataTable[[#This Row],[Match Nr.]]</f>
        <v>0</v>
      </c>
      <c r="C6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8">
        <f>DataTable[[#This Row],[Successful Lo. G. S]]*2+DataTable[[#This Row],[Successful Hi. G. S.]]*10</f>
        <v>0</v>
      </c>
      <c r="H6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8">
        <f>IF(DataTable[[#This Row],[E. Game Compl.]]="Nothing",0,IF(DataTable[[#This Row],[E. Game Compl.]]="Challenging the Tower",5,IF(DataTable[[#This Row],[E. Game Compl.]]="Scaling the Tower",15,)))</f>
        <v>0</v>
      </c>
      <c r="J688">
        <f>Table2[[#This Row],[AUTO Pts]]+Table2[[#This Row],[Shooting Pts.]]+Table2[[#This Row],[Def. Points]]+Table2[[#This Row],[E. Game Pts.]]</f>
        <v>0</v>
      </c>
    </row>
    <row r="689" spans="1:10" x14ac:dyDescent="0.25">
      <c r="A689">
        <f>DataTable[[#This Row],[Tm.]]</f>
        <v>0</v>
      </c>
      <c r="B689">
        <f>DataTable[[#This Row],[Match Nr.]]</f>
        <v>0</v>
      </c>
      <c r="C6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9">
        <f>DataTable[[#This Row],[Successful Lo. G. S]]*2+DataTable[[#This Row],[Successful Hi. G. S.]]*10</f>
        <v>0</v>
      </c>
      <c r="H6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9">
        <f>IF(DataTable[[#This Row],[E. Game Compl.]]="Nothing",0,IF(DataTable[[#This Row],[E. Game Compl.]]="Challenging the Tower",5,IF(DataTable[[#This Row],[E. Game Compl.]]="Scaling the Tower",15,)))</f>
        <v>0</v>
      </c>
      <c r="J689">
        <f>Table2[[#This Row],[AUTO Pts]]+Table2[[#This Row],[Shooting Pts.]]+Table2[[#This Row],[Def. Points]]+Table2[[#This Row],[E. Game Pts.]]</f>
        <v>0</v>
      </c>
    </row>
    <row r="690" spans="1:10" x14ac:dyDescent="0.25">
      <c r="A690">
        <f>DataTable[[#This Row],[Tm.]]</f>
        <v>0</v>
      </c>
      <c r="B690">
        <f>DataTable[[#This Row],[Match Nr.]]</f>
        <v>0</v>
      </c>
      <c r="C6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0">
        <f>DataTable[[#This Row],[Successful Lo. G. S]]*2+DataTable[[#This Row],[Successful Hi. G. S.]]*10</f>
        <v>0</v>
      </c>
      <c r="H6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0">
        <f>IF(DataTable[[#This Row],[E. Game Compl.]]="Nothing",0,IF(DataTable[[#This Row],[E. Game Compl.]]="Challenging the Tower",5,IF(DataTable[[#This Row],[E. Game Compl.]]="Scaling the Tower",15,)))</f>
        <v>0</v>
      </c>
      <c r="J690">
        <f>Table2[[#This Row],[AUTO Pts]]+Table2[[#This Row],[Shooting Pts.]]+Table2[[#This Row],[Def. Points]]+Table2[[#This Row],[E. Game Pts.]]</f>
        <v>0</v>
      </c>
    </row>
    <row r="691" spans="1:10" x14ac:dyDescent="0.25">
      <c r="A691">
        <f>DataTable[[#This Row],[Tm.]]</f>
        <v>0</v>
      </c>
      <c r="B691">
        <f>DataTable[[#This Row],[Match Nr.]]</f>
        <v>0</v>
      </c>
      <c r="C6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1">
        <f>DataTable[[#This Row],[Successful Lo. G. S]]*2+DataTable[[#This Row],[Successful Hi. G. S.]]*10</f>
        <v>0</v>
      </c>
      <c r="H6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1">
        <f>IF(DataTable[[#This Row],[E. Game Compl.]]="Nothing",0,IF(DataTable[[#This Row],[E. Game Compl.]]="Challenging the Tower",5,IF(DataTable[[#This Row],[E. Game Compl.]]="Scaling the Tower",15,)))</f>
        <v>0</v>
      </c>
      <c r="J691">
        <f>Table2[[#This Row],[AUTO Pts]]+Table2[[#This Row],[Shooting Pts.]]+Table2[[#This Row],[Def. Points]]+Table2[[#This Row],[E. Game Pts.]]</f>
        <v>0</v>
      </c>
    </row>
    <row r="692" spans="1:10" x14ac:dyDescent="0.25">
      <c r="A692">
        <f>DataTable[[#This Row],[Tm.]]</f>
        <v>0</v>
      </c>
      <c r="B692">
        <f>DataTable[[#This Row],[Match Nr.]]</f>
        <v>0</v>
      </c>
      <c r="C6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2">
        <f>DataTable[[#This Row],[Successful Lo. G. S]]*2+DataTable[[#This Row],[Successful Hi. G. S.]]*10</f>
        <v>0</v>
      </c>
      <c r="H6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2">
        <f>IF(DataTable[[#This Row],[E. Game Compl.]]="Nothing",0,IF(DataTable[[#This Row],[E. Game Compl.]]="Challenging the Tower",5,IF(DataTable[[#This Row],[E. Game Compl.]]="Scaling the Tower",15,)))</f>
        <v>0</v>
      </c>
      <c r="J692">
        <f>Table2[[#This Row],[AUTO Pts]]+Table2[[#This Row],[Shooting Pts.]]+Table2[[#This Row],[Def. Points]]+Table2[[#This Row],[E. Game Pts.]]</f>
        <v>0</v>
      </c>
    </row>
    <row r="693" spans="1:10" x14ac:dyDescent="0.25">
      <c r="A693">
        <f>DataTable[[#This Row],[Tm.]]</f>
        <v>0</v>
      </c>
      <c r="B693">
        <f>DataTable[[#This Row],[Match Nr.]]</f>
        <v>0</v>
      </c>
      <c r="C6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3">
        <f>DataTable[[#This Row],[Successful Lo. G. S]]*2+DataTable[[#This Row],[Successful Hi. G. S.]]*10</f>
        <v>0</v>
      </c>
      <c r="H6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3">
        <f>IF(DataTable[[#This Row],[E. Game Compl.]]="Nothing",0,IF(DataTable[[#This Row],[E. Game Compl.]]="Challenging the Tower",5,IF(DataTable[[#This Row],[E. Game Compl.]]="Scaling the Tower",15,)))</f>
        <v>0</v>
      </c>
      <c r="J693">
        <f>Table2[[#This Row],[AUTO Pts]]+Table2[[#This Row],[Shooting Pts.]]+Table2[[#This Row],[Def. Points]]+Table2[[#This Row],[E. Game Pts.]]</f>
        <v>0</v>
      </c>
    </row>
    <row r="694" spans="1:10" x14ac:dyDescent="0.25">
      <c r="A694">
        <f>DataTable[[#This Row],[Tm.]]</f>
        <v>0</v>
      </c>
      <c r="B694">
        <f>DataTable[[#This Row],[Match Nr.]]</f>
        <v>0</v>
      </c>
      <c r="C6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4">
        <f>DataTable[[#This Row],[Successful Lo. G. S]]*2+DataTable[[#This Row],[Successful Hi. G. S.]]*10</f>
        <v>0</v>
      </c>
      <c r="H6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4">
        <f>IF(DataTable[[#This Row],[E. Game Compl.]]="Nothing",0,IF(DataTable[[#This Row],[E. Game Compl.]]="Challenging the Tower",5,IF(DataTable[[#This Row],[E. Game Compl.]]="Scaling the Tower",15,)))</f>
        <v>0</v>
      </c>
      <c r="J694">
        <f>Table2[[#This Row],[AUTO Pts]]+Table2[[#This Row],[Shooting Pts.]]+Table2[[#This Row],[Def. Points]]+Table2[[#This Row],[E. Game Pts.]]</f>
        <v>0</v>
      </c>
    </row>
    <row r="695" spans="1:10" x14ac:dyDescent="0.25">
      <c r="A695">
        <f>DataTable[[#This Row],[Tm.]]</f>
        <v>0</v>
      </c>
      <c r="B695">
        <f>DataTable[[#This Row],[Match Nr.]]</f>
        <v>0</v>
      </c>
      <c r="C6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5">
        <f>DataTable[[#This Row],[Successful Lo. G. S]]*2+DataTable[[#This Row],[Successful Hi. G. S.]]*10</f>
        <v>0</v>
      </c>
      <c r="H6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5">
        <f>IF(DataTable[[#This Row],[E. Game Compl.]]="Nothing",0,IF(DataTable[[#This Row],[E. Game Compl.]]="Challenging the Tower",5,IF(DataTable[[#This Row],[E. Game Compl.]]="Scaling the Tower",15,)))</f>
        <v>0</v>
      </c>
      <c r="J695">
        <f>Table2[[#This Row],[AUTO Pts]]+Table2[[#This Row],[Shooting Pts.]]+Table2[[#This Row],[Def. Points]]+Table2[[#This Row],[E. Game Pts.]]</f>
        <v>0</v>
      </c>
    </row>
    <row r="696" spans="1:10" x14ac:dyDescent="0.25">
      <c r="A696">
        <f>DataTable[[#This Row],[Tm.]]</f>
        <v>0</v>
      </c>
      <c r="B696">
        <f>DataTable[[#This Row],[Match Nr.]]</f>
        <v>0</v>
      </c>
      <c r="C6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6">
        <f>DataTable[[#This Row],[Successful Lo. G. S]]*2+DataTable[[#This Row],[Successful Hi. G. S.]]*10</f>
        <v>0</v>
      </c>
      <c r="H6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6">
        <f>IF(DataTable[[#This Row],[E. Game Compl.]]="Nothing",0,IF(DataTable[[#This Row],[E. Game Compl.]]="Challenging the Tower",5,IF(DataTable[[#This Row],[E. Game Compl.]]="Scaling the Tower",15,)))</f>
        <v>0</v>
      </c>
      <c r="J696">
        <f>Table2[[#This Row],[AUTO Pts]]+Table2[[#This Row],[Shooting Pts.]]+Table2[[#This Row],[Def. Points]]+Table2[[#This Row],[E. Game Pts.]]</f>
        <v>0</v>
      </c>
    </row>
    <row r="697" spans="1:10" x14ac:dyDescent="0.25">
      <c r="A697">
        <f>DataTable[[#This Row],[Tm.]]</f>
        <v>0</v>
      </c>
      <c r="B697">
        <f>DataTable[[#This Row],[Match Nr.]]</f>
        <v>0</v>
      </c>
      <c r="C6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7">
        <f>DataTable[[#This Row],[Successful Lo. G. S]]*2+DataTable[[#This Row],[Successful Hi. G. S.]]*10</f>
        <v>0</v>
      </c>
      <c r="H6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7">
        <f>IF(DataTable[[#This Row],[E. Game Compl.]]="Nothing",0,IF(DataTable[[#This Row],[E. Game Compl.]]="Challenging the Tower",5,IF(DataTable[[#This Row],[E. Game Compl.]]="Scaling the Tower",15,)))</f>
        <v>0</v>
      </c>
      <c r="J697">
        <f>Table2[[#This Row],[AUTO Pts]]+Table2[[#This Row],[Shooting Pts.]]+Table2[[#This Row],[Def. Points]]+Table2[[#This Row],[E. Game Pts.]]</f>
        <v>0</v>
      </c>
    </row>
    <row r="698" spans="1:10" x14ac:dyDescent="0.25">
      <c r="A698">
        <f>DataTable[[#This Row],[Tm.]]</f>
        <v>0</v>
      </c>
      <c r="B698">
        <f>DataTable[[#This Row],[Match Nr.]]</f>
        <v>0</v>
      </c>
      <c r="C6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8">
        <f>DataTable[[#This Row],[Successful Lo. G. S]]*2+DataTable[[#This Row],[Successful Hi. G. S.]]*10</f>
        <v>0</v>
      </c>
      <c r="H6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8">
        <f>IF(DataTable[[#This Row],[E. Game Compl.]]="Nothing",0,IF(DataTable[[#This Row],[E. Game Compl.]]="Challenging the Tower",5,IF(DataTable[[#This Row],[E. Game Compl.]]="Scaling the Tower",15,)))</f>
        <v>0</v>
      </c>
      <c r="J698">
        <f>Table2[[#This Row],[AUTO Pts]]+Table2[[#This Row],[Shooting Pts.]]+Table2[[#This Row],[Def. Points]]+Table2[[#This Row],[E. Game Pts.]]</f>
        <v>0</v>
      </c>
    </row>
    <row r="699" spans="1:10" x14ac:dyDescent="0.25">
      <c r="A699">
        <f>DataTable[[#This Row],[Tm.]]</f>
        <v>0</v>
      </c>
      <c r="B699">
        <f>DataTable[[#This Row],[Match Nr.]]</f>
        <v>0</v>
      </c>
      <c r="C6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9">
        <f>DataTable[[#This Row],[Successful Lo. G. S]]*2+DataTable[[#This Row],[Successful Hi. G. S.]]*10</f>
        <v>0</v>
      </c>
      <c r="H6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9">
        <f>IF(DataTable[[#This Row],[E. Game Compl.]]="Nothing",0,IF(DataTable[[#This Row],[E. Game Compl.]]="Challenging the Tower",5,IF(DataTable[[#This Row],[E. Game Compl.]]="Scaling the Tower",15,)))</f>
        <v>0</v>
      </c>
      <c r="J699">
        <f>Table2[[#This Row],[AUTO Pts]]+Table2[[#This Row],[Shooting Pts.]]+Table2[[#This Row],[Def. Points]]+Table2[[#This Row],[E. Game Pts.]]</f>
        <v>0</v>
      </c>
    </row>
    <row r="700" spans="1:10" x14ac:dyDescent="0.25">
      <c r="A700">
        <f>DataTable[[#This Row],[Tm.]]</f>
        <v>0</v>
      </c>
      <c r="B700">
        <f>DataTable[[#This Row],[Match Nr.]]</f>
        <v>0</v>
      </c>
      <c r="C7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0">
        <f>DataTable[[#This Row],[Successful Lo. G. S]]*2+DataTable[[#This Row],[Successful Hi. G. S.]]*10</f>
        <v>0</v>
      </c>
      <c r="H7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0">
        <f>IF(DataTable[[#This Row],[E. Game Compl.]]="Nothing",0,IF(DataTable[[#This Row],[E. Game Compl.]]="Challenging the Tower",5,IF(DataTable[[#This Row],[E. Game Compl.]]="Scaling the Tower",15,)))</f>
        <v>0</v>
      </c>
      <c r="J700">
        <f>Table2[[#This Row],[AUTO Pts]]+Table2[[#This Row],[Shooting Pts.]]+Table2[[#This Row],[Def. Points]]+Table2[[#This Row],[E. Game Pts.]]</f>
        <v>0</v>
      </c>
    </row>
    <row r="701" spans="1:10" x14ac:dyDescent="0.25">
      <c r="A701">
        <f>DataTable[[#This Row],[Tm.]]</f>
        <v>0</v>
      </c>
      <c r="B701">
        <f>DataTable[[#This Row],[Match Nr.]]</f>
        <v>0</v>
      </c>
      <c r="C7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1">
        <f>DataTable[[#This Row],[Successful Lo. G. S]]*2+DataTable[[#This Row],[Successful Hi. G. S.]]*10</f>
        <v>0</v>
      </c>
      <c r="H7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1">
        <f>IF(DataTable[[#This Row],[E. Game Compl.]]="Nothing",0,IF(DataTable[[#This Row],[E. Game Compl.]]="Challenging the Tower",5,IF(DataTable[[#This Row],[E. Game Compl.]]="Scaling the Tower",15,)))</f>
        <v>0</v>
      </c>
      <c r="J701">
        <f>Table2[[#This Row],[AUTO Pts]]+Table2[[#This Row],[Shooting Pts.]]+Table2[[#This Row],[Def. Points]]+Table2[[#This Row],[E. Game Pts.]]</f>
        <v>0</v>
      </c>
    </row>
    <row r="702" spans="1:10" x14ac:dyDescent="0.25">
      <c r="A702">
        <f>DataTable[[#This Row],[Tm.]]</f>
        <v>0</v>
      </c>
      <c r="B702">
        <f>DataTable[[#This Row],[Match Nr.]]</f>
        <v>0</v>
      </c>
      <c r="C7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2">
        <f>DataTable[[#This Row],[Successful Lo. G. S]]*2+DataTable[[#This Row],[Successful Hi. G. S.]]*10</f>
        <v>0</v>
      </c>
      <c r="H7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2">
        <f>IF(DataTable[[#This Row],[E. Game Compl.]]="Nothing",0,IF(DataTable[[#This Row],[E. Game Compl.]]="Challenging the Tower",5,IF(DataTable[[#This Row],[E. Game Compl.]]="Scaling the Tower",15,)))</f>
        <v>0</v>
      </c>
      <c r="J702">
        <f>Table2[[#This Row],[AUTO Pts]]+Table2[[#This Row],[Shooting Pts.]]+Table2[[#This Row],[Def. Points]]+Table2[[#This Row],[E. Game Pts.]]</f>
        <v>0</v>
      </c>
    </row>
    <row r="703" spans="1:10" x14ac:dyDescent="0.25">
      <c r="A703">
        <f>DataTable[[#This Row],[Tm.]]</f>
        <v>0</v>
      </c>
      <c r="B703">
        <f>DataTable[[#This Row],[Match Nr.]]</f>
        <v>0</v>
      </c>
      <c r="C7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3">
        <f>DataTable[[#This Row],[Successful Lo. G. S]]*2+DataTable[[#This Row],[Successful Hi. G. S.]]*10</f>
        <v>0</v>
      </c>
      <c r="H7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3">
        <f>IF(DataTable[[#This Row],[E. Game Compl.]]="Nothing",0,IF(DataTable[[#This Row],[E. Game Compl.]]="Challenging the Tower",5,IF(DataTable[[#This Row],[E. Game Compl.]]="Scaling the Tower",15,)))</f>
        <v>0</v>
      </c>
      <c r="J703">
        <f>Table2[[#This Row],[AUTO Pts]]+Table2[[#This Row],[Shooting Pts.]]+Table2[[#This Row],[Def. Points]]+Table2[[#This Row],[E. Game Pts.]]</f>
        <v>0</v>
      </c>
    </row>
    <row r="704" spans="1:10" x14ac:dyDescent="0.25">
      <c r="A704">
        <f>DataTable[[#This Row],[Tm.]]</f>
        <v>0</v>
      </c>
      <c r="B704">
        <f>DataTable[[#This Row],[Match Nr.]]</f>
        <v>0</v>
      </c>
      <c r="C7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4">
        <f>DataTable[[#This Row],[Successful Lo. G. S]]*2+DataTable[[#This Row],[Successful Hi. G. S.]]*10</f>
        <v>0</v>
      </c>
      <c r="H7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4">
        <f>IF(DataTable[[#This Row],[E. Game Compl.]]="Nothing",0,IF(DataTable[[#This Row],[E. Game Compl.]]="Challenging the Tower",5,IF(DataTable[[#This Row],[E. Game Compl.]]="Scaling the Tower",15,)))</f>
        <v>0</v>
      </c>
      <c r="J704">
        <f>Table2[[#This Row],[AUTO Pts]]+Table2[[#This Row],[Shooting Pts.]]+Table2[[#This Row],[Def. Points]]+Table2[[#This Row],[E. Game Pts.]]</f>
        <v>0</v>
      </c>
    </row>
    <row r="705" spans="1:10" x14ac:dyDescent="0.25">
      <c r="A705">
        <f>DataTable[[#This Row],[Tm.]]</f>
        <v>0</v>
      </c>
      <c r="B705">
        <f>DataTable[[#This Row],[Match Nr.]]</f>
        <v>0</v>
      </c>
      <c r="C7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5">
        <f>DataTable[[#This Row],[Successful Lo. G. S]]*2+DataTable[[#This Row],[Successful Hi. G. S.]]*10</f>
        <v>0</v>
      </c>
      <c r="H7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5">
        <f>IF(DataTable[[#This Row],[E. Game Compl.]]="Nothing",0,IF(DataTable[[#This Row],[E. Game Compl.]]="Challenging the Tower",5,IF(DataTable[[#This Row],[E. Game Compl.]]="Scaling the Tower",15,)))</f>
        <v>0</v>
      </c>
      <c r="J705">
        <f>Table2[[#This Row],[AUTO Pts]]+Table2[[#This Row],[Shooting Pts.]]+Table2[[#This Row],[Def. Points]]+Table2[[#This Row],[E. Game Pts.]]</f>
        <v>0</v>
      </c>
    </row>
    <row r="706" spans="1:10" x14ac:dyDescent="0.25">
      <c r="A706">
        <f>DataTable[[#This Row],[Tm.]]</f>
        <v>0</v>
      </c>
      <c r="B706">
        <f>DataTable[[#This Row],[Match Nr.]]</f>
        <v>0</v>
      </c>
      <c r="C7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6">
        <f>DataTable[[#This Row],[Successful Lo. G. S]]*2+DataTable[[#This Row],[Successful Hi. G. S.]]*10</f>
        <v>0</v>
      </c>
      <c r="H7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6">
        <f>IF(DataTable[[#This Row],[E. Game Compl.]]="Nothing",0,IF(DataTable[[#This Row],[E. Game Compl.]]="Challenging the Tower",5,IF(DataTable[[#This Row],[E. Game Compl.]]="Scaling the Tower",15,)))</f>
        <v>0</v>
      </c>
      <c r="J706">
        <f>Table2[[#This Row],[AUTO Pts]]+Table2[[#This Row],[Shooting Pts.]]+Table2[[#This Row],[Def. Points]]+Table2[[#This Row],[E. Game Pts.]]</f>
        <v>0</v>
      </c>
    </row>
    <row r="707" spans="1:10" x14ac:dyDescent="0.25">
      <c r="A707">
        <f>DataTable[[#This Row],[Tm.]]</f>
        <v>0</v>
      </c>
      <c r="B707">
        <f>DataTable[[#This Row],[Match Nr.]]</f>
        <v>0</v>
      </c>
      <c r="C7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7">
        <f>DataTable[[#This Row],[Successful Lo. G. S]]*2+DataTable[[#This Row],[Successful Hi. G. S.]]*10</f>
        <v>0</v>
      </c>
      <c r="H7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7">
        <f>IF(DataTable[[#This Row],[E. Game Compl.]]="Nothing",0,IF(DataTable[[#This Row],[E. Game Compl.]]="Challenging the Tower",5,IF(DataTable[[#This Row],[E. Game Compl.]]="Scaling the Tower",15,)))</f>
        <v>0</v>
      </c>
      <c r="J707">
        <f>Table2[[#This Row],[AUTO Pts]]+Table2[[#This Row],[Shooting Pts.]]+Table2[[#This Row],[Def. Points]]+Table2[[#This Row],[E. Game Pts.]]</f>
        <v>0</v>
      </c>
    </row>
    <row r="708" spans="1:10" x14ac:dyDescent="0.25">
      <c r="A708">
        <f>DataTable[[#This Row],[Tm.]]</f>
        <v>0</v>
      </c>
      <c r="B708">
        <f>DataTable[[#This Row],[Match Nr.]]</f>
        <v>0</v>
      </c>
      <c r="C7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8">
        <f>DataTable[[#This Row],[Successful Lo. G. S]]*2+DataTable[[#This Row],[Successful Hi. G. S.]]*10</f>
        <v>0</v>
      </c>
      <c r="H7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8">
        <f>IF(DataTable[[#This Row],[E. Game Compl.]]="Nothing",0,IF(DataTable[[#This Row],[E. Game Compl.]]="Challenging the Tower",5,IF(DataTable[[#This Row],[E. Game Compl.]]="Scaling the Tower",15,)))</f>
        <v>0</v>
      </c>
      <c r="J708">
        <f>Table2[[#This Row],[AUTO Pts]]+Table2[[#This Row],[Shooting Pts.]]+Table2[[#This Row],[Def. Points]]+Table2[[#This Row],[E. Game Pts.]]</f>
        <v>0</v>
      </c>
    </row>
    <row r="709" spans="1:10" x14ac:dyDescent="0.25">
      <c r="A709">
        <f>DataTable[[#This Row],[Tm.]]</f>
        <v>0</v>
      </c>
      <c r="B709">
        <f>DataTable[[#This Row],[Match Nr.]]</f>
        <v>0</v>
      </c>
      <c r="C7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9">
        <f>DataTable[[#This Row],[Successful Lo. G. S]]*2+DataTable[[#This Row],[Successful Hi. G. S.]]*10</f>
        <v>0</v>
      </c>
      <c r="H7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9">
        <f>IF(DataTable[[#This Row],[E. Game Compl.]]="Nothing",0,IF(DataTable[[#This Row],[E. Game Compl.]]="Challenging the Tower",5,IF(DataTable[[#This Row],[E. Game Compl.]]="Scaling the Tower",15,)))</f>
        <v>0</v>
      </c>
      <c r="J709">
        <f>Table2[[#This Row],[AUTO Pts]]+Table2[[#This Row],[Shooting Pts.]]+Table2[[#This Row],[Def. Points]]+Table2[[#This Row],[E. Game Pts.]]</f>
        <v>0</v>
      </c>
    </row>
    <row r="710" spans="1:10" x14ac:dyDescent="0.25">
      <c r="A710">
        <f>DataTable[[#This Row],[Tm.]]</f>
        <v>0</v>
      </c>
      <c r="B710">
        <f>DataTable[[#This Row],[Match Nr.]]</f>
        <v>0</v>
      </c>
      <c r="C7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0">
        <f>DataTable[[#This Row],[Successful Lo. G. S]]*2+DataTable[[#This Row],[Successful Hi. G. S.]]*10</f>
        <v>0</v>
      </c>
      <c r="H7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0">
        <f>IF(DataTable[[#This Row],[E. Game Compl.]]="Nothing",0,IF(DataTable[[#This Row],[E. Game Compl.]]="Challenging the Tower",5,IF(DataTable[[#This Row],[E. Game Compl.]]="Scaling the Tower",15,)))</f>
        <v>0</v>
      </c>
      <c r="J710">
        <f>Table2[[#This Row],[AUTO Pts]]+Table2[[#This Row],[Shooting Pts.]]+Table2[[#This Row],[Def. Points]]+Table2[[#This Row],[E. Game Pts.]]</f>
        <v>0</v>
      </c>
    </row>
    <row r="711" spans="1:10" x14ac:dyDescent="0.25">
      <c r="A711">
        <f>DataTable[[#This Row],[Tm.]]</f>
        <v>0</v>
      </c>
      <c r="B711">
        <f>DataTable[[#This Row],[Match Nr.]]</f>
        <v>0</v>
      </c>
      <c r="C7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1">
        <f>DataTable[[#This Row],[Successful Lo. G. S]]*2+DataTable[[#This Row],[Successful Hi. G. S.]]*10</f>
        <v>0</v>
      </c>
      <c r="H7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1">
        <f>IF(DataTable[[#This Row],[E. Game Compl.]]="Nothing",0,IF(DataTable[[#This Row],[E. Game Compl.]]="Challenging the Tower",5,IF(DataTable[[#This Row],[E. Game Compl.]]="Scaling the Tower",15,)))</f>
        <v>0</v>
      </c>
      <c r="J711">
        <f>Table2[[#This Row],[AUTO Pts]]+Table2[[#This Row],[Shooting Pts.]]+Table2[[#This Row],[Def. Points]]+Table2[[#This Row],[E. Game Pts.]]</f>
        <v>0</v>
      </c>
    </row>
    <row r="712" spans="1:10" x14ac:dyDescent="0.25">
      <c r="A712">
        <f>DataTable[[#This Row],[Tm.]]</f>
        <v>0</v>
      </c>
      <c r="B712">
        <f>DataTable[[#This Row],[Match Nr.]]</f>
        <v>0</v>
      </c>
      <c r="C7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2">
        <f>DataTable[[#This Row],[Successful Lo. G. S]]*2+DataTable[[#This Row],[Successful Hi. G. S.]]*10</f>
        <v>0</v>
      </c>
      <c r="H7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2">
        <f>IF(DataTable[[#This Row],[E. Game Compl.]]="Nothing",0,IF(DataTable[[#This Row],[E. Game Compl.]]="Challenging the Tower",5,IF(DataTable[[#This Row],[E. Game Compl.]]="Scaling the Tower",15,)))</f>
        <v>0</v>
      </c>
      <c r="J712">
        <f>Table2[[#This Row],[AUTO Pts]]+Table2[[#This Row],[Shooting Pts.]]+Table2[[#This Row],[Def. Points]]+Table2[[#This Row],[E. Game Pts.]]</f>
        <v>0</v>
      </c>
    </row>
    <row r="713" spans="1:10" x14ac:dyDescent="0.25">
      <c r="A713">
        <f>DataTable[[#This Row],[Tm.]]</f>
        <v>0</v>
      </c>
      <c r="B713">
        <f>DataTable[[#This Row],[Match Nr.]]</f>
        <v>0</v>
      </c>
      <c r="C7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3">
        <f>DataTable[[#This Row],[Successful Lo. G. S]]*2+DataTable[[#This Row],[Successful Hi. G. S.]]*10</f>
        <v>0</v>
      </c>
      <c r="H7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3">
        <f>IF(DataTable[[#This Row],[E. Game Compl.]]="Nothing",0,IF(DataTable[[#This Row],[E. Game Compl.]]="Challenging the Tower",5,IF(DataTable[[#This Row],[E. Game Compl.]]="Scaling the Tower",15,)))</f>
        <v>0</v>
      </c>
      <c r="J713">
        <f>Table2[[#This Row],[AUTO Pts]]+Table2[[#This Row],[Shooting Pts.]]+Table2[[#This Row],[Def. Points]]+Table2[[#This Row],[E. Game Pts.]]</f>
        <v>0</v>
      </c>
    </row>
    <row r="714" spans="1:10" x14ac:dyDescent="0.25">
      <c r="A714">
        <f>DataTable[[#This Row],[Tm.]]</f>
        <v>0</v>
      </c>
      <c r="B714">
        <f>DataTable[[#This Row],[Match Nr.]]</f>
        <v>0</v>
      </c>
      <c r="C7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4">
        <f>DataTable[[#This Row],[Successful Lo. G. S]]*2+DataTable[[#This Row],[Successful Hi. G. S.]]*10</f>
        <v>0</v>
      </c>
      <c r="H7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4">
        <f>IF(DataTable[[#This Row],[E. Game Compl.]]="Nothing",0,IF(DataTable[[#This Row],[E. Game Compl.]]="Challenging the Tower",5,IF(DataTable[[#This Row],[E. Game Compl.]]="Scaling the Tower",15,)))</f>
        <v>0</v>
      </c>
      <c r="J714">
        <f>Table2[[#This Row],[AUTO Pts]]+Table2[[#This Row],[Shooting Pts.]]+Table2[[#This Row],[Def. Points]]+Table2[[#This Row],[E. Game Pts.]]</f>
        <v>0</v>
      </c>
    </row>
    <row r="715" spans="1:10" x14ac:dyDescent="0.25">
      <c r="A715">
        <f>DataTable[[#This Row],[Tm.]]</f>
        <v>0</v>
      </c>
      <c r="B715">
        <f>DataTable[[#This Row],[Match Nr.]]</f>
        <v>0</v>
      </c>
      <c r="C7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5">
        <f>DataTable[[#This Row],[Successful Lo. G. S]]*2+DataTable[[#This Row],[Successful Hi. G. S.]]*10</f>
        <v>0</v>
      </c>
      <c r="H7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5">
        <f>IF(DataTable[[#This Row],[E. Game Compl.]]="Nothing",0,IF(DataTable[[#This Row],[E. Game Compl.]]="Challenging the Tower",5,IF(DataTable[[#This Row],[E. Game Compl.]]="Scaling the Tower",15,)))</f>
        <v>0</v>
      </c>
      <c r="J715">
        <f>Table2[[#This Row],[AUTO Pts]]+Table2[[#This Row],[Shooting Pts.]]+Table2[[#This Row],[Def. Points]]+Table2[[#This Row],[E. Game Pts.]]</f>
        <v>0</v>
      </c>
    </row>
    <row r="716" spans="1:10" x14ac:dyDescent="0.25">
      <c r="A716">
        <f>DataTable[[#This Row],[Tm.]]</f>
        <v>0</v>
      </c>
      <c r="B716">
        <f>DataTable[[#This Row],[Match Nr.]]</f>
        <v>0</v>
      </c>
      <c r="C7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6">
        <f>DataTable[[#This Row],[Successful Lo. G. S]]*2+DataTable[[#This Row],[Successful Hi. G. S.]]*10</f>
        <v>0</v>
      </c>
      <c r="H7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6">
        <f>IF(DataTable[[#This Row],[E. Game Compl.]]="Nothing",0,IF(DataTable[[#This Row],[E. Game Compl.]]="Challenging the Tower",5,IF(DataTable[[#This Row],[E. Game Compl.]]="Scaling the Tower",15,)))</f>
        <v>0</v>
      </c>
      <c r="J716">
        <f>Table2[[#This Row],[AUTO Pts]]+Table2[[#This Row],[Shooting Pts.]]+Table2[[#This Row],[Def. Points]]+Table2[[#This Row],[E. Game Pts.]]</f>
        <v>0</v>
      </c>
    </row>
    <row r="717" spans="1:10" x14ac:dyDescent="0.25">
      <c r="A717">
        <f>DataTable[[#This Row],[Tm.]]</f>
        <v>0</v>
      </c>
      <c r="B717">
        <f>DataTable[[#This Row],[Match Nr.]]</f>
        <v>0</v>
      </c>
      <c r="C7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7">
        <f>DataTable[[#This Row],[Successful Lo. G. S]]*2+DataTable[[#This Row],[Successful Hi. G. S.]]*10</f>
        <v>0</v>
      </c>
      <c r="H7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7">
        <f>IF(DataTable[[#This Row],[E. Game Compl.]]="Nothing",0,IF(DataTable[[#This Row],[E. Game Compl.]]="Challenging the Tower",5,IF(DataTable[[#This Row],[E. Game Compl.]]="Scaling the Tower",15,)))</f>
        <v>0</v>
      </c>
      <c r="J717">
        <f>Table2[[#This Row],[AUTO Pts]]+Table2[[#This Row],[Shooting Pts.]]+Table2[[#This Row],[Def. Points]]+Table2[[#This Row],[E. Game Pts.]]</f>
        <v>0</v>
      </c>
    </row>
    <row r="718" spans="1:10" x14ac:dyDescent="0.25">
      <c r="A718">
        <f>DataTable[[#This Row],[Tm.]]</f>
        <v>0</v>
      </c>
      <c r="B718">
        <f>DataTable[[#This Row],[Match Nr.]]</f>
        <v>0</v>
      </c>
      <c r="C7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8">
        <f>DataTable[[#This Row],[Successful Lo. G. S]]*2+DataTable[[#This Row],[Successful Hi. G. S.]]*10</f>
        <v>0</v>
      </c>
      <c r="H7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8">
        <f>IF(DataTable[[#This Row],[E. Game Compl.]]="Nothing",0,IF(DataTable[[#This Row],[E. Game Compl.]]="Challenging the Tower",5,IF(DataTable[[#This Row],[E. Game Compl.]]="Scaling the Tower",15,)))</f>
        <v>0</v>
      </c>
      <c r="J718">
        <f>Table2[[#This Row],[AUTO Pts]]+Table2[[#This Row],[Shooting Pts.]]+Table2[[#This Row],[Def. Points]]+Table2[[#This Row],[E. Game Pts.]]</f>
        <v>0</v>
      </c>
    </row>
    <row r="719" spans="1:10" x14ac:dyDescent="0.25">
      <c r="A719">
        <f>DataTable[[#This Row],[Tm.]]</f>
        <v>0</v>
      </c>
      <c r="B719">
        <f>DataTable[[#This Row],[Match Nr.]]</f>
        <v>0</v>
      </c>
      <c r="C7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9">
        <f>DataTable[[#This Row],[Successful Lo. G. S]]*2+DataTable[[#This Row],[Successful Hi. G. S.]]*10</f>
        <v>0</v>
      </c>
      <c r="H7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9">
        <f>IF(DataTable[[#This Row],[E. Game Compl.]]="Nothing",0,IF(DataTable[[#This Row],[E. Game Compl.]]="Challenging the Tower",5,IF(DataTable[[#This Row],[E. Game Compl.]]="Scaling the Tower",15,)))</f>
        <v>0</v>
      </c>
      <c r="J719">
        <f>Table2[[#This Row],[AUTO Pts]]+Table2[[#This Row],[Shooting Pts.]]+Table2[[#This Row],[Def. Points]]+Table2[[#This Row],[E. Game Pts.]]</f>
        <v>0</v>
      </c>
    </row>
    <row r="720" spans="1:10" x14ac:dyDescent="0.25">
      <c r="A720">
        <f>DataTable[[#This Row],[Tm.]]</f>
        <v>0</v>
      </c>
      <c r="B720">
        <f>DataTable[[#This Row],[Match Nr.]]</f>
        <v>0</v>
      </c>
      <c r="C7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0">
        <f>DataTable[[#This Row],[Successful Lo. G. S]]*2+DataTable[[#This Row],[Successful Hi. G. S.]]*10</f>
        <v>0</v>
      </c>
      <c r="H7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0">
        <f>IF(DataTable[[#This Row],[E. Game Compl.]]="Nothing",0,IF(DataTable[[#This Row],[E. Game Compl.]]="Challenging the Tower",5,IF(DataTable[[#This Row],[E. Game Compl.]]="Scaling the Tower",15,)))</f>
        <v>0</v>
      </c>
      <c r="J720">
        <f>Table2[[#This Row],[AUTO Pts]]+Table2[[#This Row],[Shooting Pts.]]+Table2[[#This Row],[Def. Points]]+Table2[[#This Row],[E. Game Pts.]]</f>
        <v>0</v>
      </c>
    </row>
    <row r="721" spans="1:10" x14ac:dyDescent="0.25">
      <c r="A721">
        <f>DataTable[[#This Row],[Tm.]]</f>
        <v>0</v>
      </c>
      <c r="B721">
        <f>DataTable[[#This Row],[Match Nr.]]</f>
        <v>0</v>
      </c>
      <c r="C7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1">
        <f>DataTable[[#This Row],[Successful Lo. G. S]]*2+DataTable[[#This Row],[Successful Hi. G. S.]]*10</f>
        <v>0</v>
      </c>
      <c r="H7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1">
        <f>IF(DataTable[[#This Row],[E. Game Compl.]]="Nothing",0,IF(DataTable[[#This Row],[E. Game Compl.]]="Challenging the Tower",5,IF(DataTable[[#This Row],[E. Game Compl.]]="Scaling the Tower",15,)))</f>
        <v>0</v>
      </c>
      <c r="J721">
        <f>Table2[[#This Row],[AUTO Pts]]+Table2[[#This Row],[Shooting Pts.]]+Table2[[#This Row],[Def. Points]]+Table2[[#This Row],[E. Game Pts.]]</f>
        <v>0</v>
      </c>
    </row>
    <row r="722" spans="1:10" x14ac:dyDescent="0.25">
      <c r="A722">
        <f>DataTable[[#This Row],[Tm.]]</f>
        <v>0</v>
      </c>
      <c r="B722">
        <f>DataTable[[#This Row],[Match Nr.]]</f>
        <v>0</v>
      </c>
      <c r="C7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2">
        <f>DataTable[[#This Row],[Successful Lo. G. S]]*2+DataTable[[#This Row],[Successful Hi. G. S.]]*10</f>
        <v>0</v>
      </c>
      <c r="H7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2">
        <f>IF(DataTable[[#This Row],[E. Game Compl.]]="Nothing",0,IF(DataTable[[#This Row],[E. Game Compl.]]="Challenging the Tower",5,IF(DataTable[[#This Row],[E. Game Compl.]]="Scaling the Tower",15,)))</f>
        <v>0</v>
      </c>
      <c r="J722">
        <f>Table2[[#This Row],[AUTO Pts]]+Table2[[#This Row],[Shooting Pts.]]+Table2[[#This Row],[Def. Points]]+Table2[[#This Row],[E. Game Pts.]]</f>
        <v>0</v>
      </c>
    </row>
    <row r="723" spans="1:10" x14ac:dyDescent="0.25">
      <c r="A723">
        <f>DataTable[[#This Row],[Tm.]]</f>
        <v>0</v>
      </c>
      <c r="B723">
        <f>DataTable[[#This Row],[Match Nr.]]</f>
        <v>0</v>
      </c>
      <c r="C7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3">
        <f>DataTable[[#This Row],[Successful Lo. G. S]]*2+DataTable[[#This Row],[Successful Hi. G. S.]]*10</f>
        <v>0</v>
      </c>
      <c r="H7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3">
        <f>IF(DataTable[[#This Row],[E. Game Compl.]]="Nothing",0,IF(DataTable[[#This Row],[E. Game Compl.]]="Challenging the Tower",5,IF(DataTable[[#This Row],[E. Game Compl.]]="Scaling the Tower",15,)))</f>
        <v>0</v>
      </c>
      <c r="J723">
        <f>Table2[[#This Row],[AUTO Pts]]+Table2[[#This Row],[Shooting Pts.]]+Table2[[#This Row],[Def. Points]]+Table2[[#This Row],[E. Game Pts.]]</f>
        <v>0</v>
      </c>
    </row>
    <row r="724" spans="1:10" x14ac:dyDescent="0.25">
      <c r="A724">
        <f>DataTable[[#This Row],[Tm.]]</f>
        <v>0</v>
      </c>
      <c r="B724">
        <f>DataTable[[#This Row],[Match Nr.]]</f>
        <v>0</v>
      </c>
      <c r="C7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4">
        <f>DataTable[[#This Row],[Successful Lo. G. S]]*2+DataTable[[#This Row],[Successful Hi. G. S.]]*10</f>
        <v>0</v>
      </c>
      <c r="H7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4">
        <f>IF(DataTable[[#This Row],[E. Game Compl.]]="Nothing",0,IF(DataTable[[#This Row],[E. Game Compl.]]="Challenging the Tower",5,IF(DataTable[[#This Row],[E. Game Compl.]]="Scaling the Tower",15,)))</f>
        <v>0</v>
      </c>
      <c r="J724">
        <f>Table2[[#This Row],[AUTO Pts]]+Table2[[#This Row],[Shooting Pts.]]+Table2[[#This Row],[Def. Points]]+Table2[[#This Row],[E. Game Pts.]]</f>
        <v>0</v>
      </c>
    </row>
    <row r="725" spans="1:10" x14ac:dyDescent="0.25">
      <c r="A725">
        <f>DataTable[[#This Row],[Tm.]]</f>
        <v>0</v>
      </c>
      <c r="B725">
        <f>DataTable[[#This Row],[Match Nr.]]</f>
        <v>0</v>
      </c>
      <c r="C7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5">
        <f>DataTable[[#This Row],[Successful Lo. G. S]]*2+DataTable[[#This Row],[Successful Hi. G. S.]]*10</f>
        <v>0</v>
      </c>
      <c r="H7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5">
        <f>IF(DataTable[[#This Row],[E. Game Compl.]]="Nothing",0,IF(DataTable[[#This Row],[E. Game Compl.]]="Challenging the Tower",5,IF(DataTable[[#This Row],[E. Game Compl.]]="Scaling the Tower",15,)))</f>
        <v>0</v>
      </c>
      <c r="J725">
        <f>Table2[[#This Row],[AUTO Pts]]+Table2[[#This Row],[Shooting Pts.]]+Table2[[#This Row],[Def. Points]]+Table2[[#This Row],[E. Game Pts.]]</f>
        <v>0</v>
      </c>
    </row>
    <row r="726" spans="1:10" x14ac:dyDescent="0.25">
      <c r="A726">
        <f>DataTable[[#This Row],[Tm.]]</f>
        <v>0</v>
      </c>
      <c r="B726">
        <f>DataTable[[#This Row],[Match Nr.]]</f>
        <v>0</v>
      </c>
      <c r="C7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6">
        <f>DataTable[[#This Row],[Successful Lo. G. S]]*2+DataTable[[#This Row],[Successful Hi. G. S.]]*10</f>
        <v>0</v>
      </c>
      <c r="H7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6">
        <f>IF(DataTable[[#This Row],[E. Game Compl.]]="Nothing",0,IF(DataTable[[#This Row],[E. Game Compl.]]="Challenging the Tower",5,IF(DataTable[[#This Row],[E. Game Compl.]]="Scaling the Tower",15,)))</f>
        <v>0</v>
      </c>
      <c r="J726">
        <f>Table2[[#This Row],[AUTO Pts]]+Table2[[#This Row],[Shooting Pts.]]+Table2[[#This Row],[Def. Points]]+Table2[[#This Row],[E. Game Pts.]]</f>
        <v>0</v>
      </c>
    </row>
    <row r="727" spans="1:10" x14ac:dyDescent="0.25">
      <c r="A727">
        <f>DataTable[[#This Row],[Tm.]]</f>
        <v>0</v>
      </c>
      <c r="B727">
        <f>DataTable[[#This Row],[Match Nr.]]</f>
        <v>0</v>
      </c>
      <c r="C7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7">
        <f>DataTable[[#This Row],[Successful Lo. G. S]]*2+DataTable[[#This Row],[Successful Hi. G. S.]]*10</f>
        <v>0</v>
      </c>
      <c r="H7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7">
        <f>IF(DataTable[[#This Row],[E. Game Compl.]]="Nothing",0,IF(DataTable[[#This Row],[E. Game Compl.]]="Challenging the Tower",5,IF(DataTable[[#This Row],[E. Game Compl.]]="Scaling the Tower",15,)))</f>
        <v>0</v>
      </c>
      <c r="J727">
        <f>Table2[[#This Row],[AUTO Pts]]+Table2[[#This Row],[Shooting Pts.]]+Table2[[#This Row],[Def. Points]]+Table2[[#This Row],[E. Game Pts.]]</f>
        <v>0</v>
      </c>
    </row>
    <row r="728" spans="1:10" x14ac:dyDescent="0.25">
      <c r="A728">
        <f>DataTable[[#This Row],[Tm.]]</f>
        <v>0</v>
      </c>
      <c r="B728">
        <f>DataTable[[#This Row],[Match Nr.]]</f>
        <v>0</v>
      </c>
      <c r="C7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8">
        <f>DataTable[[#This Row],[Successful Lo. G. S]]*2+DataTable[[#This Row],[Successful Hi. G. S.]]*10</f>
        <v>0</v>
      </c>
      <c r="H7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8">
        <f>IF(DataTable[[#This Row],[E. Game Compl.]]="Nothing",0,IF(DataTable[[#This Row],[E. Game Compl.]]="Challenging the Tower",5,IF(DataTable[[#This Row],[E. Game Compl.]]="Scaling the Tower",15,)))</f>
        <v>0</v>
      </c>
      <c r="J728">
        <f>Table2[[#This Row],[AUTO Pts]]+Table2[[#This Row],[Shooting Pts.]]+Table2[[#This Row],[Def. Points]]+Table2[[#This Row],[E. Game Pts.]]</f>
        <v>0</v>
      </c>
    </row>
    <row r="729" spans="1:10" x14ac:dyDescent="0.25">
      <c r="A729">
        <f>DataTable[[#This Row],[Tm.]]</f>
        <v>0</v>
      </c>
      <c r="B729">
        <f>DataTable[[#This Row],[Match Nr.]]</f>
        <v>0</v>
      </c>
      <c r="C7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9">
        <f>DataTable[[#This Row],[Successful Lo. G. S]]*2+DataTable[[#This Row],[Successful Hi. G. S.]]*10</f>
        <v>0</v>
      </c>
      <c r="H7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9">
        <f>IF(DataTable[[#This Row],[E. Game Compl.]]="Nothing",0,IF(DataTable[[#This Row],[E. Game Compl.]]="Challenging the Tower",5,IF(DataTable[[#This Row],[E. Game Compl.]]="Scaling the Tower",15,)))</f>
        <v>0</v>
      </c>
      <c r="J729">
        <f>Table2[[#This Row],[AUTO Pts]]+Table2[[#This Row],[Shooting Pts.]]+Table2[[#This Row],[Def. Points]]+Table2[[#This Row],[E. Game Pts.]]</f>
        <v>0</v>
      </c>
    </row>
    <row r="730" spans="1:10" x14ac:dyDescent="0.25">
      <c r="A730">
        <f>DataTable[[#This Row],[Tm.]]</f>
        <v>0</v>
      </c>
      <c r="B730">
        <f>DataTable[[#This Row],[Match Nr.]]</f>
        <v>0</v>
      </c>
      <c r="C7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0">
        <f>DataTable[[#This Row],[Successful Lo. G. S]]*2+DataTable[[#This Row],[Successful Hi. G. S.]]*10</f>
        <v>0</v>
      </c>
      <c r="H7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0">
        <f>IF(DataTable[[#This Row],[E. Game Compl.]]="Nothing",0,IF(DataTable[[#This Row],[E. Game Compl.]]="Challenging the Tower",5,IF(DataTable[[#This Row],[E. Game Compl.]]="Scaling the Tower",15,)))</f>
        <v>0</v>
      </c>
      <c r="J730">
        <f>Table2[[#This Row],[AUTO Pts]]+Table2[[#This Row],[Shooting Pts.]]+Table2[[#This Row],[Def. Points]]+Table2[[#This Row],[E. Game Pts.]]</f>
        <v>0</v>
      </c>
    </row>
    <row r="731" spans="1:10" x14ac:dyDescent="0.25">
      <c r="A731">
        <f>DataTable[[#This Row],[Tm.]]</f>
        <v>0</v>
      </c>
      <c r="B731">
        <f>DataTable[[#This Row],[Match Nr.]]</f>
        <v>0</v>
      </c>
      <c r="C7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1">
        <f>DataTable[[#This Row],[Successful Lo. G. S]]*2+DataTable[[#This Row],[Successful Hi. G. S.]]*10</f>
        <v>0</v>
      </c>
      <c r="H7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1">
        <f>IF(DataTable[[#This Row],[E. Game Compl.]]="Nothing",0,IF(DataTable[[#This Row],[E. Game Compl.]]="Challenging the Tower",5,IF(DataTable[[#This Row],[E. Game Compl.]]="Scaling the Tower",15,)))</f>
        <v>0</v>
      </c>
      <c r="J731">
        <f>Table2[[#This Row],[AUTO Pts]]+Table2[[#This Row],[Shooting Pts.]]+Table2[[#This Row],[Def. Points]]+Table2[[#This Row],[E. Game Pts.]]</f>
        <v>0</v>
      </c>
    </row>
    <row r="732" spans="1:10" x14ac:dyDescent="0.25">
      <c r="A732">
        <f>DataTable[[#This Row],[Tm.]]</f>
        <v>0</v>
      </c>
      <c r="B732">
        <f>DataTable[[#This Row],[Match Nr.]]</f>
        <v>0</v>
      </c>
      <c r="C7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2">
        <f>DataTable[[#This Row],[Successful Lo. G. S]]*2+DataTable[[#This Row],[Successful Hi. G. S.]]*10</f>
        <v>0</v>
      </c>
      <c r="H7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2">
        <f>IF(DataTable[[#This Row],[E. Game Compl.]]="Nothing",0,IF(DataTable[[#This Row],[E. Game Compl.]]="Challenging the Tower",5,IF(DataTable[[#This Row],[E. Game Compl.]]="Scaling the Tower",15,)))</f>
        <v>0</v>
      </c>
      <c r="J732">
        <f>Table2[[#This Row],[AUTO Pts]]+Table2[[#This Row],[Shooting Pts.]]+Table2[[#This Row],[Def. Points]]+Table2[[#This Row],[E. Game Pts.]]</f>
        <v>0</v>
      </c>
    </row>
    <row r="733" spans="1:10" x14ac:dyDescent="0.25">
      <c r="A733">
        <f>DataTable[[#This Row],[Tm.]]</f>
        <v>0</v>
      </c>
      <c r="B733">
        <f>DataTable[[#This Row],[Match Nr.]]</f>
        <v>0</v>
      </c>
      <c r="C7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3">
        <f>DataTable[[#This Row],[Successful Lo. G. S]]*2+DataTable[[#This Row],[Successful Hi. G. S.]]*10</f>
        <v>0</v>
      </c>
      <c r="H7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3">
        <f>IF(DataTable[[#This Row],[E. Game Compl.]]="Nothing",0,IF(DataTable[[#This Row],[E. Game Compl.]]="Challenging the Tower",5,IF(DataTable[[#This Row],[E. Game Compl.]]="Scaling the Tower",15,)))</f>
        <v>0</v>
      </c>
      <c r="J733">
        <f>Table2[[#This Row],[AUTO Pts]]+Table2[[#This Row],[Shooting Pts.]]+Table2[[#This Row],[Def. Points]]+Table2[[#This Row],[E. Game Pts.]]</f>
        <v>0</v>
      </c>
    </row>
    <row r="734" spans="1:10" x14ac:dyDescent="0.25">
      <c r="A734">
        <f>DataTable[[#This Row],[Tm.]]</f>
        <v>0</v>
      </c>
      <c r="B734">
        <f>DataTable[[#This Row],[Match Nr.]]</f>
        <v>0</v>
      </c>
      <c r="C7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4">
        <f>DataTable[[#This Row],[Successful Lo. G. S]]*2+DataTable[[#This Row],[Successful Hi. G. S.]]*10</f>
        <v>0</v>
      </c>
      <c r="H7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4">
        <f>IF(DataTable[[#This Row],[E. Game Compl.]]="Nothing",0,IF(DataTable[[#This Row],[E. Game Compl.]]="Challenging the Tower",5,IF(DataTable[[#This Row],[E. Game Compl.]]="Scaling the Tower",15,)))</f>
        <v>0</v>
      </c>
      <c r="J734">
        <f>Table2[[#This Row],[AUTO Pts]]+Table2[[#This Row],[Shooting Pts.]]+Table2[[#This Row],[Def. Points]]+Table2[[#This Row],[E. Game Pts.]]</f>
        <v>0</v>
      </c>
    </row>
    <row r="735" spans="1:10" x14ac:dyDescent="0.25">
      <c r="A735">
        <f>DataTable[[#This Row],[Tm.]]</f>
        <v>0</v>
      </c>
      <c r="B735">
        <f>DataTable[[#This Row],[Match Nr.]]</f>
        <v>0</v>
      </c>
      <c r="C7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5">
        <f>DataTable[[#This Row],[Successful Lo. G. S]]*2+DataTable[[#This Row],[Successful Hi. G. S.]]*10</f>
        <v>0</v>
      </c>
      <c r="H7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5">
        <f>IF(DataTable[[#This Row],[E. Game Compl.]]="Nothing",0,IF(DataTable[[#This Row],[E. Game Compl.]]="Challenging the Tower",5,IF(DataTable[[#This Row],[E. Game Compl.]]="Scaling the Tower",15,)))</f>
        <v>0</v>
      </c>
      <c r="J735">
        <f>Table2[[#This Row],[AUTO Pts]]+Table2[[#This Row],[Shooting Pts.]]+Table2[[#This Row],[Def. Points]]+Table2[[#This Row],[E. Game Pts.]]</f>
        <v>0</v>
      </c>
    </row>
    <row r="736" spans="1:10" x14ac:dyDescent="0.25">
      <c r="A736">
        <f>DataTable[[#This Row],[Tm.]]</f>
        <v>0</v>
      </c>
      <c r="B736">
        <f>DataTable[[#This Row],[Match Nr.]]</f>
        <v>0</v>
      </c>
      <c r="C7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6">
        <f>DataTable[[#This Row],[Successful Lo. G. S]]*2+DataTable[[#This Row],[Successful Hi. G. S.]]*10</f>
        <v>0</v>
      </c>
      <c r="H7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6">
        <f>IF(DataTable[[#This Row],[E. Game Compl.]]="Nothing",0,IF(DataTable[[#This Row],[E. Game Compl.]]="Challenging the Tower",5,IF(DataTable[[#This Row],[E. Game Compl.]]="Scaling the Tower",15,)))</f>
        <v>0</v>
      </c>
      <c r="J736">
        <f>Table2[[#This Row],[AUTO Pts]]+Table2[[#This Row],[Shooting Pts.]]+Table2[[#This Row],[Def. Points]]+Table2[[#This Row],[E. Game Pts.]]</f>
        <v>0</v>
      </c>
    </row>
    <row r="737" spans="1:10" x14ac:dyDescent="0.25">
      <c r="A737">
        <f>DataTable[[#This Row],[Tm.]]</f>
        <v>0</v>
      </c>
      <c r="B737">
        <f>DataTable[[#This Row],[Match Nr.]]</f>
        <v>0</v>
      </c>
      <c r="C7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7">
        <f>DataTable[[#This Row],[Successful Lo. G. S]]*2+DataTable[[#This Row],[Successful Hi. G. S.]]*10</f>
        <v>0</v>
      </c>
      <c r="H7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7">
        <f>IF(DataTable[[#This Row],[E. Game Compl.]]="Nothing",0,IF(DataTable[[#This Row],[E. Game Compl.]]="Challenging the Tower",5,IF(DataTable[[#This Row],[E. Game Compl.]]="Scaling the Tower",15,)))</f>
        <v>0</v>
      </c>
      <c r="J737">
        <f>Table2[[#This Row],[AUTO Pts]]+Table2[[#This Row],[Shooting Pts.]]+Table2[[#This Row],[Def. Points]]+Table2[[#This Row],[E. Game Pts.]]</f>
        <v>0</v>
      </c>
    </row>
    <row r="738" spans="1:10" x14ac:dyDescent="0.25">
      <c r="A738">
        <f>DataTable[[#This Row],[Tm.]]</f>
        <v>0</v>
      </c>
      <c r="B738">
        <f>DataTable[[#This Row],[Match Nr.]]</f>
        <v>0</v>
      </c>
      <c r="C7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8">
        <f>DataTable[[#This Row],[Successful Lo. G. S]]*2+DataTable[[#This Row],[Successful Hi. G. S.]]*10</f>
        <v>0</v>
      </c>
      <c r="H7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8">
        <f>IF(DataTable[[#This Row],[E. Game Compl.]]="Nothing",0,IF(DataTable[[#This Row],[E. Game Compl.]]="Challenging the Tower",5,IF(DataTable[[#This Row],[E. Game Compl.]]="Scaling the Tower",15,)))</f>
        <v>0</v>
      </c>
      <c r="J738">
        <f>Table2[[#This Row],[AUTO Pts]]+Table2[[#This Row],[Shooting Pts.]]+Table2[[#This Row],[Def. Points]]+Table2[[#This Row],[E. Game Pts.]]</f>
        <v>0</v>
      </c>
    </row>
    <row r="739" spans="1:10" x14ac:dyDescent="0.25">
      <c r="A739">
        <f>DataTable[[#This Row],[Tm.]]</f>
        <v>0</v>
      </c>
      <c r="B739">
        <f>DataTable[[#This Row],[Match Nr.]]</f>
        <v>0</v>
      </c>
      <c r="C7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9">
        <f>DataTable[[#This Row],[Successful Lo. G. S]]*2+DataTable[[#This Row],[Successful Hi. G. S.]]*10</f>
        <v>0</v>
      </c>
      <c r="H7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9">
        <f>IF(DataTable[[#This Row],[E. Game Compl.]]="Nothing",0,IF(DataTable[[#This Row],[E. Game Compl.]]="Challenging the Tower",5,IF(DataTable[[#This Row],[E. Game Compl.]]="Scaling the Tower",15,)))</f>
        <v>0</v>
      </c>
      <c r="J739">
        <f>Table2[[#This Row],[AUTO Pts]]+Table2[[#This Row],[Shooting Pts.]]+Table2[[#This Row],[Def. Points]]+Table2[[#This Row],[E. Game Pts.]]</f>
        <v>0</v>
      </c>
    </row>
    <row r="740" spans="1:10" x14ac:dyDescent="0.25">
      <c r="A740">
        <f>DataTable[[#This Row],[Tm.]]</f>
        <v>0</v>
      </c>
      <c r="B740">
        <f>DataTable[[#This Row],[Match Nr.]]</f>
        <v>0</v>
      </c>
      <c r="C7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0">
        <f>DataTable[[#This Row],[Successful Lo. G. S]]*2+DataTable[[#This Row],[Successful Hi. G. S.]]*10</f>
        <v>0</v>
      </c>
      <c r="H7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0">
        <f>IF(DataTable[[#This Row],[E. Game Compl.]]="Nothing",0,IF(DataTable[[#This Row],[E. Game Compl.]]="Challenging the Tower",5,IF(DataTable[[#This Row],[E. Game Compl.]]="Scaling the Tower",15,)))</f>
        <v>0</v>
      </c>
      <c r="J740">
        <f>Table2[[#This Row],[AUTO Pts]]+Table2[[#This Row],[Shooting Pts.]]+Table2[[#This Row],[Def. Points]]+Table2[[#This Row],[E. Game Pts.]]</f>
        <v>0</v>
      </c>
    </row>
    <row r="741" spans="1:10" x14ac:dyDescent="0.25">
      <c r="A741">
        <f>DataTable[[#This Row],[Tm.]]</f>
        <v>0</v>
      </c>
      <c r="B741">
        <f>DataTable[[#This Row],[Match Nr.]]</f>
        <v>0</v>
      </c>
      <c r="C7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1">
        <f>DataTable[[#This Row],[Successful Lo. G. S]]*2+DataTable[[#This Row],[Successful Hi. G. S.]]*10</f>
        <v>0</v>
      </c>
      <c r="H7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1">
        <f>IF(DataTable[[#This Row],[E. Game Compl.]]="Nothing",0,IF(DataTable[[#This Row],[E. Game Compl.]]="Challenging the Tower",5,IF(DataTable[[#This Row],[E. Game Compl.]]="Scaling the Tower",15,)))</f>
        <v>0</v>
      </c>
      <c r="J741">
        <f>Table2[[#This Row],[AUTO Pts]]+Table2[[#This Row],[Shooting Pts.]]+Table2[[#This Row],[Def. Points]]+Table2[[#This Row],[E. Game Pts.]]</f>
        <v>0</v>
      </c>
    </row>
    <row r="742" spans="1:10" x14ac:dyDescent="0.25">
      <c r="A742">
        <f>DataTable[[#This Row],[Tm.]]</f>
        <v>0</v>
      </c>
      <c r="B742">
        <f>DataTable[[#This Row],[Match Nr.]]</f>
        <v>0</v>
      </c>
      <c r="C7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2">
        <f>DataTable[[#This Row],[Successful Lo. G. S]]*2+DataTable[[#This Row],[Successful Hi. G. S.]]*10</f>
        <v>0</v>
      </c>
      <c r="H7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2">
        <f>IF(DataTable[[#This Row],[E. Game Compl.]]="Nothing",0,IF(DataTable[[#This Row],[E. Game Compl.]]="Challenging the Tower",5,IF(DataTable[[#This Row],[E. Game Compl.]]="Scaling the Tower",15,)))</f>
        <v>0</v>
      </c>
      <c r="J742">
        <f>Table2[[#This Row],[AUTO Pts]]+Table2[[#This Row],[Shooting Pts.]]+Table2[[#This Row],[Def. Points]]+Table2[[#This Row],[E. Game Pts.]]</f>
        <v>0</v>
      </c>
    </row>
    <row r="743" spans="1:10" x14ac:dyDescent="0.25">
      <c r="A743">
        <f>DataTable[[#This Row],[Tm.]]</f>
        <v>0</v>
      </c>
      <c r="B743">
        <f>DataTable[[#This Row],[Match Nr.]]</f>
        <v>0</v>
      </c>
      <c r="C7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3">
        <f>DataTable[[#This Row],[Successful Lo. G. S]]*2+DataTable[[#This Row],[Successful Hi. G. S.]]*10</f>
        <v>0</v>
      </c>
      <c r="H7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3">
        <f>IF(DataTable[[#This Row],[E. Game Compl.]]="Nothing",0,IF(DataTable[[#This Row],[E. Game Compl.]]="Challenging the Tower",5,IF(DataTable[[#This Row],[E. Game Compl.]]="Scaling the Tower",15,)))</f>
        <v>0</v>
      </c>
      <c r="J743">
        <f>Table2[[#This Row],[AUTO Pts]]+Table2[[#This Row],[Shooting Pts.]]+Table2[[#This Row],[Def. Points]]+Table2[[#This Row],[E. Game Pts.]]</f>
        <v>0</v>
      </c>
    </row>
    <row r="744" spans="1:10" x14ac:dyDescent="0.25">
      <c r="A744">
        <f>DataTable[[#This Row],[Tm.]]</f>
        <v>0</v>
      </c>
      <c r="B744">
        <f>DataTable[[#This Row],[Match Nr.]]</f>
        <v>0</v>
      </c>
      <c r="C7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4">
        <f>DataTable[[#This Row],[Successful Lo. G. S]]*2+DataTable[[#This Row],[Successful Hi. G. S.]]*10</f>
        <v>0</v>
      </c>
      <c r="H7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4">
        <f>IF(DataTable[[#This Row],[E. Game Compl.]]="Nothing",0,IF(DataTable[[#This Row],[E. Game Compl.]]="Challenging the Tower",5,IF(DataTable[[#This Row],[E. Game Compl.]]="Scaling the Tower",15,)))</f>
        <v>0</v>
      </c>
      <c r="J744">
        <f>Table2[[#This Row],[AUTO Pts]]+Table2[[#This Row],[Shooting Pts.]]+Table2[[#This Row],[Def. Points]]+Table2[[#This Row],[E. Game Pts.]]</f>
        <v>0</v>
      </c>
    </row>
    <row r="745" spans="1:10" x14ac:dyDescent="0.25">
      <c r="A745">
        <f>DataTable[[#This Row],[Tm.]]</f>
        <v>0</v>
      </c>
      <c r="B745">
        <f>DataTable[[#This Row],[Match Nr.]]</f>
        <v>0</v>
      </c>
      <c r="C7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5">
        <f>DataTable[[#This Row],[Successful Lo. G. S]]*2+DataTable[[#This Row],[Successful Hi. G. S.]]*10</f>
        <v>0</v>
      </c>
      <c r="H7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5">
        <f>IF(DataTable[[#This Row],[E. Game Compl.]]="Nothing",0,IF(DataTable[[#This Row],[E. Game Compl.]]="Challenging the Tower",5,IF(DataTable[[#This Row],[E. Game Compl.]]="Scaling the Tower",15,)))</f>
        <v>0</v>
      </c>
      <c r="J745">
        <f>Table2[[#This Row],[AUTO Pts]]+Table2[[#This Row],[Shooting Pts.]]+Table2[[#This Row],[Def. Points]]+Table2[[#This Row],[E. Game Pts.]]</f>
        <v>0</v>
      </c>
    </row>
    <row r="746" spans="1:10" x14ac:dyDescent="0.25">
      <c r="A746">
        <f>DataTable[[#This Row],[Tm.]]</f>
        <v>0</v>
      </c>
      <c r="B746">
        <f>DataTable[[#This Row],[Match Nr.]]</f>
        <v>0</v>
      </c>
      <c r="C7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6">
        <f>DataTable[[#This Row],[Successful Lo. G. S]]*2+DataTable[[#This Row],[Successful Hi. G. S.]]*10</f>
        <v>0</v>
      </c>
      <c r="H7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6">
        <f>IF(DataTable[[#This Row],[E. Game Compl.]]="Nothing",0,IF(DataTable[[#This Row],[E. Game Compl.]]="Challenging the Tower",5,IF(DataTable[[#This Row],[E. Game Compl.]]="Scaling the Tower",15,)))</f>
        <v>0</v>
      </c>
      <c r="J746">
        <f>Table2[[#This Row],[AUTO Pts]]+Table2[[#This Row],[Shooting Pts.]]+Table2[[#This Row],[Def. Points]]+Table2[[#This Row],[E. Game Pts.]]</f>
        <v>0</v>
      </c>
    </row>
    <row r="747" spans="1:10" x14ac:dyDescent="0.25">
      <c r="A747">
        <f>DataTable[[#This Row],[Tm.]]</f>
        <v>0</v>
      </c>
      <c r="B747">
        <f>DataTable[[#This Row],[Match Nr.]]</f>
        <v>0</v>
      </c>
      <c r="C7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7">
        <f>DataTable[[#This Row],[Successful Lo. G. S]]*2+DataTable[[#This Row],[Successful Hi. G. S.]]*10</f>
        <v>0</v>
      </c>
      <c r="H7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7">
        <f>IF(DataTable[[#This Row],[E. Game Compl.]]="Nothing",0,IF(DataTable[[#This Row],[E. Game Compl.]]="Challenging the Tower",5,IF(DataTable[[#This Row],[E. Game Compl.]]="Scaling the Tower",15,)))</f>
        <v>0</v>
      </c>
      <c r="J747">
        <f>Table2[[#This Row],[AUTO Pts]]+Table2[[#This Row],[Shooting Pts.]]+Table2[[#This Row],[Def. Points]]+Table2[[#This Row],[E. Game Pts.]]</f>
        <v>0</v>
      </c>
    </row>
    <row r="748" spans="1:10" x14ac:dyDescent="0.25">
      <c r="A748">
        <f>DataTable[[#This Row],[Tm.]]</f>
        <v>0</v>
      </c>
      <c r="B748">
        <f>DataTable[[#This Row],[Match Nr.]]</f>
        <v>0</v>
      </c>
      <c r="C7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8">
        <f>DataTable[[#This Row],[Successful Lo. G. S]]*2+DataTable[[#This Row],[Successful Hi. G. S.]]*10</f>
        <v>0</v>
      </c>
      <c r="H7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8">
        <f>IF(DataTable[[#This Row],[E. Game Compl.]]="Nothing",0,IF(DataTable[[#This Row],[E. Game Compl.]]="Challenging the Tower",5,IF(DataTable[[#This Row],[E. Game Compl.]]="Scaling the Tower",15,)))</f>
        <v>0</v>
      </c>
      <c r="J748">
        <f>Table2[[#This Row],[AUTO Pts]]+Table2[[#This Row],[Shooting Pts.]]+Table2[[#This Row],[Def. Points]]+Table2[[#This Row],[E. Game Pts.]]</f>
        <v>0</v>
      </c>
    </row>
    <row r="749" spans="1:10" x14ac:dyDescent="0.25">
      <c r="A749">
        <f>DataTable[[#This Row],[Tm.]]</f>
        <v>0</v>
      </c>
      <c r="B749">
        <f>DataTable[[#This Row],[Match Nr.]]</f>
        <v>0</v>
      </c>
      <c r="C7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9">
        <f>DataTable[[#This Row],[Successful Lo. G. S]]*2+DataTable[[#This Row],[Successful Hi. G. S.]]*10</f>
        <v>0</v>
      </c>
      <c r="H7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9">
        <f>IF(DataTable[[#This Row],[E. Game Compl.]]="Nothing",0,IF(DataTable[[#This Row],[E. Game Compl.]]="Challenging the Tower",5,IF(DataTable[[#This Row],[E. Game Compl.]]="Scaling the Tower",15,)))</f>
        <v>0</v>
      </c>
      <c r="J749">
        <f>Table2[[#This Row],[AUTO Pts]]+Table2[[#This Row],[Shooting Pts.]]+Table2[[#This Row],[Def. Points]]+Table2[[#This Row],[E. Game Pts.]]</f>
        <v>0</v>
      </c>
    </row>
    <row r="750" spans="1:10" x14ac:dyDescent="0.25">
      <c r="A750">
        <f>DataTable[[#This Row],[Tm.]]</f>
        <v>0</v>
      </c>
      <c r="B750">
        <f>DataTable[[#This Row],[Match Nr.]]</f>
        <v>0</v>
      </c>
      <c r="C7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0">
        <f>DataTable[[#This Row],[Successful Lo. G. S]]*2+DataTable[[#This Row],[Successful Hi. G. S.]]*10</f>
        <v>0</v>
      </c>
      <c r="H7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0">
        <f>IF(DataTable[[#This Row],[E. Game Compl.]]="Nothing",0,IF(DataTable[[#This Row],[E. Game Compl.]]="Challenging the Tower",5,IF(DataTable[[#This Row],[E. Game Compl.]]="Scaling the Tower",15,)))</f>
        <v>0</v>
      </c>
      <c r="J750">
        <f>Table2[[#This Row],[AUTO Pts]]+Table2[[#This Row],[Shooting Pts.]]+Table2[[#This Row],[Def. Points]]+Table2[[#This Row],[E. Game Pts.]]</f>
        <v>0</v>
      </c>
    </row>
    <row r="751" spans="1:10" x14ac:dyDescent="0.25">
      <c r="A751">
        <f>DataTable[[#This Row],[Tm.]]</f>
        <v>0</v>
      </c>
      <c r="B751">
        <f>DataTable[[#This Row],[Match Nr.]]</f>
        <v>0</v>
      </c>
      <c r="C7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1">
        <f>DataTable[[#This Row],[Successful Lo. G. S]]*2+DataTable[[#This Row],[Successful Hi. G. S.]]*10</f>
        <v>0</v>
      </c>
      <c r="H7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1">
        <f>IF(DataTable[[#This Row],[E. Game Compl.]]="Nothing",0,IF(DataTable[[#This Row],[E. Game Compl.]]="Challenging the Tower",5,IF(DataTable[[#This Row],[E. Game Compl.]]="Scaling the Tower",15,)))</f>
        <v>0</v>
      </c>
      <c r="J751">
        <f>Table2[[#This Row],[AUTO Pts]]+Table2[[#This Row],[Shooting Pts.]]+Table2[[#This Row],[Def. Points]]+Table2[[#This Row],[E. Game Pts.]]</f>
        <v>0</v>
      </c>
    </row>
    <row r="752" spans="1:10" x14ac:dyDescent="0.25">
      <c r="A752">
        <f>DataTable[[#This Row],[Tm.]]</f>
        <v>0</v>
      </c>
      <c r="B752">
        <f>DataTable[[#This Row],[Match Nr.]]</f>
        <v>0</v>
      </c>
      <c r="C7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2">
        <f>DataTable[[#This Row],[Successful Lo. G. S]]*2+DataTable[[#This Row],[Successful Hi. G. S.]]*10</f>
        <v>0</v>
      </c>
      <c r="H7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2">
        <f>IF(DataTable[[#This Row],[E. Game Compl.]]="Nothing",0,IF(DataTable[[#This Row],[E. Game Compl.]]="Challenging the Tower",5,IF(DataTable[[#This Row],[E. Game Compl.]]="Scaling the Tower",15,)))</f>
        <v>0</v>
      </c>
      <c r="J752">
        <f>Table2[[#This Row],[AUTO Pts]]+Table2[[#This Row],[Shooting Pts.]]+Table2[[#This Row],[Def. Points]]+Table2[[#This Row],[E. Game Pts.]]</f>
        <v>0</v>
      </c>
    </row>
    <row r="753" spans="1:10" x14ac:dyDescent="0.25">
      <c r="A753">
        <f>DataTable[[#This Row],[Tm.]]</f>
        <v>0</v>
      </c>
      <c r="B753">
        <f>DataTable[[#This Row],[Match Nr.]]</f>
        <v>0</v>
      </c>
      <c r="C7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3">
        <f>DataTable[[#This Row],[Successful Lo. G. S]]*2+DataTable[[#This Row],[Successful Hi. G. S.]]*10</f>
        <v>0</v>
      </c>
      <c r="H7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3">
        <f>IF(DataTable[[#This Row],[E. Game Compl.]]="Nothing",0,IF(DataTable[[#This Row],[E. Game Compl.]]="Challenging the Tower",5,IF(DataTable[[#This Row],[E. Game Compl.]]="Scaling the Tower",15,)))</f>
        <v>0</v>
      </c>
      <c r="J753">
        <f>Table2[[#This Row],[AUTO Pts]]+Table2[[#This Row],[Shooting Pts.]]+Table2[[#This Row],[Def. Points]]+Table2[[#This Row],[E. Game Pts.]]</f>
        <v>0</v>
      </c>
    </row>
    <row r="754" spans="1:10" x14ac:dyDescent="0.25">
      <c r="A754">
        <f>DataTable[[#This Row],[Tm.]]</f>
        <v>0</v>
      </c>
      <c r="B754">
        <f>DataTable[[#This Row],[Match Nr.]]</f>
        <v>0</v>
      </c>
      <c r="C7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4">
        <f>DataTable[[#This Row],[Successful Lo. G. S]]*2+DataTable[[#This Row],[Successful Hi. G. S.]]*10</f>
        <v>0</v>
      </c>
      <c r="H7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4">
        <f>IF(DataTable[[#This Row],[E. Game Compl.]]="Nothing",0,IF(DataTable[[#This Row],[E. Game Compl.]]="Challenging the Tower",5,IF(DataTable[[#This Row],[E. Game Compl.]]="Scaling the Tower",15,)))</f>
        <v>0</v>
      </c>
      <c r="J754">
        <f>Table2[[#This Row],[AUTO Pts]]+Table2[[#This Row],[Shooting Pts.]]+Table2[[#This Row],[Def. Points]]+Table2[[#This Row],[E. Game Pts.]]</f>
        <v>0</v>
      </c>
    </row>
    <row r="755" spans="1:10" x14ac:dyDescent="0.25">
      <c r="A755">
        <f>DataTable[[#This Row],[Tm.]]</f>
        <v>0</v>
      </c>
      <c r="B755">
        <f>DataTable[[#This Row],[Match Nr.]]</f>
        <v>0</v>
      </c>
      <c r="C7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5">
        <f>DataTable[[#This Row],[Successful Lo. G. S]]*2+DataTable[[#This Row],[Successful Hi. G. S.]]*10</f>
        <v>0</v>
      </c>
      <c r="H7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5">
        <f>IF(DataTable[[#This Row],[E. Game Compl.]]="Nothing",0,IF(DataTable[[#This Row],[E. Game Compl.]]="Challenging the Tower",5,IF(DataTable[[#This Row],[E. Game Compl.]]="Scaling the Tower",15,)))</f>
        <v>0</v>
      </c>
      <c r="J755">
        <f>Table2[[#This Row],[AUTO Pts]]+Table2[[#This Row],[Shooting Pts.]]+Table2[[#This Row],[Def. Points]]+Table2[[#This Row],[E. Game Pts.]]</f>
        <v>0</v>
      </c>
    </row>
    <row r="756" spans="1:10" x14ac:dyDescent="0.25">
      <c r="A756">
        <f>DataTable[[#This Row],[Tm.]]</f>
        <v>0</v>
      </c>
      <c r="B756">
        <f>DataTable[[#This Row],[Match Nr.]]</f>
        <v>0</v>
      </c>
      <c r="C7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6">
        <f>DataTable[[#This Row],[Successful Lo. G. S]]*2+DataTable[[#This Row],[Successful Hi. G. S.]]*10</f>
        <v>0</v>
      </c>
      <c r="H7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6">
        <f>IF(DataTable[[#This Row],[E. Game Compl.]]="Nothing",0,IF(DataTable[[#This Row],[E. Game Compl.]]="Challenging the Tower",5,IF(DataTable[[#This Row],[E. Game Compl.]]="Scaling the Tower",15,)))</f>
        <v>0</v>
      </c>
      <c r="J756">
        <f>Table2[[#This Row],[AUTO Pts]]+Table2[[#This Row],[Shooting Pts.]]+Table2[[#This Row],[Def. Points]]+Table2[[#This Row],[E. Game Pts.]]</f>
        <v>0</v>
      </c>
    </row>
    <row r="757" spans="1:10" x14ac:dyDescent="0.25">
      <c r="A757">
        <f>DataTable[[#This Row],[Tm.]]</f>
        <v>0</v>
      </c>
      <c r="B757">
        <f>DataTable[[#This Row],[Match Nr.]]</f>
        <v>0</v>
      </c>
      <c r="C7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7">
        <f>DataTable[[#This Row],[Successful Lo. G. S]]*2+DataTable[[#This Row],[Successful Hi. G. S.]]*10</f>
        <v>0</v>
      </c>
      <c r="H7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7">
        <f>IF(DataTable[[#This Row],[E. Game Compl.]]="Nothing",0,IF(DataTable[[#This Row],[E. Game Compl.]]="Challenging the Tower",5,IF(DataTable[[#This Row],[E. Game Compl.]]="Scaling the Tower",15,)))</f>
        <v>0</v>
      </c>
      <c r="J757">
        <f>Table2[[#This Row],[AUTO Pts]]+Table2[[#This Row],[Shooting Pts.]]+Table2[[#This Row],[Def. Points]]+Table2[[#This Row],[E. Game Pts.]]</f>
        <v>0</v>
      </c>
    </row>
    <row r="758" spans="1:10" x14ac:dyDescent="0.25">
      <c r="A758">
        <f>DataTable[[#This Row],[Tm.]]</f>
        <v>0</v>
      </c>
      <c r="B758">
        <f>DataTable[[#This Row],[Match Nr.]]</f>
        <v>0</v>
      </c>
      <c r="C7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8">
        <f>DataTable[[#This Row],[Successful Lo. G. S]]*2+DataTable[[#This Row],[Successful Hi. G. S.]]*10</f>
        <v>0</v>
      </c>
      <c r="H7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8">
        <f>IF(DataTable[[#This Row],[E. Game Compl.]]="Nothing",0,IF(DataTable[[#This Row],[E. Game Compl.]]="Challenging the Tower",5,IF(DataTable[[#This Row],[E. Game Compl.]]="Scaling the Tower",15,)))</f>
        <v>0</v>
      </c>
      <c r="J758">
        <f>Table2[[#This Row],[AUTO Pts]]+Table2[[#This Row],[Shooting Pts.]]+Table2[[#This Row],[Def. Points]]+Table2[[#This Row],[E. Game Pts.]]</f>
        <v>0</v>
      </c>
    </row>
    <row r="759" spans="1:10" x14ac:dyDescent="0.25">
      <c r="A759">
        <f>DataTable[[#This Row],[Tm.]]</f>
        <v>0</v>
      </c>
      <c r="B759">
        <f>DataTable[[#This Row],[Match Nr.]]</f>
        <v>0</v>
      </c>
      <c r="C7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9">
        <f>DataTable[[#This Row],[Successful Lo. G. S]]*2+DataTable[[#This Row],[Successful Hi. G. S.]]*10</f>
        <v>0</v>
      </c>
      <c r="H7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9">
        <f>IF(DataTable[[#This Row],[E. Game Compl.]]="Nothing",0,IF(DataTable[[#This Row],[E. Game Compl.]]="Challenging the Tower",5,IF(DataTable[[#This Row],[E. Game Compl.]]="Scaling the Tower",15,)))</f>
        <v>0</v>
      </c>
      <c r="J759">
        <f>Table2[[#This Row],[AUTO Pts]]+Table2[[#This Row],[Shooting Pts.]]+Table2[[#This Row],[Def. Points]]+Table2[[#This Row],[E. Game Pts.]]</f>
        <v>0</v>
      </c>
    </row>
    <row r="760" spans="1:10" x14ac:dyDescent="0.25">
      <c r="A760">
        <f>DataTable[[#This Row],[Tm.]]</f>
        <v>0</v>
      </c>
      <c r="B760">
        <f>DataTable[[#This Row],[Match Nr.]]</f>
        <v>0</v>
      </c>
      <c r="C7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0">
        <f>DataTable[[#This Row],[Successful Lo. G. S]]*2+DataTable[[#This Row],[Successful Hi. G. S.]]*10</f>
        <v>0</v>
      </c>
      <c r="H7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0">
        <f>IF(DataTable[[#This Row],[E. Game Compl.]]="Nothing",0,IF(DataTable[[#This Row],[E. Game Compl.]]="Challenging the Tower",5,IF(DataTable[[#This Row],[E. Game Compl.]]="Scaling the Tower",15,)))</f>
        <v>0</v>
      </c>
      <c r="J760">
        <f>Table2[[#This Row],[AUTO Pts]]+Table2[[#This Row],[Shooting Pts.]]+Table2[[#This Row],[Def. Points]]+Table2[[#This Row],[E. Game Pts.]]</f>
        <v>0</v>
      </c>
    </row>
    <row r="761" spans="1:10" x14ac:dyDescent="0.25">
      <c r="A761">
        <f>DataTable[[#This Row],[Tm.]]</f>
        <v>0</v>
      </c>
      <c r="B761">
        <f>DataTable[[#This Row],[Match Nr.]]</f>
        <v>0</v>
      </c>
      <c r="C7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1">
        <f>DataTable[[#This Row],[Successful Lo. G. S]]*2+DataTable[[#This Row],[Successful Hi. G. S.]]*10</f>
        <v>0</v>
      </c>
      <c r="H7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1">
        <f>IF(DataTable[[#This Row],[E. Game Compl.]]="Nothing",0,IF(DataTable[[#This Row],[E. Game Compl.]]="Challenging the Tower",5,IF(DataTable[[#This Row],[E. Game Compl.]]="Scaling the Tower",15,)))</f>
        <v>0</v>
      </c>
      <c r="J761">
        <f>Table2[[#This Row],[AUTO Pts]]+Table2[[#This Row],[Shooting Pts.]]+Table2[[#This Row],[Def. Points]]+Table2[[#This Row],[E. Game Pts.]]</f>
        <v>0</v>
      </c>
    </row>
    <row r="762" spans="1:10" x14ac:dyDescent="0.25">
      <c r="A762">
        <f>DataTable[[#This Row],[Tm.]]</f>
        <v>0</v>
      </c>
      <c r="B762">
        <f>DataTable[[#This Row],[Match Nr.]]</f>
        <v>0</v>
      </c>
      <c r="C7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2">
        <f>DataTable[[#This Row],[Successful Lo. G. S]]*2+DataTable[[#This Row],[Successful Hi. G. S.]]*10</f>
        <v>0</v>
      </c>
      <c r="H7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2">
        <f>IF(DataTable[[#This Row],[E. Game Compl.]]="Nothing",0,IF(DataTable[[#This Row],[E. Game Compl.]]="Challenging the Tower",5,IF(DataTable[[#This Row],[E. Game Compl.]]="Scaling the Tower",15,)))</f>
        <v>0</v>
      </c>
      <c r="J762">
        <f>Table2[[#This Row],[AUTO Pts]]+Table2[[#This Row],[Shooting Pts.]]+Table2[[#This Row],[Def. Points]]+Table2[[#This Row],[E. Game Pts.]]</f>
        <v>0</v>
      </c>
    </row>
    <row r="763" spans="1:10" x14ac:dyDescent="0.25">
      <c r="A763">
        <f>DataTable[[#This Row],[Tm.]]</f>
        <v>0</v>
      </c>
      <c r="B763">
        <f>DataTable[[#This Row],[Match Nr.]]</f>
        <v>0</v>
      </c>
      <c r="C7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3">
        <f>DataTable[[#This Row],[Successful Lo. G. S]]*2+DataTable[[#This Row],[Successful Hi. G. S.]]*10</f>
        <v>0</v>
      </c>
      <c r="H7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3">
        <f>IF(DataTable[[#This Row],[E. Game Compl.]]="Nothing",0,IF(DataTable[[#This Row],[E. Game Compl.]]="Challenging the Tower",5,IF(DataTable[[#This Row],[E. Game Compl.]]="Scaling the Tower",15,)))</f>
        <v>0</v>
      </c>
      <c r="J763">
        <f>Table2[[#This Row],[AUTO Pts]]+Table2[[#This Row],[Shooting Pts.]]+Table2[[#This Row],[Def. Points]]+Table2[[#This Row],[E. Game Pts.]]</f>
        <v>0</v>
      </c>
    </row>
    <row r="764" spans="1:10" x14ac:dyDescent="0.25">
      <c r="A764">
        <f>DataTable[[#This Row],[Tm.]]</f>
        <v>0</v>
      </c>
      <c r="B764">
        <f>DataTable[[#This Row],[Match Nr.]]</f>
        <v>0</v>
      </c>
      <c r="C7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4">
        <f>DataTable[[#This Row],[Successful Lo. G. S]]*2+DataTable[[#This Row],[Successful Hi. G. S.]]*10</f>
        <v>0</v>
      </c>
      <c r="H7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4">
        <f>IF(DataTable[[#This Row],[E. Game Compl.]]="Nothing",0,IF(DataTable[[#This Row],[E. Game Compl.]]="Challenging the Tower",5,IF(DataTable[[#This Row],[E. Game Compl.]]="Scaling the Tower",15,)))</f>
        <v>0</v>
      </c>
      <c r="J764">
        <f>Table2[[#This Row],[AUTO Pts]]+Table2[[#This Row],[Shooting Pts.]]+Table2[[#This Row],[Def. Points]]+Table2[[#This Row],[E. Game Pts.]]</f>
        <v>0</v>
      </c>
    </row>
    <row r="765" spans="1:10" x14ac:dyDescent="0.25">
      <c r="A765">
        <f>DataTable[[#This Row],[Tm.]]</f>
        <v>0</v>
      </c>
      <c r="B765">
        <f>DataTable[[#This Row],[Match Nr.]]</f>
        <v>0</v>
      </c>
      <c r="C7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5">
        <f>DataTable[[#This Row],[Successful Lo. G. S]]*2+DataTable[[#This Row],[Successful Hi. G. S.]]*10</f>
        <v>0</v>
      </c>
      <c r="H7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5">
        <f>IF(DataTable[[#This Row],[E. Game Compl.]]="Nothing",0,IF(DataTable[[#This Row],[E. Game Compl.]]="Challenging the Tower",5,IF(DataTable[[#This Row],[E. Game Compl.]]="Scaling the Tower",15,)))</f>
        <v>0</v>
      </c>
      <c r="J765">
        <f>Table2[[#This Row],[AUTO Pts]]+Table2[[#This Row],[Shooting Pts.]]+Table2[[#This Row],[Def. Points]]+Table2[[#This Row],[E. Game Pts.]]</f>
        <v>0</v>
      </c>
    </row>
    <row r="766" spans="1:10" x14ac:dyDescent="0.25">
      <c r="A766">
        <f>DataTable[[#This Row],[Tm.]]</f>
        <v>0</v>
      </c>
      <c r="B766">
        <f>DataTable[[#This Row],[Match Nr.]]</f>
        <v>0</v>
      </c>
      <c r="C7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6">
        <f>DataTable[[#This Row],[Successful Lo. G. S]]*2+DataTable[[#This Row],[Successful Hi. G. S.]]*10</f>
        <v>0</v>
      </c>
      <c r="H7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6">
        <f>IF(DataTable[[#This Row],[E. Game Compl.]]="Nothing",0,IF(DataTable[[#This Row],[E. Game Compl.]]="Challenging the Tower",5,IF(DataTable[[#This Row],[E. Game Compl.]]="Scaling the Tower",15,)))</f>
        <v>0</v>
      </c>
      <c r="J766">
        <f>Table2[[#This Row],[AUTO Pts]]+Table2[[#This Row],[Shooting Pts.]]+Table2[[#This Row],[Def. Points]]+Table2[[#This Row],[E. Game Pts.]]</f>
        <v>0</v>
      </c>
    </row>
    <row r="767" spans="1:10" x14ac:dyDescent="0.25">
      <c r="A767">
        <f>DataTable[[#This Row],[Tm.]]</f>
        <v>0</v>
      </c>
      <c r="B767">
        <f>DataTable[[#This Row],[Match Nr.]]</f>
        <v>0</v>
      </c>
      <c r="C7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7">
        <f>DataTable[[#This Row],[Successful Lo. G. S]]*2+DataTable[[#This Row],[Successful Hi. G. S.]]*10</f>
        <v>0</v>
      </c>
      <c r="H7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7">
        <f>IF(DataTable[[#This Row],[E. Game Compl.]]="Nothing",0,IF(DataTable[[#This Row],[E. Game Compl.]]="Challenging the Tower",5,IF(DataTable[[#This Row],[E. Game Compl.]]="Scaling the Tower",15,)))</f>
        <v>0</v>
      </c>
      <c r="J767">
        <f>Table2[[#This Row],[AUTO Pts]]+Table2[[#This Row],[Shooting Pts.]]+Table2[[#This Row],[Def. Points]]+Table2[[#This Row],[E. Game Pts.]]</f>
        <v>0</v>
      </c>
    </row>
    <row r="768" spans="1:10" x14ac:dyDescent="0.25">
      <c r="A768">
        <f>DataTable[[#This Row],[Tm.]]</f>
        <v>0</v>
      </c>
      <c r="B768">
        <f>DataTable[[#This Row],[Match Nr.]]</f>
        <v>0</v>
      </c>
      <c r="C7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8">
        <f>DataTable[[#This Row],[Successful Lo. G. S]]*2+DataTable[[#This Row],[Successful Hi. G. S.]]*10</f>
        <v>0</v>
      </c>
      <c r="H7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8">
        <f>IF(DataTable[[#This Row],[E. Game Compl.]]="Nothing",0,IF(DataTable[[#This Row],[E. Game Compl.]]="Challenging the Tower",5,IF(DataTable[[#This Row],[E. Game Compl.]]="Scaling the Tower",15,)))</f>
        <v>0</v>
      </c>
      <c r="J768">
        <f>Table2[[#This Row],[AUTO Pts]]+Table2[[#This Row],[Shooting Pts.]]+Table2[[#This Row],[Def. Points]]+Table2[[#This Row],[E. Game Pts.]]</f>
        <v>0</v>
      </c>
    </row>
    <row r="769" spans="1:10" x14ac:dyDescent="0.25">
      <c r="A769">
        <f>DataTable[[#This Row],[Tm.]]</f>
        <v>0</v>
      </c>
      <c r="B769">
        <f>DataTable[[#This Row],[Match Nr.]]</f>
        <v>0</v>
      </c>
      <c r="C7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9">
        <f>DataTable[[#This Row],[Successful Lo. G. S]]*2+DataTable[[#This Row],[Successful Hi. G. S.]]*10</f>
        <v>0</v>
      </c>
      <c r="H7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9">
        <f>IF(DataTable[[#This Row],[E. Game Compl.]]="Nothing",0,IF(DataTable[[#This Row],[E. Game Compl.]]="Challenging the Tower",5,IF(DataTable[[#This Row],[E. Game Compl.]]="Scaling the Tower",15,)))</f>
        <v>0</v>
      </c>
      <c r="J769">
        <f>Table2[[#This Row],[AUTO Pts]]+Table2[[#This Row],[Shooting Pts.]]+Table2[[#This Row],[Def. Points]]+Table2[[#This Row],[E. Game Pts.]]</f>
        <v>0</v>
      </c>
    </row>
    <row r="770" spans="1:10" x14ac:dyDescent="0.25">
      <c r="A770">
        <f>DataTable[[#This Row],[Tm.]]</f>
        <v>0</v>
      </c>
      <c r="B770">
        <f>DataTable[[#This Row],[Match Nr.]]</f>
        <v>0</v>
      </c>
      <c r="C7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0">
        <f>DataTable[[#This Row],[Successful Lo. G. S]]*2+DataTable[[#This Row],[Successful Hi. G. S.]]*10</f>
        <v>0</v>
      </c>
      <c r="H7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0">
        <f>IF(DataTable[[#This Row],[E. Game Compl.]]="Nothing",0,IF(DataTable[[#This Row],[E. Game Compl.]]="Challenging the Tower",5,IF(DataTable[[#This Row],[E. Game Compl.]]="Scaling the Tower",15,)))</f>
        <v>0</v>
      </c>
      <c r="J770">
        <f>Table2[[#This Row],[AUTO Pts]]+Table2[[#This Row],[Shooting Pts.]]+Table2[[#This Row],[Def. Points]]+Table2[[#This Row],[E. Game Pts.]]</f>
        <v>0</v>
      </c>
    </row>
    <row r="771" spans="1:10" x14ac:dyDescent="0.25">
      <c r="A771">
        <f>DataTable[[#This Row],[Tm.]]</f>
        <v>0</v>
      </c>
      <c r="B771">
        <f>DataTable[[#This Row],[Match Nr.]]</f>
        <v>0</v>
      </c>
      <c r="C7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1">
        <f>DataTable[[#This Row],[Successful Lo. G. S]]*2+DataTable[[#This Row],[Successful Hi. G. S.]]*10</f>
        <v>0</v>
      </c>
      <c r="H7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1">
        <f>IF(DataTable[[#This Row],[E. Game Compl.]]="Nothing",0,IF(DataTable[[#This Row],[E. Game Compl.]]="Challenging the Tower",5,IF(DataTable[[#This Row],[E. Game Compl.]]="Scaling the Tower",15,)))</f>
        <v>0</v>
      </c>
      <c r="J771">
        <f>Table2[[#This Row],[AUTO Pts]]+Table2[[#This Row],[Shooting Pts.]]+Table2[[#This Row],[Def. Points]]+Table2[[#This Row],[E. Game Pts.]]</f>
        <v>0</v>
      </c>
    </row>
    <row r="772" spans="1:10" x14ac:dyDescent="0.25">
      <c r="A772">
        <f>DataTable[[#This Row],[Tm.]]</f>
        <v>0</v>
      </c>
      <c r="B772">
        <f>DataTable[[#This Row],[Match Nr.]]</f>
        <v>0</v>
      </c>
      <c r="C7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2">
        <f>DataTable[[#This Row],[Successful Lo. G. S]]*2+DataTable[[#This Row],[Successful Hi. G. S.]]*10</f>
        <v>0</v>
      </c>
      <c r="H7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2">
        <f>IF(DataTable[[#This Row],[E. Game Compl.]]="Nothing",0,IF(DataTable[[#This Row],[E. Game Compl.]]="Challenging the Tower",5,IF(DataTable[[#This Row],[E. Game Compl.]]="Scaling the Tower",15,)))</f>
        <v>0</v>
      </c>
      <c r="J772">
        <f>Table2[[#This Row],[AUTO Pts]]+Table2[[#This Row],[Shooting Pts.]]+Table2[[#This Row],[Def. Points]]+Table2[[#This Row],[E. Game Pts.]]</f>
        <v>0</v>
      </c>
    </row>
    <row r="773" spans="1:10" x14ac:dyDescent="0.25">
      <c r="A773">
        <f>DataTable[[#This Row],[Tm.]]</f>
        <v>0</v>
      </c>
      <c r="B773">
        <f>DataTable[[#This Row],[Match Nr.]]</f>
        <v>0</v>
      </c>
      <c r="C7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3">
        <f>DataTable[[#This Row],[Successful Lo. G. S]]*2+DataTable[[#This Row],[Successful Hi. G. S.]]*10</f>
        <v>0</v>
      </c>
      <c r="H7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3">
        <f>IF(DataTable[[#This Row],[E. Game Compl.]]="Nothing",0,IF(DataTable[[#This Row],[E. Game Compl.]]="Challenging the Tower",5,IF(DataTable[[#This Row],[E. Game Compl.]]="Scaling the Tower",15,)))</f>
        <v>0</v>
      </c>
      <c r="J773">
        <f>Table2[[#This Row],[AUTO Pts]]+Table2[[#This Row],[Shooting Pts.]]+Table2[[#This Row],[Def. Points]]+Table2[[#This Row],[E. Game Pts.]]</f>
        <v>0</v>
      </c>
    </row>
    <row r="774" spans="1:10" x14ac:dyDescent="0.25">
      <c r="A774">
        <f>DataTable[[#This Row],[Tm.]]</f>
        <v>0</v>
      </c>
      <c r="B774">
        <f>DataTable[[#This Row],[Match Nr.]]</f>
        <v>0</v>
      </c>
      <c r="C7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4">
        <f>DataTable[[#This Row],[Successful Lo. G. S]]*2+DataTable[[#This Row],[Successful Hi. G. S.]]*10</f>
        <v>0</v>
      </c>
      <c r="H7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4">
        <f>IF(DataTable[[#This Row],[E. Game Compl.]]="Nothing",0,IF(DataTable[[#This Row],[E. Game Compl.]]="Challenging the Tower",5,IF(DataTable[[#This Row],[E. Game Compl.]]="Scaling the Tower",15,)))</f>
        <v>0</v>
      </c>
      <c r="J774">
        <f>Table2[[#This Row],[AUTO Pts]]+Table2[[#This Row],[Shooting Pts.]]+Table2[[#This Row],[Def. Points]]+Table2[[#This Row],[E. Game Pts.]]</f>
        <v>0</v>
      </c>
    </row>
    <row r="775" spans="1:10" x14ac:dyDescent="0.25">
      <c r="A775">
        <f>DataTable[[#This Row],[Tm.]]</f>
        <v>0</v>
      </c>
      <c r="B775">
        <f>DataTable[[#This Row],[Match Nr.]]</f>
        <v>0</v>
      </c>
      <c r="C7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5">
        <f>DataTable[[#This Row],[Successful Lo. G. S]]*2+DataTable[[#This Row],[Successful Hi. G. S.]]*10</f>
        <v>0</v>
      </c>
      <c r="H7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5">
        <f>IF(DataTable[[#This Row],[E. Game Compl.]]="Nothing",0,IF(DataTable[[#This Row],[E. Game Compl.]]="Challenging the Tower",5,IF(DataTable[[#This Row],[E. Game Compl.]]="Scaling the Tower",15,)))</f>
        <v>0</v>
      </c>
      <c r="J775">
        <f>Table2[[#This Row],[AUTO Pts]]+Table2[[#This Row],[Shooting Pts.]]+Table2[[#This Row],[Def. Points]]+Table2[[#This Row],[E. Game Pts.]]</f>
        <v>0</v>
      </c>
    </row>
    <row r="776" spans="1:10" x14ac:dyDescent="0.25">
      <c r="A776">
        <f>DataTable[[#This Row],[Tm.]]</f>
        <v>0</v>
      </c>
      <c r="B776">
        <f>DataTable[[#This Row],[Match Nr.]]</f>
        <v>0</v>
      </c>
      <c r="C7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6">
        <f>DataTable[[#This Row],[Successful Lo. G. S]]*2+DataTable[[#This Row],[Successful Hi. G. S.]]*10</f>
        <v>0</v>
      </c>
      <c r="H7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6">
        <f>IF(DataTable[[#This Row],[E. Game Compl.]]="Nothing",0,IF(DataTable[[#This Row],[E. Game Compl.]]="Challenging the Tower",5,IF(DataTable[[#This Row],[E. Game Compl.]]="Scaling the Tower",15,)))</f>
        <v>0</v>
      </c>
      <c r="J776">
        <f>Table2[[#This Row],[AUTO Pts]]+Table2[[#This Row],[Shooting Pts.]]+Table2[[#This Row],[Def. Points]]+Table2[[#This Row],[E. Game Pts.]]</f>
        <v>0</v>
      </c>
    </row>
    <row r="777" spans="1:10" x14ac:dyDescent="0.25">
      <c r="A777">
        <f>DataTable[[#This Row],[Tm.]]</f>
        <v>0</v>
      </c>
      <c r="B777">
        <f>DataTable[[#This Row],[Match Nr.]]</f>
        <v>0</v>
      </c>
      <c r="C7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7">
        <f>DataTable[[#This Row],[Successful Lo. G. S]]*2+DataTable[[#This Row],[Successful Hi. G. S.]]*10</f>
        <v>0</v>
      </c>
      <c r="H7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7">
        <f>IF(DataTable[[#This Row],[E. Game Compl.]]="Nothing",0,IF(DataTable[[#This Row],[E. Game Compl.]]="Challenging the Tower",5,IF(DataTable[[#This Row],[E. Game Compl.]]="Scaling the Tower",15,)))</f>
        <v>0</v>
      </c>
      <c r="J777">
        <f>Table2[[#This Row],[AUTO Pts]]+Table2[[#This Row],[Shooting Pts.]]+Table2[[#This Row],[Def. Points]]+Table2[[#This Row],[E. Game Pts.]]</f>
        <v>0</v>
      </c>
    </row>
    <row r="778" spans="1:10" x14ac:dyDescent="0.25">
      <c r="A778">
        <f>DataTable[[#This Row],[Tm.]]</f>
        <v>0</v>
      </c>
      <c r="B778">
        <f>DataTable[[#This Row],[Match Nr.]]</f>
        <v>0</v>
      </c>
      <c r="C7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8">
        <f>DataTable[[#This Row],[Successful Lo. G. S]]*2+DataTable[[#This Row],[Successful Hi. G. S.]]*10</f>
        <v>0</v>
      </c>
      <c r="H7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8">
        <f>IF(DataTable[[#This Row],[E. Game Compl.]]="Nothing",0,IF(DataTable[[#This Row],[E. Game Compl.]]="Challenging the Tower",5,IF(DataTable[[#This Row],[E. Game Compl.]]="Scaling the Tower",15,)))</f>
        <v>0</v>
      </c>
      <c r="J778">
        <f>Table2[[#This Row],[AUTO Pts]]+Table2[[#This Row],[Shooting Pts.]]+Table2[[#This Row],[Def. Points]]+Table2[[#This Row],[E. Game Pts.]]</f>
        <v>0</v>
      </c>
    </row>
    <row r="779" spans="1:10" x14ac:dyDescent="0.25">
      <c r="A779">
        <f>DataTable[[#This Row],[Tm.]]</f>
        <v>0</v>
      </c>
      <c r="B779">
        <f>DataTable[[#This Row],[Match Nr.]]</f>
        <v>0</v>
      </c>
      <c r="C7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9">
        <f>DataTable[[#This Row],[Successful Lo. G. S]]*2+DataTable[[#This Row],[Successful Hi. G. S.]]*10</f>
        <v>0</v>
      </c>
      <c r="H7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9">
        <f>IF(DataTable[[#This Row],[E. Game Compl.]]="Nothing",0,IF(DataTable[[#This Row],[E. Game Compl.]]="Challenging the Tower",5,IF(DataTable[[#This Row],[E. Game Compl.]]="Scaling the Tower",15,)))</f>
        <v>0</v>
      </c>
      <c r="J779">
        <f>Table2[[#This Row],[AUTO Pts]]+Table2[[#This Row],[Shooting Pts.]]+Table2[[#This Row],[Def. Points]]+Table2[[#This Row],[E. Game Pts.]]</f>
        <v>0</v>
      </c>
    </row>
    <row r="780" spans="1:10" x14ac:dyDescent="0.25">
      <c r="A780">
        <f>DataTable[[#This Row],[Tm.]]</f>
        <v>0</v>
      </c>
      <c r="B780">
        <f>DataTable[[#This Row],[Match Nr.]]</f>
        <v>0</v>
      </c>
      <c r="C7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0">
        <f>DataTable[[#This Row],[Successful Lo. G. S]]*2+DataTable[[#This Row],[Successful Hi. G. S.]]*10</f>
        <v>0</v>
      </c>
      <c r="H7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0">
        <f>IF(DataTable[[#This Row],[E. Game Compl.]]="Nothing",0,IF(DataTable[[#This Row],[E. Game Compl.]]="Challenging the Tower",5,IF(DataTable[[#This Row],[E. Game Compl.]]="Scaling the Tower",15,)))</f>
        <v>0</v>
      </c>
      <c r="J780">
        <f>Table2[[#This Row],[AUTO Pts]]+Table2[[#This Row],[Shooting Pts.]]+Table2[[#This Row],[Def. Points]]+Table2[[#This Row],[E. Game Pts.]]</f>
        <v>0</v>
      </c>
    </row>
    <row r="781" spans="1:10" x14ac:dyDescent="0.25">
      <c r="A781">
        <f>DataTable[[#This Row],[Tm.]]</f>
        <v>0</v>
      </c>
      <c r="B781">
        <f>DataTable[[#This Row],[Match Nr.]]</f>
        <v>0</v>
      </c>
      <c r="C7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1">
        <f>DataTable[[#This Row],[Successful Lo. G. S]]*2+DataTable[[#This Row],[Successful Hi. G. S.]]*10</f>
        <v>0</v>
      </c>
      <c r="H7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1">
        <f>IF(DataTable[[#This Row],[E. Game Compl.]]="Nothing",0,IF(DataTable[[#This Row],[E. Game Compl.]]="Challenging the Tower",5,IF(DataTable[[#This Row],[E. Game Compl.]]="Scaling the Tower",15,)))</f>
        <v>0</v>
      </c>
      <c r="J781">
        <f>Table2[[#This Row],[AUTO Pts]]+Table2[[#This Row],[Shooting Pts.]]+Table2[[#This Row],[Def. Points]]+Table2[[#This Row],[E. Game Pts.]]</f>
        <v>0</v>
      </c>
    </row>
    <row r="782" spans="1:10" x14ac:dyDescent="0.25">
      <c r="A782">
        <f>DataTable[[#This Row],[Tm.]]</f>
        <v>0</v>
      </c>
      <c r="B782">
        <f>DataTable[[#This Row],[Match Nr.]]</f>
        <v>0</v>
      </c>
      <c r="C7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2">
        <f>DataTable[[#This Row],[Successful Lo. G. S]]*2+DataTable[[#This Row],[Successful Hi. G. S.]]*10</f>
        <v>0</v>
      </c>
      <c r="H7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2">
        <f>IF(DataTable[[#This Row],[E. Game Compl.]]="Nothing",0,IF(DataTable[[#This Row],[E. Game Compl.]]="Challenging the Tower",5,IF(DataTable[[#This Row],[E. Game Compl.]]="Scaling the Tower",15,)))</f>
        <v>0</v>
      </c>
      <c r="J782">
        <f>Table2[[#This Row],[AUTO Pts]]+Table2[[#This Row],[Shooting Pts.]]+Table2[[#This Row],[Def. Points]]+Table2[[#This Row],[E. Game Pts.]]</f>
        <v>0</v>
      </c>
    </row>
    <row r="783" spans="1:10" x14ac:dyDescent="0.25">
      <c r="A783">
        <f>DataTable[[#This Row],[Tm.]]</f>
        <v>0</v>
      </c>
      <c r="B783">
        <f>DataTable[[#This Row],[Match Nr.]]</f>
        <v>0</v>
      </c>
      <c r="C7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3">
        <f>DataTable[[#This Row],[Successful Lo. G. S]]*2+DataTable[[#This Row],[Successful Hi. G. S.]]*10</f>
        <v>0</v>
      </c>
      <c r="H7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3">
        <f>IF(DataTable[[#This Row],[E. Game Compl.]]="Nothing",0,IF(DataTable[[#This Row],[E. Game Compl.]]="Challenging the Tower",5,IF(DataTable[[#This Row],[E. Game Compl.]]="Scaling the Tower",15,)))</f>
        <v>0</v>
      </c>
      <c r="J783">
        <f>Table2[[#This Row],[AUTO Pts]]+Table2[[#This Row],[Shooting Pts.]]+Table2[[#This Row],[Def. Points]]+Table2[[#This Row],[E. Game Pts.]]</f>
        <v>0</v>
      </c>
    </row>
    <row r="784" spans="1:10" x14ac:dyDescent="0.25">
      <c r="A784">
        <f>DataTable[[#This Row],[Tm.]]</f>
        <v>0</v>
      </c>
      <c r="B784">
        <f>DataTable[[#This Row],[Match Nr.]]</f>
        <v>0</v>
      </c>
      <c r="C7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4">
        <f>DataTable[[#This Row],[Successful Lo. G. S]]*2+DataTable[[#This Row],[Successful Hi. G. S.]]*10</f>
        <v>0</v>
      </c>
      <c r="H7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4">
        <f>IF(DataTable[[#This Row],[E. Game Compl.]]="Nothing",0,IF(DataTable[[#This Row],[E. Game Compl.]]="Challenging the Tower",5,IF(DataTable[[#This Row],[E. Game Compl.]]="Scaling the Tower",15,)))</f>
        <v>0</v>
      </c>
      <c r="J784">
        <f>Table2[[#This Row],[AUTO Pts]]+Table2[[#This Row],[Shooting Pts.]]+Table2[[#This Row],[Def. Points]]+Table2[[#This Row],[E. Game Pts.]]</f>
        <v>0</v>
      </c>
    </row>
    <row r="785" spans="1:10" x14ac:dyDescent="0.25">
      <c r="A785">
        <f>DataTable[[#This Row],[Tm.]]</f>
        <v>0</v>
      </c>
      <c r="B785">
        <f>DataTable[[#This Row],[Match Nr.]]</f>
        <v>0</v>
      </c>
      <c r="C7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5">
        <f>DataTable[[#This Row],[Successful Lo. G. S]]*2+DataTable[[#This Row],[Successful Hi. G. S.]]*10</f>
        <v>0</v>
      </c>
      <c r="H7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5">
        <f>IF(DataTable[[#This Row],[E. Game Compl.]]="Nothing",0,IF(DataTable[[#This Row],[E. Game Compl.]]="Challenging the Tower",5,IF(DataTable[[#This Row],[E. Game Compl.]]="Scaling the Tower",15,)))</f>
        <v>0</v>
      </c>
      <c r="J785">
        <f>Table2[[#This Row],[AUTO Pts]]+Table2[[#This Row],[Shooting Pts.]]+Table2[[#This Row],[Def. Points]]+Table2[[#This Row],[E. Game Pts.]]</f>
        <v>0</v>
      </c>
    </row>
    <row r="786" spans="1:10" x14ac:dyDescent="0.25">
      <c r="A786">
        <f>DataTable[[#This Row],[Tm.]]</f>
        <v>0</v>
      </c>
      <c r="B786">
        <f>DataTable[[#This Row],[Match Nr.]]</f>
        <v>0</v>
      </c>
      <c r="C7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6">
        <f>DataTable[[#This Row],[Successful Lo. G. S]]*2+DataTable[[#This Row],[Successful Hi. G. S.]]*10</f>
        <v>0</v>
      </c>
      <c r="H7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6">
        <f>IF(DataTable[[#This Row],[E. Game Compl.]]="Nothing",0,IF(DataTable[[#This Row],[E. Game Compl.]]="Challenging the Tower",5,IF(DataTable[[#This Row],[E. Game Compl.]]="Scaling the Tower",15,)))</f>
        <v>0</v>
      </c>
      <c r="J786">
        <f>Table2[[#This Row],[AUTO Pts]]+Table2[[#This Row],[Shooting Pts.]]+Table2[[#This Row],[Def. Points]]+Table2[[#This Row],[E. Game Pts.]]</f>
        <v>0</v>
      </c>
    </row>
    <row r="787" spans="1:10" x14ac:dyDescent="0.25">
      <c r="A787">
        <f>DataTable[[#This Row],[Tm.]]</f>
        <v>0</v>
      </c>
      <c r="B787">
        <f>DataTable[[#This Row],[Match Nr.]]</f>
        <v>0</v>
      </c>
      <c r="C7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7">
        <f>DataTable[[#This Row],[Successful Lo. G. S]]*2+DataTable[[#This Row],[Successful Hi. G. S.]]*10</f>
        <v>0</v>
      </c>
      <c r="H7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7">
        <f>IF(DataTable[[#This Row],[E. Game Compl.]]="Nothing",0,IF(DataTable[[#This Row],[E. Game Compl.]]="Challenging the Tower",5,IF(DataTable[[#This Row],[E. Game Compl.]]="Scaling the Tower",15,)))</f>
        <v>0</v>
      </c>
      <c r="J787">
        <f>Table2[[#This Row],[AUTO Pts]]+Table2[[#This Row],[Shooting Pts.]]+Table2[[#This Row],[Def. Points]]+Table2[[#This Row],[E. Game Pts.]]</f>
        <v>0</v>
      </c>
    </row>
    <row r="788" spans="1:10" x14ac:dyDescent="0.25">
      <c r="A788">
        <f>DataTable[[#This Row],[Tm.]]</f>
        <v>0</v>
      </c>
      <c r="B788">
        <f>DataTable[[#This Row],[Match Nr.]]</f>
        <v>0</v>
      </c>
      <c r="C7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8">
        <f>DataTable[[#This Row],[Successful Lo. G. S]]*2+DataTable[[#This Row],[Successful Hi. G. S.]]*10</f>
        <v>0</v>
      </c>
      <c r="H7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8">
        <f>IF(DataTable[[#This Row],[E. Game Compl.]]="Nothing",0,IF(DataTable[[#This Row],[E. Game Compl.]]="Challenging the Tower",5,IF(DataTable[[#This Row],[E. Game Compl.]]="Scaling the Tower",15,)))</f>
        <v>0</v>
      </c>
      <c r="J788">
        <f>Table2[[#This Row],[AUTO Pts]]+Table2[[#This Row],[Shooting Pts.]]+Table2[[#This Row],[Def. Points]]+Table2[[#This Row],[E. Game Pts.]]</f>
        <v>0</v>
      </c>
    </row>
    <row r="789" spans="1:10" x14ac:dyDescent="0.25">
      <c r="A789">
        <f>DataTable[[#This Row],[Tm.]]</f>
        <v>0</v>
      </c>
      <c r="B789">
        <f>DataTable[[#This Row],[Match Nr.]]</f>
        <v>0</v>
      </c>
      <c r="C7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9">
        <f>DataTable[[#This Row],[Successful Lo. G. S]]*2+DataTable[[#This Row],[Successful Hi. G. S.]]*10</f>
        <v>0</v>
      </c>
      <c r="H7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9">
        <f>IF(DataTable[[#This Row],[E. Game Compl.]]="Nothing",0,IF(DataTable[[#This Row],[E. Game Compl.]]="Challenging the Tower",5,IF(DataTable[[#This Row],[E. Game Compl.]]="Scaling the Tower",15,)))</f>
        <v>0</v>
      </c>
      <c r="J789">
        <f>Table2[[#This Row],[AUTO Pts]]+Table2[[#This Row],[Shooting Pts.]]+Table2[[#This Row],[Def. Points]]+Table2[[#This Row],[E. Game Pts.]]</f>
        <v>0</v>
      </c>
    </row>
    <row r="790" spans="1:10" x14ac:dyDescent="0.25">
      <c r="A790">
        <f>DataTable[[#This Row],[Tm.]]</f>
        <v>0</v>
      </c>
      <c r="B790">
        <f>DataTable[[#This Row],[Match Nr.]]</f>
        <v>0</v>
      </c>
      <c r="C7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0">
        <f>DataTable[[#This Row],[Successful Lo. G. S]]*2+DataTable[[#This Row],[Successful Hi. G. S.]]*10</f>
        <v>0</v>
      </c>
      <c r="H7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0">
        <f>IF(DataTable[[#This Row],[E. Game Compl.]]="Nothing",0,IF(DataTable[[#This Row],[E. Game Compl.]]="Challenging the Tower",5,IF(DataTable[[#This Row],[E. Game Compl.]]="Scaling the Tower",15,)))</f>
        <v>0</v>
      </c>
      <c r="J790">
        <f>Table2[[#This Row],[AUTO Pts]]+Table2[[#This Row],[Shooting Pts.]]+Table2[[#This Row],[Def. Points]]+Table2[[#This Row],[E. Game Pts.]]</f>
        <v>0</v>
      </c>
    </row>
    <row r="791" spans="1:10" x14ac:dyDescent="0.25">
      <c r="A791">
        <f>DataTable[[#This Row],[Tm.]]</f>
        <v>0</v>
      </c>
      <c r="B791">
        <f>DataTable[[#This Row],[Match Nr.]]</f>
        <v>0</v>
      </c>
      <c r="C7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1">
        <f>DataTable[[#This Row],[Successful Lo. G. S]]*2+DataTable[[#This Row],[Successful Hi. G. S.]]*10</f>
        <v>0</v>
      </c>
      <c r="H7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1">
        <f>IF(DataTable[[#This Row],[E. Game Compl.]]="Nothing",0,IF(DataTable[[#This Row],[E. Game Compl.]]="Challenging the Tower",5,IF(DataTable[[#This Row],[E. Game Compl.]]="Scaling the Tower",15,)))</f>
        <v>0</v>
      </c>
      <c r="J791">
        <f>Table2[[#This Row],[AUTO Pts]]+Table2[[#This Row],[Shooting Pts.]]+Table2[[#This Row],[Def. Points]]+Table2[[#This Row],[E. Game Pts.]]</f>
        <v>0</v>
      </c>
    </row>
    <row r="792" spans="1:10" x14ac:dyDescent="0.25">
      <c r="A792">
        <f>DataTable[[#This Row],[Tm.]]</f>
        <v>0</v>
      </c>
      <c r="B792">
        <f>DataTable[[#This Row],[Match Nr.]]</f>
        <v>0</v>
      </c>
      <c r="C7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2">
        <f>DataTable[[#This Row],[Successful Lo. G. S]]*2+DataTable[[#This Row],[Successful Hi. G. S.]]*10</f>
        <v>0</v>
      </c>
      <c r="H7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2">
        <f>IF(DataTable[[#This Row],[E. Game Compl.]]="Nothing",0,IF(DataTable[[#This Row],[E. Game Compl.]]="Challenging the Tower",5,IF(DataTable[[#This Row],[E. Game Compl.]]="Scaling the Tower",15,)))</f>
        <v>0</v>
      </c>
      <c r="J792">
        <f>Table2[[#This Row],[AUTO Pts]]+Table2[[#This Row],[Shooting Pts.]]+Table2[[#This Row],[Def. Points]]+Table2[[#This Row],[E. Game Pts.]]</f>
        <v>0</v>
      </c>
    </row>
    <row r="793" spans="1:10" x14ac:dyDescent="0.25">
      <c r="A793">
        <f>DataTable[[#This Row],[Tm.]]</f>
        <v>0</v>
      </c>
      <c r="B793">
        <f>DataTable[[#This Row],[Match Nr.]]</f>
        <v>0</v>
      </c>
      <c r="C7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3">
        <f>DataTable[[#This Row],[Successful Lo. G. S]]*2+DataTable[[#This Row],[Successful Hi. G. S.]]*10</f>
        <v>0</v>
      </c>
      <c r="H7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3">
        <f>IF(DataTable[[#This Row],[E. Game Compl.]]="Nothing",0,IF(DataTable[[#This Row],[E. Game Compl.]]="Challenging the Tower",5,IF(DataTable[[#This Row],[E. Game Compl.]]="Scaling the Tower",15,)))</f>
        <v>0</v>
      </c>
      <c r="J793">
        <f>Table2[[#This Row],[AUTO Pts]]+Table2[[#This Row],[Shooting Pts.]]+Table2[[#This Row],[Def. Points]]+Table2[[#This Row],[E. Game Pts.]]</f>
        <v>0</v>
      </c>
    </row>
    <row r="794" spans="1:10" x14ac:dyDescent="0.25">
      <c r="A794">
        <f>DataTable[[#This Row],[Tm.]]</f>
        <v>0</v>
      </c>
      <c r="B794">
        <f>DataTable[[#This Row],[Match Nr.]]</f>
        <v>0</v>
      </c>
      <c r="C7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4">
        <f>DataTable[[#This Row],[Successful Lo. G. S]]*2+DataTable[[#This Row],[Successful Hi. G. S.]]*10</f>
        <v>0</v>
      </c>
      <c r="H7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4">
        <f>IF(DataTable[[#This Row],[E. Game Compl.]]="Nothing",0,IF(DataTable[[#This Row],[E. Game Compl.]]="Challenging the Tower",5,IF(DataTable[[#This Row],[E. Game Compl.]]="Scaling the Tower",15,)))</f>
        <v>0</v>
      </c>
      <c r="J794">
        <f>Table2[[#This Row],[AUTO Pts]]+Table2[[#This Row],[Shooting Pts.]]+Table2[[#This Row],[Def. Points]]+Table2[[#This Row],[E. Game Pts.]]</f>
        <v>0</v>
      </c>
    </row>
    <row r="795" spans="1:10" x14ac:dyDescent="0.25">
      <c r="A795">
        <f>DataTable[[#This Row],[Tm.]]</f>
        <v>0</v>
      </c>
      <c r="B795">
        <f>DataTable[[#This Row],[Match Nr.]]</f>
        <v>0</v>
      </c>
      <c r="C7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5">
        <f>DataTable[[#This Row],[Successful Lo. G. S]]*2+DataTable[[#This Row],[Successful Hi. G. S.]]*10</f>
        <v>0</v>
      </c>
      <c r="H7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5">
        <f>IF(DataTable[[#This Row],[E. Game Compl.]]="Nothing",0,IF(DataTable[[#This Row],[E. Game Compl.]]="Challenging the Tower",5,IF(DataTable[[#This Row],[E. Game Compl.]]="Scaling the Tower",15,)))</f>
        <v>0</v>
      </c>
      <c r="J795">
        <f>Table2[[#This Row],[AUTO Pts]]+Table2[[#This Row],[Shooting Pts.]]+Table2[[#This Row],[Def. Points]]+Table2[[#This Row],[E. Game Pts.]]</f>
        <v>0</v>
      </c>
    </row>
    <row r="796" spans="1:10" x14ac:dyDescent="0.25">
      <c r="A796">
        <f>DataTable[[#This Row],[Tm.]]</f>
        <v>0</v>
      </c>
      <c r="B796">
        <f>DataTable[[#This Row],[Match Nr.]]</f>
        <v>0</v>
      </c>
      <c r="C7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6">
        <f>DataTable[[#This Row],[Successful Lo. G. S]]*2+DataTable[[#This Row],[Successful Hi. G. S.]]*10</f>
        <v>0</v>
      </c>
      <c r="H7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6">
        <f>IF(DataTable[[#This Row],[E. Game Compl.]]="Nothing",0,IF(DataTable[[#This Row],[E. Game Compl.]]="Challenging the Tower",5,IF(DataTable[[#This Row],[E. Game Compl.]]="Scaling the Tower",15,)))</f>
        <v>0</v>
      </c>
      <c r="J796">
        <f>Table2[[#This Row],[AUTO Pts]]+Table2[[#This Row],[Shooting Pts.]]+Table2[[#This Row],[Def. Points]]+Table2[[#This Row],[E. Game Pts.]]</f>
        <v>0</v>
      </c>
    </row>
    <row r="797" spans="1:10" x14ac:dyDescent="0.25">
      <c r="A797">
        <f>DataTable[[#This Row],[Tm.]]</f>
        <v>0</v>
      </c>
      <c r="B797">
        <f>DataTable[[#This Row],[Match Nr.]]</f>
        <v>0</v>
      </c>
      <c r="C7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7">
        <f>DataTable[[#This Row],[Successful Lo. G. S]]*2+DataTable[[#This Row],[Successful Hi. G. S.]]*10</f>
        <v>0</v>
      </c>
      <c r="H7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7">
        <f>IF(DataTable[[#This Row],[E. Game Compl.]]="Nothing",0,IF(DataTable[[#This Row],[E. Game Compl.]]="Challenging the Tower",5,IF(DataTable[[#This Row],[E. Game Compl.]]="Scaling the Tower",15,)))</f>
        <v>0</v>
      </c>
      <c r="J797">
        <f>Table2[[#This Row],[AUTO Pts]]+Table2[[#This Row],[Shooting Pts.]]+Table2[[#This Row],[Def. Points]]+Table2[[#This Row],[E. Game Pts.]]</f>
        <v>0</v>
      </c>
    </row>
    <row r="798" spans="1:10" x14ac:dyDescent="0.25">
      <c r="A798">
        <f>DataTable[[#This Row],[Tm.]]</f>
        <v>0</v>
      </c>
      <c r="B798">
        <f>DataTable[[#This Row],[Match Nr.]]</f>
        <v>0</v>
      </c>
      <c r="C7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8">
        <f>DataTable[[#This Row],[Successful Lo. G. S]]*2+DataTable[[#This Row],[Successful Hi. G. S.]]*10</f>
        <v>0</v>
      </c>
      <c r="H7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8">
        <f>IF(DataTable[[#This Row],[E. Game Compl.]]="Nothing",0,IF(DataTable[[#This Row],[E. Game Compl.]]="Challenging the Tower",5,IF(DataTable[[#This Row],[E. Game Compl.]]="Scaling the Tower",15,)))</f>
        <v>0</v>
      </c>
      <c r="J798">
        <f>Table2[[#This Row],[AUTO Pts]]+Table2[[#This Row],[Shooting Pts.]]+Table2[[#This Row],[Def. Points]]+Table2[[#This Row],[E. Game Pts.]]</f>
        <v>0</v>
      </c>
    </row>
    <row r="799" spans="1:10" x14ac:dyDescent="0.25">
      <c r="A799">
        <f>DataTable[[#This Row],[Tm.]]</f>
        <v>0</v>
      </c>
      <c r="B799">
        <f>DataTable[[#This Row],[Match Nr.]]</f>
        <v>0</v>
      </c>
      <c r="C7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9">
        <f>DataTable[[#This Row],[Successful Lo. G. S]]*2+DataTable[[#This Row],[Successful Hi. G. S.]]*10</f>
        <v>0</v>
      </c>
      <c r="H7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9">
        <f>IF(DataTable[[#This Row],[E. Game Compl.]]="Nothing",0,IF(DataTable[[#This Row],[E. Game Compl.]]="Challenging the Tower",5,IF(DataTable[[#This Row],[E. Game Compl.]]="Scaling the Tower",15,)))</f>
        <v>0</v>
      </c>
      <c r="J799">
        <f>Table2[[#This Row],[AUTO Pts]]+Table2[[#This Row],[Shooting Pts.]]+Table2[[#This Row],[Def. Points]]+Table2[[#This Row],[E. Game Pts.]]</f>
        <v>0</v>
      </c>
    </row>
    <row r="800" spans="1:10" x14ac:dyDescent="0.25">
      <c r="A800">
        <f>DataTable[[#This Row],[Tm.]]</f>
        <v>0</v>
      </c>
      <c r="B800">
        <f>DataTable[[#This Row],[Match Nr.]]</f>
        <v>0</v>
      </c>
      <c r="C8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0">
        <f>DataTable[[#This Row],[Successful Lo. G. S]]*2+DataTable[[#This Row],[Successful Hi. G. S.]]*10</f>
        <v>0</v>
      </c>
      <c r="H8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0">
        <f>IF(DataTable[[#This Row],[E. Game Compl.]]="Nothing",0,IF(DataTable[[#This Row],[E. Game Compl.]]="Challenging the Tower",5,IF(DataTable[[#This Row],[E. Game Compl.]]="Scaling the Tower",15,)))</f>
        <v>0</v>
      </c>
      <c r="J800">
        <f>Table2[[#This Row],[AUTO Pts]]+Table2[[#This Row],[Shooting Pts.]]+Table2[[#This Row],[Def. Points]]+Table2[[#This Row],[E. Game Pts.]]</f>
        <v>0</v>
      </c>
    </row>
    <row r="801" spans="1:10" x14ac:dyDescent="0.25">
      <c r="A801">
        <f>DataTable[[#This Row],[Tm.]]</f>
        <v>0</v>
      </c>
      <c r="B801">
        <f>DataTable[[#This Row],[Match Nr.]]</f>
        <v>0</v>
      </c>
      <c r="C8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1">
        <f>DataTable[[#This Row],[Successful Lo. G. S]]*2+DataTable[[#This Row],[Successful Hi. G. S.]]*10</f>
        <v>0</v>
      </c>
      <c r="H8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1">
        <f>IF(DataTable[[#This Row],[E. Game Compl.]]="Nothing",0,IF(DataTable[[#This Row],[E. Game Compl.]]="Challenging the Tower",5,IF(DataTable[[#This Row],[E. Game Compl.]]="Scaling the Tower",15,)))</f>
        <v>0</v>
      </c>
      <c r="J801">
        <f>Table2[[#This Row],[AUTO Pts]]+Table2[[#This Row],[Shooting Pts.]]+Table2[[#This Row],[Def. Points]]+Table2[[#This Row],[E. Game Pts.]]</f>
        <v>0</v>
      </c>
    </row>
    <row r="802" spans="1:10" x14ac:dyDescent="0.25">
      <c r="A802">
        <f>DataTable[[#This Row],[Tm.]]</f>
        <v>0</v>
      </c>
      <c r="B802">
        <f>DataTable[[#This Row],[Match Nr.]]</f>
        <v>0</v>
      </c>
      <c r="C8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2">
        <f>DataTable[[#This Row],[Successful Lo. G. S]]*2+DataTable[[#This Row],[Successful Hi. G. S.]]*10</f>
        <v>0</v>
      </c>
      <c r="H8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2">
        <f>IF(DataTable[[#This Row],[E. Game Compl.]]="Nothing",0,IF(DataTable[[#This Row],[E. Game Compl.]]="Challenging the Tower",5,IF(DataTable[[#This Row],[E. Game Compl.]]="Scaling the Tower",15,)))</f>
        <v>0</v>
      </c>
      <c r="J802">
        <f>Table2[[#This Row],[AUTO Pts]]+Table2[[#This Row],[Shooting Pts.]]+Table2[[#This Row],[Def. Points]]+Table2[[#This Row],[E. Game Pts.]]</f>
        <v>0</v>
      </c>
    </row>
    <row r="803" spans="1:10" x14ac:dyDescent="0.25">
      <c r="A803">
        <f>DataTable[[#This Row],[Tm.]]</f>
        <v>0</v>
      </c>
      <c r="B803">
        <f>DataTable[[#This Row],[Match Nr.]]</f>
        <v>0</v>
      </c>
      <c r="C8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3">
        <f>DataTable[[#This Row],[Successful Lo. G. S]]*2+DataTable[[#This Row],[Successful Hi. G. S.]]*10</f>
        <v>0</v>
      </c>
      <c r="H8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3">
        <f>IF(DataTable[[#This Row],[E. Game Compl.]]="Nothing",0,IF(DataTable[[#This Row],[E. Game Compl.]]="Challenging the Tower",5,IF(DataTable[[#This Row],[E. Game Compl.]]="Scaling the Tower",15,)))</f>
        <v>0</v>
      </c>
      <c r="J803">
        <f>Table2[[#This Row],[AUTO Pts]]+Table2[[#This Row],[Shooting Pts.]]+Table2[[#This Row],[Def. Points]]+Table2[[#This Row],[E. Game Pts.]]</f>
        <v>0</v>
      </c>
    </row>
    <row r="804" spans="1:10" x14ac:dyDescent="0.25">
      <c r="A804">
        <f>DataTable[[#This Row],[Tm.]]</f>
        <v>0</v>
      </c>
      <c r="B804">
        <f>DataTable[[#This Row],[Match Nr.]]</f>
        <v>0</v>
      </c>
      <c r="C8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4">
        <f>DataTable[[#This Row],[Successful Lo. G. S]]*2+DataTable[[#This Row],[Successful Hi. G. S.]]*10</f>
        <v>0</v>
      </c>
      <c r="H8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4">
        <f>IF(DataTable[[#This Row],[E. Game Compl.]]="Nothing",0,IF(DataTable[[#This Row],[E. Game Compl.]]="Challenging the Tower",5,IF(DataTable[[#This Row],[E. Game Compl.]]="Scaling the Tower",15,)))</f>
        <v>0</v>
      </c>
      <c r="J804">
        <f>Table2[[#This Row],[AUTO Pts]]+Table2[[#This Row],[Shooting Pts.]]+Table2[[#This Row],[Def. Points]]+Table2[[#This Row],[E. Game Pts.]]</f>
        <v>0</v>
      </c>
    </row>
    <row r="805" spans="1:10" x14ac:dyDescent="0.25">
      <c r="A805">
        <f>DataTable[[#This Row],[Tm.]]</f>
        <v>0</v>
      </c>
      <c r="B805">
        <f>DataTable[[#This Row],[Match Nr.]]</f>
        <v>0</v>
      </c>
      <c r="C8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5">
        <f>DataTable[[#This Row],[Successful Lo. G. S]]*2+DataTable[[#This Row],[Successful Hi. G. S.]]*10</f>
        <v>0</v>
      </c>
      <c r="H8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5">
        <f>IF(DataTable[[#This Row],[E. Game Compl.]]="Nothing",0,IF(DataTable[[#This Row],[E. Game Compl.]]="Challenging the Tower",5,IF(DataTable[[#This Row],[E. Game Compl.]]="Scaling the Tower",15,)))</f>
        <v>0</v>
      </c>
      <c r="J805">
        <f>Table2[[#This Row],[AUTO Pts]]+Table2[[#This Row],[Shooting Pts.]]+Table2[[#This Row],[Def. Points]]+Table2[[#This Row],[E. Game Pts.]]</f>
        <v>0</v>
      </c>
    </row>
    <row r="806" spans="1:10" x14ac:dyDescent="0.25">
      <c r="A806">
        <f>DataTable[[#This Row],[Tm.]]</f>
        <v>0</v>
      </c>
      <c r="B806">
        <f>DataTable[[#This Row],[Match Nr.]]</f>
        <v>0</v>
      </c>
      <c r="C8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6">
        <f>DataTable[[#This Row],[Successful Lo. G. S]]*2+DataTable[[#This Row],[Successful Hi. G. S.]]*10</f>
        <v>0</v>
      </c>
      <c r="H8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6">
        <f>IF(DataTable[[#This Row],[E. Game Compl.]]="Nothing",0,IF(DataTable[[#This Row],[E. Game Compl.]]="Challenging the Tower",5,IF(DataTable[[#This Row],[E. Game Compl.]]="Scaling the Tower",15,)))</f>
        <v>0</v>
      </c>
      <c r="J806">
        <f>Table2[[#This Row],[AUTO Pts]]+Table2[[#This Row],[Shooting Pts.]]+Table2[[#This Row],[Def. Points]]+Table2[[#This Row],[E. Game Pts.]]</f>
        <v>0</v>
      </c>
    </row>
    <row r="807" spans="1:10" x14ac:dyDescent="0.25">
      <c r="A807">
        <f>DataTable[[#This Row],[Tm.]]</f>
        <v>0</v>
      </c>
      <c r="B807">
        <f>DataTable[[#This Row],[Match Nr.]]</f>
        <v>0</v>
      </c>
      <c r="C8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7">
        <f>DataTable[[#This Row],[Successful Lo. G. S]]*2+DataTable[[#This Row],[Successful Hi. G. S.]]*10</f>
        <v>0</v>
      </c>
      <c r="H8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7">
        <f>IF(DataTable[[#This Row],[E. Game Compl.]]="Nothing",0,IF(DataTable[[#This Row],[E. Game Compl.]]="Challenging the Tower",5,IF(DataTable[[#This Row],[E. Game Compl.]]="Scaling the Tower",15,)))</f>
        <v>0</v>
      </c>
      <c r="J807">
        <f>Table2[[#This Row],[AUTO Pts]]+Table2[[#This Row],[Shooting Pts.]]+Table2[[#This Row],[Def. Points]]+Table2[[#This Row],[E. Game Pts.]]</f>
        <v>0</v>
      </c>
    </row>
    <row r="808" spans="1:10" x14ac:dyDescent="0.25">
      <c r="A808">
        <f>DataTable[[#This Row],[Tm.]]</f>
        <v>0</v>
      </c>
      <c r="B808">
        <f>DataTable[[#This Row],[Match Nr.]]</f>
        <v>0</v>
      </c>
      <c r="C8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8">
        <f>DataTable[[#This Row],[Successful Lo. G. S]]*2+DataTable[[#This Row],[Successful Hi. G. S.]]*10</f>
        <v>0</v>
      </c>
      <c r="H8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8">
        <f>IF(DataTable[[#This Row],[E. Game Compl.]]="Nothing",0,IF(DataTable[[#This Row],[E. Game Compl.]]="Challenging the Tower",5,IF(DataTable[[#This Row],[E. Game Compl.]]="Scaling the Tower",15,)))</f>
        <v>0</v>
      </c>
      <c r="J808">
        <f>Table2[[#This Row],[AUTO Pts]]+Table2[[#This Row],[Shooting Pts.]]+Table2[[#This Row],[Def. Points]]+Table2[[#This Row],[E. Game Pts.]]</f>
        <v>0</v>
      </c>
    </row>
    <row r="809" spans="1:10" x14ac:dyDescent="0.25">
      <c r="A809">
        <f>DataTable[[#This Row],[Tm.]]</f>
        <v>0</v>
      </c>
      <c r="B809">
        <f>DataTable[[#This Row],[Match Nr.]]</f>
        <v>0</v>
      </c>
      <c r="C8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9">
        <f>DataTable[[#This Row],[Successful Lo. G. S]]*2+DataTable[[#This Row],[Successful Hi. G. S.]]*10</f>
        <v>0</v>
      </c>
      <c r="H8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9">
        <f>IF(DataTable[[#This Row],[E. Game Compl.]]="Nothing",0,IF(DataTable[[#This Row],[E. Game Compl.]]="Challenging the Tower",5,IF(DataTable[[#This Row],[E. Game Compl.]]="Scaling the Tower",15,)))</f>
        <v>0</v>
      </c>
      <c r="J809">
        <f>Table2[[#This Row],[AUTO Pts]]+Table2[[#This Row],[Shooting Pts.]]+Table2[[#This Row],[Def. Points]]+Table2[[#This Row],[E. Game Pts.]]</f>
        <v>0</v>
      </c>
    </row>
    <row r="810" spans="1:10" x14ac:dyDescent="0.25">
      <c r="A810">
        <f>DataTable[[#This Row],[Tm.]]</f>
        <v>0</v>
      </c>
      <c r="B810">
        <f>DataTable[[#This Row],[Match Nr.]]</f>
        <v>0</v>
      </c>
      <c r="C8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0">
        <f>DataTable[[#This Row],[Successful Lo. G. S]]*2+DataTable[[#This Row],[Successful Hi. G. S.]]*10</f>
        <v>0</v>
      </c>
      <c r="H8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0">
        <f>IF(DataTable[[#This Row],[E. Game Compl.]]="Nothing",0,IF(DataTable[[#This Row],[E. Game Compl.]]="Challenging the Tower",5,IF(DataTable[[#This Row],[E. Game Compl.]]="Scaling the Tower",15,)))</f>
        <v>0</v>
      </c>
      <c r="J810">
        <f>Table2[[#This Row],[AUTO Pts]]+Table2[[#This Row],[Shooting Pts.]]+Table2[[#This Row],[Def. Points]]+Table2[[#This Row],[E. Game Pts.]]</f>
        <v>0</v>
      </c>
    </row>
    <row r="811" spans="1:10" x14ac:dyDescent="0.25">
      <c r="A811">
        <f>DataTable[[#This Row],[Tm.]]</f>
        <v>0</v>
      </c>
      <c r="B811">
        <f>DataTable[[#This Row],[Match Nr.]]</f>
        <v>0</v>
      </c>
      <c r="C8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1">
        <f>DataTable[[#This Row],[Successful Lo. G. S]]*2+DataTable[[#This Row],[Successful Hi. G. S.]]*10</f>
        <v>0</v>
      </c>
      <c r="H8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1">
        <f>IF(DataTable[[#This Row],[E. Game Compl.]]="Nothing",0,IF(DataTable[[#This Row],[E. Game Compl.]]="Challenging the Tower",5,IF(DataTable[[#This Row],[E. Game Compl.]]="Scaling the Tower",15,)))</f>
        <v>0</v>
      </c>
      <c r="J811">
        <f>Table2[[#This Row],[AUTO Pts]]+Table2[[#This Row],[Shooting Pts.]]+Table2[[#This Row],[Def. Points]]+Table2[[#This Row],[E. Game Pts.]]</f>
        <v>0</v>
      </c>
    </row>
    <row r="812" spans="1:10" x14ac:dyDescent="0.25">
      <c r="A812">
        <f>DataTable[[#This Row],[Tm.]]</f>
        <v>0</v>
      </c>
      <c r="B812">
        <f>DataTable[[#This Row],[Match Nr.]]</f>
        <v>0</v>
      </c>
      <c r="C8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2">
        <f>DataTable[[#This Row],[Successful Lo. G. S]]*2+DataTable[[#This Row],[Successful Hi. G. S.]]*10</f>
        <v>0</v>
      </c>
      <c r="H8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2">
        <f>IF(DataTable[[#This Row],[E. Game Compl.]]="Nothing",0,IF(DataTable[[#This Row],[E. Game Compl.]]="Challenging the Tower",5,IF(DataTable[[#This Row],[E. Game Compl.]]="Scaling the Tower",15,)))</f>
        <v>0</v>
      </c>
      <c r="J812">
        <f>Table2[[#This Row],[AUTO Pts]]+Table2[[#This Row],[Shooting Pts.]]+Table2[[#This Row],[Def. Points]]+Table2[[#This Row],[E. Game Pts.]]</f>
        <v>0</v>
      </c>
    </row>
    <row r="813" spans="1:10" x14ac:dyDescent="0.25">
      <c r="A813">
        <f>DataTable[[#This Row],[Tm.]]</f>
        <v>0</v>
      </c>
      <c r="B813">
        <f>DataTable[[#This Row],[Match Nr.]]</f>
        <v>0</v>
      </c>
      <c r="C8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3">
        <f>DataTable[[#This Row],[Successful Lo. G. S]]*2+DataTable[[#This Row],[Successful Hi. G. S.]]*10</f>
        <v>0</v>
      </c>
      <c r="H8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3">
        <f>IF(DataTable[[#This Row],[E. Game Compl.]]="Nothing",0,IF(DataTable[[#This Row],[E. Game Compl.]]="Challenging the Tower",5,IF(DataTable[[#This Row],[E. Game Compl.]]="Scaling the Tower",15,)))</f>
        <v>0</v>
      </c>
      <c r="J813">
        <f>Table2[[#This Row],[AUTO Pts]]+Table2[[#This Row],[Shooting Pts.]]+Table2[[#This Row],[Def. Points]]+Table2[[#This Row],[E. Game Pts.]]</f>
        <v>0</v>
      </c>
    </row>
    <row r="814" spans="1:10" x14ac:dyDescent="0.25">
      <c r="A814">
        <f>DataTable[[#This Row],[Tm.]]</f>
        <v>0</v>
      </c>
      <c r="B814">
        <f>DataTable[[#This Row],[Match Nr.]]</f>
        <v>0</v>
      </c>
      <c r="C8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4">
        <f>DataTable[[#This Row],[Successful Lo. G. S]]*2+DataTable[[#This Row],[Successful Hi. G. S.]]*10</f>
        <v>0</v>
      </c>
      <c r="H8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4">
        <f>IF(DataTable[[#This Row],[E. Game Compl.]]="Nothing",0,IF(DataTable[[#This Row],[E. Game Compl.]]="Challenging the Tower",5,IF(DataTable[[#This Row],[E. Game Compl.]]="Scaling the Tower",15,)))</f>
        <v>0</v>
      </c>
      <c r="J814">
        <f>Table2[[#This Row],[AUTO Pts]]+Table2[[#This Row],[Shooting Pts.]]+Table2[[#This Row],[Def. Points]]+Table2[[#This Row],[E. Game Pts.]]</f>
        <v>0</v>
      </c>
    </row>
    <row r="815" spans="1:10" x14ac:dyDescent="0.25">
      <c r="A815">
        <f>DataTable[[#This Row],[Tm.]]</f>
        <v>0</v>
      </c>
      <c r="B815">
        <f>DataTable[[#This Row],[Match Nr.]]</f>
        <v>0</v>
      </c>
      <c r="C8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5">
        <f>DataTable[[#This Row],[Successful Lo. G. S]]*2+DataTable[[#This Row],[Successful Hi. G. S.]]*10</f>
        <v>0</v>
      </c>
      <c r="H8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5">
        <f>IF(DataTable[[#This Row],[E. Game Compl.]]="Nothing",0,IF(DataTable[[#This Row],[E. Game Compl.]]="Challenging the Tower",5,IF(DataTable[[#This Row],[E. Game Compl.]]="Scaling the Tower",15,)))</f>
        <v>0</v>
      </c>
      <c r="J815">
        <f>Table2[[#This Row],[AUTO Pts]]+Table2[[#This Row],[Shooting Pts.]]+Table2[[#This Row],[Def. Points]]+Table2[[#This Row],[E. Game Pts.]]</f>
        <v>0</v>
      </c>
    </row>
    <row r="816" spans="1:10" x14ac:dyDescent="0.25">
      <c r="A816">
        <f>DataTable[[#This Row],[Tm.]]</f>
        <v>0</v>
      </c>
      <c r="B816">
        <f>DataTable[[#This Row],[Match Nr.]]</f>
        <v>0</v>
      </c>
      <c r="C8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6">
        <f>DataTable[[#This Row],[Successful Lo. G. S]]*2+DataTable[[#This Row],[Successful Hi. G. S.]]*10</f>
        <v>0</v>
      </c>
      <c r="H8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6">
        <f>IF(DataTable[[#This Row],[E. Game Compl.]]="Nothing",0,IF(DataTable[[#This Row],[E. Game Compl.]]="Challenging the Tower",5,IF(DataTable[[#This Row],[E. Game Compl.]]="Scaling the Tower",15,)))</f>
        <v>0</v>
      </c>
      <c r="J816">
        <f>Table2[[#This Row],[AUTO Pts]]+Table2[[#This Row],[Shooting Pts.]]+Table2[[#This Row],[Def. Points]]+Table2[[#This Row],[E. Game Pts.]]</f>
        <v>0</v>
      </c>
    </row>
    <row r="817" spans="1:10" x14ac:dyDescent="0.25">
      <c r="A817">
        <f>DataTable[[#This Row],[Tm.]]</f>
        <v>0</v>
      </c>
      <c r="B817">
        <f>DataTable[[#This Row],[Match Nr.]]</f>
        <v>0</v>
      </c>
      <c r="C8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7">
        <f>DataTable[[#This Row],[Successful Lo. G. S]]*2+DataTable[[#This Row],[Successful Hi. G. S.]]*10</f>
        <v>0</v>
      </c>
      <c r="H8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7">
        <f>IF(DataTable[[#This Row],[E. Game Compl.]]="Nothing",0,IF(DataTable[[#This Row],[E. Game Compl.]]="Challenging the Tower",5,IF(DataTable[[#This Row],[E. Game Compl.]]="Scaling the Tower",15,)))</f>
        <v>0</v>
      </c>
      <c r="J817">
        <f>Table2[[#This Row],[AUTO Pts]]+Table2[[#This Row],[Shooting Pts.]]+Table2[[#This Row],[Def. Points]]+Table2[[#This Row],[E. Game Pts.]]</f>
        <v>0</v>
      </c>
    </row>
    <row r="818" spans="1:10" x14ac:dyDescent="0.25">
      <c r="A818">
        <f>DataTable[[#This Row],[Tm.]]</f>
        <v>0</v>
      </c>
      <c r="B818">
        <f>DataTable[[#This Row],[Match Nr.]]</f>
        <v>0</v>
      </c>
      <c r="C8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8">
        <f>DataTable[[#This Row],[Successful Lo. G. S]]*2+DataTable[[#This Row],[Successful Hi. G. S.]]*10</f>
        <v>0</v>
      </c>
      <c r="H8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8">
        <f>IF(DataTable[[#This Row],[E. Game Compl.]]="Nothing",0,IF(DataTable[[#This Row],[E. Game Compl.]]="Challenging the Tower",5,IF(DataTable[[#This Row],[E. Game Compl.]]="Scaling the Tower",15,)))</f>
        <v>0</v>
      </c>
      <c r="J818">
        <f>Table2[[#This Row],[AUTO Pts]]+Table2[[#This Row],[Shooting Pts.]]+Table2[[#This Row],[Def. Points]]+Table2[[#This Row],[E. Game Pts.]]</f>
        <v>0</v>
      </c>
    </row>
    <row r="819" spans="1:10" x14ac:dyDescent="0.25">
      <c r="A819">
        <f>DataTable[[#This Row],[Tm.]]</f>
        <v>0</v>
      </c>
      <c r="B819">
        <f>DataTable[[#This Row],[Match Nr.]]</f>
        <v>0</v>
      </c>
      <c r="C8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9">
        <f>DataTable[[#This Row],[Successful Lo. G. S]]*2+DataTable[[#This Row],[Successful Hi. G. S.]]*10</f>
        <v>0</v>
      </c>
      <c r="H8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9">
        <f>IF(DataTable[[#This Row],[E. Game Compl.]]="Nothing",0,IF(DataTable[[#This Row],[E. Game Compl.]]="Challenging the Tower",5,IF(DataTable[[#This Row],[E. Game Compl.]]="Scaling the Tower",15,)))</f>
        <v>0</v>
      </c>
      <c r="J819">
        <f>Table2[[#This Row],[AUTO Pts]]+Table2[[#This Row],[Shooting Pts.]]+Table2[[#This Row],[Def. Points]]+Table2[[#This Row],[E. Game Pts.]]</f>
        <v>0</v>
      </c>
    </row>
    <row r="820" spans="1:10" x14ac:dyDescent="0.25">
      <c r="A820">
        <f>DataTable[[#This Row],[Tm.]]</f>
        <v>0</v>
      </c>
      <c r="B820">
        <f>DataTable[[#This Row],[Match Nr.]]</f>
        <v>0</v>
      </c>
      <c r="C8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0">
        <f>DataTable[[#This Row],[Successful Lo. G. S]]*2+DataTable[[#This Row],[Successful Hi. G. S.]]*10</f>
        <v>0</v>
      </c>
      <c r="H8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0">
        <f>IF(DataTable[[#This Row],[E. Game Compl.]]="Nothing",0,IF(DataTable[[#This Row],[E. Game Compl.]]="Challenging the Tower",5,IF(DataTable[[#This Row],[E. Game Compl.]]="Scaling the Tower",15,)))</f>
        <v>0</v>
      </c>
      <c r="J820">
        <f>Table2[[#This Row],[AUTO Pts]]+Table2[[#This Row],[Shooting Pts.]]+Table2[[#This Row],[Def. Points]]+Table2[[#This Row],[E. Game Pts.]]</f>
        <v>0</v>
      </c>
    </row>
    <row r="821" spans="1:10" x14ac:dyDescent="0.25">
      <c r="A821">
        <f>DataTable[[#This Row],[Tm.]]</f>
        <v>0</v>
      </c>
      <c r="B821">
        <f>DataTable[[#This Row],[Match Nr.]]</f>
        <v>0</v>
      </c>
      <c r="C8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1">
        <f>DataTable[[#This Row],[Successful Lo. G. S]]*2+DataTable[[#This Row],[Successful Hi. G. S.]]*10</f>
        <v>0</v>
      </c>
      <c r="H8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1">
        <f>IF(DataTable[[#This Row],[E. Game Compl.]]="Nothing",0,IF(DataTable[[#This Row],[E. Game Compl.]]="Challenging the Tower",5,IF(DataTable[[#This Row],[E. Game Compl.]]="Scaling the Tower",15,)))</f>
        <v>0</v>
      </c>
      <c r="J821">
        <f>Table2[[#This Row],[AUTO Pts]]+Table2[[#This Row],[Shooting Pts.]]+Table2[[#This Row],[Def. Points]]+Table2[[#This Row],[E. Game Pts.]]</f>
        <v>0</v>
      </c>
    </row>
    <row r="822" spans="1:10" x14ac:dyDescent="0.25">
      <c r="A822">
        <f>DataTable[[#This Row],[Tm.]]</f>
        <v>0</v>
      </c>
      <c r="B822">
        <f>DataTable[[#This Row],[Match Nr.]]</f>
        <v>0</v>
      </c>
      <c r="C8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2">
        <f>DataTable[[#This Row],[Successful Lo. G. S]]*2+DataTable[[#This Row],[Successful Hi. G. S.]]*10</f>
        <v>0</v>
      </c>
      <c r="H8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2">
        <f>IF(DataTable[[#This Row],[E. Game Compl.]]="Nothing",0,IF(DataTable[[#This Row],[E. Game Compl.]]="Challenging the Tower",5,IF(DataTable[[#This Row],[E. Game Compl.]]="Scaling the Tower",15,)))</f>
        <v>0</v>
      </c>
      <c r="J822">
        <f>Table2[[#This Row],[AUTO Pts]]+Table2[[#This Row],[Shooting Pts.]]+Table2[[#This Row],[Def. Points]]+Table2[[#This Row],[E. Game Pts.]]</f>
        <v>0</v>
      </c>
    </row>
    <row r="823" spans="1:10" x14ac:dyDescent="0.25">
      <c r="A823">
        <f>DataTable[[#This Row],[Tm.]]</f>
        <v>0</v>
      </c>
      <c r="B823">
        <f>DataTable[[#This Row],[Match Nr.]]</f>
        <v>0</v>
      </c>
      <c r="C8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3">
        <f>DataTable[[#This Row],[Successful Lo. G. S]]*2+DataTable[[#This Row],[Successful Hi. G. S.]]*10</f>
        <v>0</v>
      </c>
      <c r="H8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3">
        <f>IF(DataTable[[#This Row],[E. Game Compl.]]="Nothing",0,IF(DataTable[[#This Row],[E. Game Compl.]]="Challenging the Tower",5,IF(DataTable[[#This Row],[E. Game Compl.]]="Scaling the Tower",15,)))</f>
        <v>0</v>
      </c>
      <c r="J823">
        <f>Table2[[#This Row],[AUTO Pts]]+Table2[[#This Row],[Shooting Pts.]]+Table2[[#This Row],[Def. Points]]+Table2[[#This Row],[E. Game Pts.]]</f>
        <v>0</v>
      </c>
    </row>
    <row r="824" spans="1:10" x14ac:dyDescent="0.25">
      <c r="A824">
        <f>DataTable[[#This Row],[Tm.]]</f>
        <v>0</v>
      </c>
      <c r="B824">
        <f>DataTable[[#This Row],[Match Nr.]]</f>
        <v>0</v>
      </c>
      <c r="C8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4">
        <f>DataTable[[#This Row],[Successful Lo. G. S]]*2+DataTable[[#This Row],[Successful Hi. G. S.]]*10</f>
        <v>0</v>
      </c>
      <c r="H8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4">
        <f>IF(DataTable[[#This Row],[E. Game Compl.]]="Nothing",0,IF(DataTable[[#This Row],[E. Game Compl.]]="Challenging the Tower",5,IF(DataTable[[#This Row],[E. Game Compl.]]="Scaling the Tower",15,)))</f>
        <v>0</v>
      </c>
      <c r="J824">
        <f>Table2[[#This Row],[AUTO Pts]]+Table2[[#This Row],[Shooting Pts.]]+Table2[[#This Row],[Def. Points]]+Table2[[#This Row],[E. Game Pts.]]</f>
        <v>0</v>
      </c>
    </row>
    <row r="825" spans="1:10" x14ac:dyDescent="0.25">
      <c r="A825">
        <f>DataTable[[#This Row],[Tm.]]</f>
        <v>0</v>
      </c>
      <c r="B825">
        <f>DataTable[[#This Row],[Match Nr.]]</f>
        <v>0</v>
      </c>
      <c r="C8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5">
        <f>DataTable[[#This Row],[Successful Lo. G. S]]*2+DataTable[[#This Row],[Successful Hi. G. S.]]*10</f>
        <v>0</v>
      </c>
      <c r="H8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5">
        <f>IF(DataTable[[#This Row],[E. Game Compl.]]="Nothing",0,IF(DataTable[[#This Row],[E. Game Compl.]]="Challenging the Tower",5,IF(DataTable[[#This Row],[E. Game Compl.]]="Scaling the Tower",15,)))</f>
        <v>0</v>
      </c>
      <c r="J825">
        <f>Table2[[#This Row],[AUTO Pts]]+Table2[[#This Row],[Shooting Pts.]]+Table2[[#This Row],[Def. Points]]+Table2[[#This Row],[E. Game Pts.]]</f>
        <v>0</v>
      </c>
    </row>
    <row r="826" spans="1:10" x14ac:dyDescent="0.25">
      <c r="A826">
        <f>DataTable[[#This Row],[Tm.]]</f>
        <v>0</v>
      </c>
      <c r="B826">
        <f>DataTable[[#This Row],[Match Nr.]]</f>
        <v>0</v>
      </c>
      <c r="C8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6">
        <f>DataTable[[#This Row],[Successful Lo. G. S]]*2+DataTable[[#This Row],[Successful Hi. G. S.]]*10</f>
        <v>0</v>
      </c>
      <c r="H8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6">
        <f>IF(DataTable[[#This Row],[E. Game Compl.]]="Nothing",0,IF(DataTable[[#This Row],[E. Game Compl.]]="Challenging the Tower",5,IF(DataTable[[#This Row],[E. Game Compl.]]="Scaling the Tower",15,)))</f>
        <v>0</v>
      </c>
      <c r="J826">
        <f>Table2[[#This Row],[AUTO Pts]]+Table2[[#This Row],[Shooting Pts.]]+Table2[[#This Row],[Def. Points]]+Table2[[#This Row],[E. Game Pts.]]</f>
        <v>0</v>
      </c>
    </row>
    <row r="827" spans="1:10" x14ac:dyDescent="0.25">
      <c r="A827">
        <f>DataTable[[#This Row],[Tm.]]</f>
        <v>0</v>
      </c>
      <c r="B827">
        <f>DataTable[[#This Row],[Match Nr.]]</f>
        <v>0</v>
      </c>
      <c r="C8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7">
        <f>DataTable[[#This Row],[Successful Lo. G. S]]*2+DataTable[[#This Row],[Successful Hi. G. S.]]*10</f>
        <v>0</v>
      </c>
      <c r="H8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7">
        <f>IF(DataTable[[#This Row],[E. Game Compl.]]="Nothing",0,IF(DataTable[[#This Row],[E. Game Compl.]]="Challenging the Tower",5,IF(DataTable[[#This Row],[E. Game Compl.]]="Scaling the Tower",15,)))</f>
        <v>0</v>
      </c>
      <c r="J827">
        <f>Table2[[#This Row],[AUTO Pts]]+Table2[[#This Row],[Shooting Pts.]]+Table2[[#This Row],[Def. Points]]+Table2[[#This Row],[E. Game Pts.]]</f>
        <v>0</v>
      </c>
    </row>
    <row r="828" spans="1:10" x14ac:dyDescent="0.25">
      <c r="A828">
        <f>DataTable[[#This Row],[Tm.]]</f>
        <v>0</v>
      </c>
      <c r="B828">
        <f>DataTable[[#This Row],[Match Nr.]]</f>
        <v>0</v>
      </c>
      <c r="C8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8">
        <f>DataTable[[#This Row],[Successful Lo. G. S]]*2+DataTable[[#This Row],[Successful Hi. G. S.]]*10</f>
        <v>0</v>
      </c>
      <c r="H8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8">
        <f>IF(DataTable[[#This Row],[E. Game Compl.]]="Nothing",0,IF(DataTable[[#This Row],[E. Game Compl.]]="Challenging the Tower",5,IF(DataTable[[#This Row],[E. Game Compl.]]="Scaling the Tower",15,)))</f>
        <v>0</v>
      </c>
      <c r="J828">
        <f>Table2[[#This Row],[AUTO Pts]]+Table2[[#This Row],[Shooting Pts.]]+Table2[[#This Row],[Def. Points]]+Table2[[#This Row],[E. Game Pts.]]</f>
        <v>0</v>
      </c>
    </row>
    <row r="829" spans="1:10" x14ac:dyDescent="0.25">
      <c r="A829">
        <f>DataTable[[#This Row],[Tm.]]</f>
        <v>0</v>
      </c>
      <c r="B829">
        <f>DataTable[[#This Row],[Match Nr.]]</f>
        <v>0</v>
      </c>
      <c r="C8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9">
        <f>DataTable[[#This Row],[Successful Lo. G. S]]*2+DataTable[[#This Row],[Successful Hi. G. S.]]*10</f>
        <v>0</v>
      </c>
      <c r="H8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9">
        <f>IF(DataTable[[#This Row],[E. Game Compl.]]="Nothing",0,IF(DataTable[[#This Row],[E. Game Compl.]]="Challenging the Tower",5,IF(DataTable[[#This Row],[E. Game Compl.]]="Scaling the Tower",15,)))</f>
        <v>0</v>
      </c>
      <c r="J829">
        <f>Table2[[#This Row],[AUTO Pts]]+Table2[[#This Row],[Shooting Pts.]]+Table2[[#This Row],[Def. Points]]+Table2[[#This Row],[E. Game Pts.]]</f>
        <v>0</v>
      </c>
    </row>
    <row r="830" spans="1:10" x14ac:dyDescent="0.25">
      <c r="A830">
        <f>DataTable[[#This Row],[Tm.]]</f>
        <v>0</v>
      </c>
      <c r="B830">
        <f>DataTable[[#This Row],[Match Nr.]]</f>
        <v>0</v>
      </c>
      <c r="C8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0">
        <f>DataTable[[#This Row],[Successful Lo. G. S]]*2+DataTable[[#This Row],[Successful Hi. G. S.]]*10</f>
        <v>0</v>
      </c>
      <c r="H8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0">
        <f>IF(DataTable[[#This Row],[E. Game Compl.]]="Nothing",0,IF(DataTable[[#This Row],[E. Game Compl.]]="Challenging the Tower",5,IF(DataTable[[#This Row],[E. Game Compl.]]="Scaling the Tower",15,)))</f>
        <v>0</v>
      </c>
      <c r="J830">
        <f>Table2[[#This Row],[AUTO Pts]]+Table2[[#This Row],[Shooting Pts.]]+Table2[[#This Row],[Def. Points]]+Table2[[#This Row],[E. Game Pts.]]</f>
        <v>0</v>
      </c>
    </row>
    <row r="831" spans="1:10" x14ac:dyDescent="0.25">
      <c r="A831">
        <f>DataTable[[#This Row],[Tm.]]</f>
        <v>0</v>
      </c>
      <c r="B831">
        <f>DataTable[[#This Row],[Match Nr.]]</f>
        <v>0</v>
      </c>
      <c r="C8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1">
        <f>DataTable[[#This Row],[Successful Lo. G. S]]*2+DataTable[[#This Row],[Successful Hi. G. S.]]*10</f>
        <v>0</v>
      </c>
      <c r="H8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1">
        <f>IF(DataTable[[#This Row],[E. Game Compl.]]="Nothing",0,IF(DataTable[[#This Row],[E. Game Compl.]]="Challenging the Tower",5,IF(DataTable[[#This Row],[E. Game Compl.]]="Scaling the Tower",15,)))</f>
        <v>0</v>
      </c>
      <c r="J831">
        <f>Table2[[#This Row],[AUTO Pts]]+Table2[[#This Row],[Shooting Pts.]]+Table2[[#This Row],[Def. Points]]+Table2[[#This Row],[E. Game Pts.]]</f>
        <v>0</v>
      </c>
    </row>
    <row r="832" spans="1:10" x14ac:dyDescent="0.25">
      <c r="A832">
        <f>DataTable[[#This Row],[Tm.]]</f>
        <v>0</v>
      </c>
      <c r="B832">
        <f>DataTable[[#This Row],[Match Nr.]]</f>
        <v>0</v>
      </c>
      <c r="C8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2">
        <f>DataTable[[#This Row],[Successful Lo. G. S]]*2+DataTable[[#This Row],[Successful Hi. G. S.]]*10</f>
        <v>0</v>
      </c>
      <c r="H8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2">
        <f>IF(DataTable[[#This Row],[E. Game Compl.]]="Nothing",0,IF(DataTable[[#This Row],[E. Game Compl.]]="Challenging the Tower",5,IF(DataTable[[#This Row],[E. Game Compl.]]="Scaling the Tower",15,)))</f>
        <v>0</v>
      </c>
      <c r="J832">
        <f>Table2[[#This Row],[AUTO Pts]]+Table2[[#This Row],[Shooting Pts.]]+Table2[[#This Row],[Def. Points]]+Table2[[#This Row],[E. Game Pts.]]</f>
        <v>0</v>
      </c>
    </row>
    <row r="833" spans="1:10" x14ac:dyDescent="0.25">
      <c r="A833">
        <f>DataTable[[#This Row],[Tm.]]</f>
        <v>0</v>
      </c>
      <c r="B833">
        <f>DataTable[[#This Row],[Match Nr.]]</f>
        <v>0</v>
      </c>
      <c r="C8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3">
        <f>DataTable[[#This Row],[Successful Lo. G. S]]*2+DataTable[[#This Row],[Successful Hi. G. S.]]*10</f>
        <v>0</v>
      </c>
      <c r="H8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3">
        <f>IF(DataTable[[#This Row],[E. Game Compl.]]="Nothing",0,IF(DataTable[[#This Row],[E. Game Compl.]]="Challenging the Tower",5,IF(DataTable[[#This Row],[E. Game Compl.]]="Scaling the Tower",15,)))</f>
        <v>0</v>
      </c>
      <c r="J833">
        <f>Table2[[#This Row],[AUTO Pts]]+Table2[[#This Row],[Shooting Pts.]]+Table2[[#This Row],[Def. Points]]+Table2[[#This Row],[E. Game Pts.]]</f>
        <v>0</v>
      </c>
    </row>
    <row r="834" spans="1:10" x14ac:dyDescent="0.25">
      <c r="A834">
        <f>DataTable[[#This Row],[Tm.]]</f>
        <v>0</v>
      </c>
      <c r="B834">
        <f>DataTable[[#This Row],[Match Nr.]]</f>
        <v>0</v>
      </c>
      <c r="C8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4">
        <f>DataTable[[#This Row],[Successful Lo. G. S]]*2+DataTable[[#This Row],[Successful Hi. G. S.]]*10</f>
        <v>0</v>
      </c>
      <c r="H8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4">
        <f>IF(DataTable[[#This Row],[E. Game Compl.]]="Nothing",0,IF(DataTable[[#This Row],[E. Game Compl.]]="Challenging the Tower",5,IF(DataTable[[#This Row],[E. Game Compl.]]="Scaling the Tower",15,)))</f>
        <v>0</v>
      </c>
      <c r="J834">
        <f>Table2[[#This Row],[AUTO Pts]]+Table2[[#This Row],[Shooting Pts.]]+Table2[[#This Row],[Def. Points]]+Table2[[#This Row],[E. Game Pts.]]</f>
        <v>0</v>
      </c>
    </row>
    <row r="835" spans="1:10" x14ac:dyDescent="0.25">
      <c r="A835">
        <f>DataTable[[#This Row],[Tm.]]</f>
        <v>0</v>
      </c>
      <c r="B835">
        <f>DataTable[[#This Row],[Match Nr.]]</f>
        <v>0</v>
      </c>
      <c r="C8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5">
        <f>DataTable[[#This Row],[Successful Lo. G. S]]*2+DataTable[[#This Row],[Successful Hi. G. S.]]*10</f>
        <v>0</v>
      </c>
      <c r="H8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5">
        <f>IF(DataTable[[#This Row],[E. Game Compl.]]="Nothing",0,IF(DataTable[[#This Row],[E. Game Compl.]]="Challenging the Tower",5,IF(DataTable[[#This Row],[E. Game Compl.]]="Scaling the Tower",15,)))</f>
        <v>0</v>
      </c>
      <c r="J835">
        <f>Table2[[#This Row],[AUTO Pts]]+Table2[[#This Row],[Shooting Pts.]]+Table2[[#This Row],[Def. Points]]+Table2[[#This Row],[E. Game Pts.]]</f>
        <v>0</v>
      </c>
    </row>
    <row r="836" spans="1:10" x14ac:dyDescent="0.25">
      <c r="A836">
        <f>DataTable[[#This Row],[Tm.]]</f>
        <v>0</v>
      </c>
      <c r="B836">
        <f>DataTable[[#This Row],[Match Nr.]]</f>
        <v>0</v>
      </c>
      <c r="C8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6">
        <f>DataTable[[#This Row],[Successful Lo. G. S]]*2+DataTable[[#This Row],[Successful Hi. G. S.]]*10</f>
        <v>0</v>
      </c>
      <c r="H8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6">
        <f>IF(DataTable[[#This Row],[E. Game Compl.]]="Nothing",0,IF(DataTable[[#This Row],[E. Game Compl.]]="Challenging the Tower",5,IF(DataTable[[#This Row],[E. Game Compl.]]="Scaling the Tower",15,)))</f>
        <v>0</v>
      </c>
      <c r="J836">
        <f>Table2[[#This Row],[AUTO Pts]]+Table2[[#This Row],[Shooting Pts.]]+Table2[[#This Row],[Def. Points]]+Table2[[#This Row],[E. Game Pts.]]</f>
        <v>0</v>
      </c>
    </row>
    <row r="837" spans="1:10" x14ac:dyDescent="0.25">
      <c r="A837">
        <f>DataTable[[#This Row],[Tm.]]</f>
        <v>0</v>
      </c>
      <c r="B837">
        <f>DataTable[[#This Row],[Match Nr.]]</f>
        <v>0</v>
      </c>
      <c r="C8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7">
        <f>DataTable[[#This Row],[Successful Lo. G. S]]*2+DataTable[[#This Row],[Successful Hi. G. S.]]*10</f>
        <v>0</v>
      </c>
      <c r="H8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7">
        <f>IF(DataTable[[#This Row],[E. Game Compl.]]="Nothing",0,IF(DataTable[[#This Row],[E. Game Compl.]]="Challenging the Tower",5,IF(DataTable[[#This Row],[E. Game Compl.]]="Scaling the Tower",15,)))</f>
        <v>0</v>
      </c>
      <c r="J837">
        <f>Table2[[#This Row],[AUTO Pts]]+Table2[[#This Row],[Shooting Pts.]]+Table2[[#This Row],[Def. Points]]+Table2[[#This Row],[E. Game Pts.]]</f>
        <v>0</v>
      </c>
    </row>
    <row r="838" spans="1:10" x14ac:dyDescent="0.25">
      <c r="A838">
        <f>DataTable[[#This Row],[Tm.]]</f>
        <v>0</v>
      </c>
      <c r="B838">
        <f>DataTable[[#This Row],[Match Nr.]]</f>
        <v>0</v>
      </c>
      <c r="C8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8">
        <f>DataTable[[#This Row],[Successful Lo. G. S]]*2+DataTable[[#This Row],[Successful Hi. G. S.]]*10</f>
        <v>0</v>
      </c>
      <c r="H8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8">
        <f>IF(DataTable[[#This Row],[E. Game Compl.]]="Nothing",0,IF(DataTable[[#This Row],[E. Game Compl.]]="Challenging the Tower",5,IF(DataTable[[#This Row],[E. Game Compl.]]="Scaling the Tower",15,)))</f>
        <v>0</v>
      </c>
      <c r="J838">
        <f>Table2[[#This Row],[AUTO Pts]]+Table2[[#This Row],[Shooting Pts.]]+Table2[[#This Row],[Def. Points]]+Table2[[#This Row],[E. Game Pts.]]</f>
        <v>0</v>
      </c>
    </row>
    <row r="839" spans="1:10" x14ac:dyDescent="0.25">
      <c r="A839">
        <f>DataTable[[#This Row],[Tm.]]</f>
        <v>0</v>
      </c>
      <c r="B839">
        <f>DataTable[[#This Row],[Match Nr.]]</f>
        <v>0</v>
      </c>
      <c r="C8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9">
        <f>DataTable[[#This Row],[Successful Lo. G. S]]*2+DataTable[[#This Row],[Successful Hi. G. S.]]*10</f>
        <v>0</v>
      </c>
      <c r="H8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9">
        <f>IF(DataTable[[#This Row],[E. Game Compl.]]="Nothing",0,IF(DataTable[[#This Row],[E. Game Compl.]]="Challenging the Tower",5,IF(DataTable[[#This Row],[E. Game Compl.]]="Scaling the Tower",15,)))</f>
        <v>0</v>
      </c>
      <c r="J839">
        <f>Table2[[#This Row],[AUTO Pts]]+Table2[[#This Row],[Shooting Pts.]]+Table2[[#This Row],[Def. Points]]+Table2[[#This Row],[E. Game Pts.]]</f>
        <v>0</v>
      </c>
    </row>
    <row r="840" spans="1:10" x14ac:dyDescent="0.25">
      <c r="A840">
        <f>DataTable[[#This Row],[Tm.]]</f>
        <v>0</v>
      </c>
      <c r="B840">
        <f>DataTable[[#This Row],[Match Nr.]]</f>
        <v>0</v>
      </c>
      <c r="C8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0">
        <f>DataTable[[#This Row],[Successful Lo. G. S]]*2+DataTable[[#This Row],[Successful Hi. G. S.]]*10</f>
        <v>0</v>
      </c>
      <c r="H8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0">
        <f>IF(DataTable[[#This Row],[E. Game Compl.]]="Nothing",0,IF(DataTable[[#This Row],[E. Game Compl.]]="Challenging the Tower",5,IF(DataTable[[#This Row],[E. Game Compl.]]="Scaling the Tower",15,)))</f>
        <v>0</v>
      </c>
      <c r="J840">
        <f>Table2[[#This Row],[AUTO Pts]]+Table2[[#This Row],[Shooting Pts.]]+Table2[[#This Row],[Def. Points]]+Table2[[#This Row],[E. Game Pts.]]</f>
        <v>0</v>
      </c>
    </row>
    <row r="841" spans="1:10" x14ac:dyDescent="0.25">
      <c r="A841">
        <f>DataTable[[#This Row],[Tm.]]</f>
        <v>0</v>
      </c>
      <c r="B841">
        <f>DataTable[[#This Row],[Match Nr.]]</f>
        <v>0</v>
      </c>
      <c r="C8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1">
        <f>DataTable[[#This Row],[Successful Lo. G. S]]*2+DataTable[[#This Row],[Successful Hi. G. S.]]*10</f>
        <v>0</v>
      </c>
      <c r="H8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1">
        <f>IF(DataTable[[#This Row],[E. Game Compl.]]="Nothing",0,IF(DataTable[[#This Row],[E. Game Compl.]]="Challenging the Tower",5,IF(DataTable[[#This Row],[E. Game Compl.]]="Scaling the Tower",15,)))</f>
        <v>0</v>
      </c>
      <c r="J841">
        <f>Table2[[#This Row],[AUTO Pts]]+Table2[[#This Row],[Shooting Pts.]]+Table2[[#This Row],[Def. Points]]+Table2[[#This Row],[E. Game Pts.]]</f>
        <v>0</v>
      </c>
    </row>
    <row r="842" spans="1:10" x14ac:dyDescent="0.25">
      <c r="A842">
        <f>DataTable[[#This Row],[Tm.]]</f>
        <v>0</v>
      </c>
      <c r="B842">
        <f>DataTable[[#This Row],[Match Nr.]]</f>
        <v>0</v>
      </c>
      <c r="C8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2">
        <f>DataTable[[#This Row],[Successful Lo. G. S]]*2+DataTable[[#This Row],[Successful Hi. G. S.]]*10</f>
        <v>0</v>
      </c>
      <c r="H8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2">
        <f>IF(DataTable[[#This Row],[E. Game Compl.]]="Nothing",0,IF(DataTable[[#This Row],[E. Game Compl.]]="Challenging the Tower",5,IF(DataTable[[#This Row],[E. Game Compl.]]="Scaling the Tower",15,)))</f>
        <v>0</v>
      </c>
      <c r="J842">
        <f>Table2[[#This Row],[AUTO Pts]]+Table2[[#This Row],[Shooting Pts.]]+Table2[[#This Row],[Def. Points]]+Table2[[#This Row],[E. Game Pts.]]</f>
        <v>0</v>
      </c>
    </row>
    <row r="843" spans="1:10" x14ac:dyDescent="0.25">
      <c r="A843">
        <f>DataTable[[#This Row],[Tm.]]</f>
        <v>0</v>
      </c>
      <c r="B843">
        <f>DataTable[[#This Row],[Match Nr.]]</f>
        <v>0</v>
      </c>
      <c r="C8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3">
        <f>DataTable[[#This Row],[Successful Lo. G. S]]*2+DataTable[[#This Row],[Successful Hi. G. S.]]*10</f>
        <v>0</v>
      </c>
      <c r="H8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3">
        <f>IF(DataTable[[#This Row],[E. Game Compl.]]="Nothing",0,IF(DataTable[[#This Row],[E. Game Compl.]]="Challenging the Tower",5,IF(DataTable[[#This Row],[E. Game Compl.]]="Scaling the Tower",15,)))</f>
        <v>0</v>
      </c>
      <c r="J843">
        <f>Table2[[#This Row],[AUTO Pts]]+Table2[[#This Row],[Shooting Pts.]]+Table2[[#This Row],[Def. Points]]+Table2[[#This Row],[E. Game Pts.]]</f>
        <v>0</v>
      </c>
    </row>
    <row r="844" spans="1:10" x14ac:dyDescent="0.25">
      <c r="A844">
        <f>DataTable[[#This Row],[Tm.]]</f>
        <v>0</v>
      </c>
      <c r="B844">
        <f>DataTable[[#This Row],[Match Nr.]]</f>
        <v>0</v>
      </c>
      <c r="C8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4">
        <f>DataTable[[#This Row],[Successful Lo. G. S]]*2+DataTable[[#This Row],[Successful Hi. G. S.]]*10</f>
        <v>0</v>
      </c>
      <c r="H8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4">
        <f>IF(DataTable[[#This Row],[E. Game Compl.]]="Nothing",0,IF(DataTable[[#This Row],[E. Game Compl.]]="Challenging the Tower",5,IF(DataTable[[#This Row],[E. Game Compl.]]="Scaling the Tower",15,)))</f>
        <v>0</v>
      </c>
      <c r="J844">
        <f>Table2[[#This Row],[AUTO Pts]]+Table2[[#This Row],[Shooting Pts.]]+Table2[[#This Row],[Def. Points]]+Table2[[#This Row],[E. Game Pts.]]</f>
        <v>0</v>
      </c>
    </row>
    <row r="845" spans="1:10" x14ac:dyDescent="0.25">
      <c r="A845">
        <f>DataTable[[#This Row],[Tm.]]</f>
        <v>0</v>
      </c>
      <c r="B845">
        <f>DataTable[[#This Row],[Match Nr.]]</f>
        <v>0</v>
      </c>
      <c r="C8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5">
        <f>DataTable[[#This Row],[Successful Lo. G. S]]*2+DataTable[[#This Row],[Successful Hi. G. S.]]*10</f>
        <v>0</v>
      </c>
      <c r="H8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5">
        <f>IF(DataTable[[#This Row],[E. Game Compl.]]="Nothing",0,IF(DataTable[[#This Row],[E. Game Compl.]]="Challenging the Tower",5,IF(DataTable[[#This Row],[E. Game Compl.]]="Scaling the Tower",15,)))</f>
        <v>0</v>
      </c>
      <c r="J845">
        <f>Table2[[#This Row],[AUTO Pts]]+Table2[[#This Row],[Shooting Pts.]]+Table2[[#This Row],[Def. Points]]+Table2[[#This Row],[E. Game Pts.]]</f>
        <v>0</v>
      </c>
    </row>
    <row r="846" spans="1:10" x14ac:dyDescent="0.25">
      <c r="A846">
        <f>DataTable[[#This Row],[Tm.]]</f>
        <v>0</v>
      </c>
      <c r="B846">
        <f>DataTable[[#This Row],[Match Nr.]]</f>
        <v>0</v>
      </c>
      <c r="C8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6">
        <f>DataTable[[#This Row],[Successful Lo. G. S]]*2+DataTable[[#This Row],[Successful Hi. G. S.]]*10</f>
        <v>0</v>
      </c>
      <c r="H8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6">
        <f>IF(DataTable[[#This Row],[E. Game Compl.]]="Nothing",0,IF(DataTable[[#This Row],[E. Game Compl.]]="Challenging the Tower",5,IF(DataTable[[#This Row],[E. Game Compl.]]="Scaling the Tower",15,)))</f>
        <v>0</v>
      </c>
      <c r="J846">
        <f>Table2[[#This Row],[AUTO Pts]]+Table2[[#This Row],[Shooting Pts.]]+Table2[[#This Row],[Def. Points]]+Table2[[#This Row],[E. Game Pts.]]</f>
        <v>0</v>
      </c>
    </row>
    <row r="847" spans="1:10" x14ac:dyDescent="0.25">
      <c r="A847">
        <f>DataTable[[#This Row],[Tm.]]</f>
        <v>0</v>
      </c>
      <c r="B847">
        <f>DataTable[[#This Row],[Match Nr.]]</f>
        <v>0</v>
      </c>
      <c r="C8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7">
        <f>DataTable[[#This Row],[Successful Lo. G. S]]*2+DataTable[[#This Row],[Successful Hi. G. S.]]*10</f>
        <v>0</v>
      </c>
      <c r="H8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7">
        <f>IF(DataTable[[#This Row],[E. Game Compl.]]="Nothing",0,IF(DataTable[[#This Row],[E. Game Compl.]]="Challenging the Tower",5,IF(DataTable[[#This Row],[E. Game Compl.]]="Scaling the Tower",15,)))</f>
        <v>0</v>
      </c>
      <c r="J847">
        <f>Table2[[#This Row],[AUTO Pts]]+Table2[[#This Row],[Shooting Pts.]]+Table2[[#This Row],[Def. Points]]+Table2[[#This Row],[E. Game Pts.]]</f>
        <v>0</v>
      </c>
    </row>
    <row r="848" spans="1:10" x14ac:dyDescent="0.25">
      <c r="A848">
        <f>DataTable[[#This Row],[Tm.]]</f>
        <v>0</v>
      </c>
      <c r="B848">
        <f>DataTable[[#This Row],[Match Nr.]]</f>
        <v>0</v>
      </c>
      <c r="C8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8">
        <f>DataTable[[#This Row],[Successful Lo. G. S]]*2+DataTable[[#This Row],[Successful Hi. G. S.]]*10</f>
        <v>0</v>
      </c>
      <c r="H8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8">
        <f>IF(DataTable[[#This Row],[E. Game Compl.]]="Nothing",0,IF(DataTable[[#This Row],[E. Game Compl.]]="Challenging the Tower",5,IF(DataTable[[#This Row],[E. Game Compl.]]="Scaling the Tower",15,)))</f>
        <v>0</v>
      </c>
      <c r="J848">
        <f>Table2[[#This Row],[AUTO Pts]]+Table2[[#This Row],[Shooting Pts.]]+Table2[[#This Row],[Def. Points]]+Table2[[#This Row],[E. Game Pts.]]</f>
        <v>0</v>
      </c>
    </row>
    <row r="849" spans="1:10" x14ac:dyDescent="0.25">
      <c r="A849">
        <f>DataTable[[#This Row],[Tm.]]</f>
        <v>0</v>
      </c>
      <c r="B849">
        <f>DataTable[[#This Row],[Match Nr.]]</f>
        <v>0</v>
      </c>
      <c r="C8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9">
        <f>DataTable[[#This Row],[Successful Lo. G. S]]*2+DataTable[[#This Row],[Successful Hi. G. S.]]*10</f>
        <v>0</v>
      </c>
      <c r="H8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9">
        <f>IF(DataTable[[#This Row],[E. Game Compl.]]="Nothing",0,IF(DataTable[[#This Row],[E. Game Compl.]]="Challenging the Tower",5,IF(DataTable[[#This Row],[E. Game Compl.]]="Scaling the Tower",15,)))</f>
        <v>0</v>
      </c>
      <c r="J849">
        <f>Table2[[#This Row],[AUTO Pts]]+Table2[[#This Row],[Shooting Pts.]]+Table2[[#This Row],[Def. Points]]+Table2[[#This Row],[E. Game Pts.]]</f>
        <v>0</v>
      </c>
    </row>
    <row r="850" spans="1:10" x14ac:dyDescent="0.25">
      <c r="A850">
        <f>DataTable[[#This Row],[Tm.]]</f>
        <v>0</v>
      </c>
      <c r="B850">
        <f>DataTable[[#This Row],[Match Nr.]]</f>
        <v>0</v>
      </c>
      <c r="C8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0">
        <f>DataTable[[#This Row],[Successful Lo. G. S]]*2+DataTable[[#This Row],[Successful Hi. G. S.]]*10</f>
        <v>0</v>
      </c>
      <c r="H8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0">
        <f>IF(DataTable[[#This Row],[E. Game Compl.]]="Nothing",0,IF(DataTable[[#This Row],[E. Game Compl.]]="Challenging the Tower",5,IF(DataTable[[#This Row],[E. Game Compl.]]="Scaling the Tower",15,)))</f>
        <v>0</v>
      </c>
      <c r="J850">
        <f>Table2[[#This Row],[AUTO Pts]]+Table2[[#This Row],[Shooting Pts.]]+Table2[[#This Row],[Def. Points]]+Table2[[#This Row],[E. Game Pts.]]</f>
        <v>0</v>
      </c>
    </row>
    <row r="851" spans="1:10" x14ac:dyDescent="0.25">
      <c r="A851">
        <f>DataTable[[#This Row],[Tm.]]</f>
        <v>0</v>
      </c>
      <c r="B851">
        <f>DataTable[[#This Row],[Match Nr.]]</f>
        <v>0</v>
      </c>
      <c r="C8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1">
        <f>DataTable[[#This Row],[Successful Lo. G. S]]*2+DataTable[[#This Row],[Successful Hi. G. S.]]*10</f>
        <v>0</v>
      </c>
      <c r="H8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1">
        <f>IF(DataTable[[#This Row],[E. Game Compl.]]="Nothing",0,IF(DataTable[[#This Row],[E. Game Compl.]]="Challenging the Tower",5,IF(DataTable[[#This Row],[E. Game Compl.]]="Scaling the Tower",15,)))</f>
        <v>0</v>
      </c>
      <c r="J851">
        <f>Table2[[#This Row],[AUTO Pts]]+Table2[[#This Row],[Shooting Pts.]]+Table2[[#This Row],[Def. Points]]+Table2[[#This Row],[E. Game Pts.]]</f>
        <v>0</v>
      </c>
    </row>
    <row r="852" spans="1:10" x14ac:dyDescent="0.25">
      <c r="A852">
        <f>DataTable[[#This Row],[Tm.]]</f>
        <v>0</v>
      </c>
      <c r="B852">
        <f>DataTable[[#This Row],[Match Nr.]]</f>
        <v>0</v>
      </c>
      <c r="C8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2">
        <f>DataTable[[#This Row],[Successful Lo. G. S]]*2+DataTable[[#This Row],[Successful Hi. G. S.]]*10</f>
        <v>0</v>
      </c>
      <c r="H8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2">
        <f>IF(DataTable[[#This Row],[E. Game Compl.]]="Nothing",0,IF(DataTable[[#This Row],[E. Game Compl.]]="Challenging the Tower",5,IF(DataTable[[#This Row],[E. Game Compl.]]="Scaling the Tower",15,)))</f>
        <v>0</v>
      </c>
      <c r="J852">
        <f>Table2[[#This Row],[AUTO Pts]]+Table2[[#This Row],[Shooting Pts.]]+Table2[[#This Row],[Def. Points]]+Table2[[#This Row],[E. Game Pts.]]</f>
        <v>0</v>
      </c>
    </row>
    <row r="853" spans="1:10" x14ac:dyDescent="0.25">
      <c r="A853">
        <f>DataTable[[#This Row],[Tm.]]</f>
        <v>0</v>
      </c>
      <c r="B853">
        <f>DataTable[[#This Row],[Match Nr.]]</f>
        <v>0</v>
      </c>
      <c r="C8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3">
        <f>DataTable[[#This Row],[Successful Lo. G. S]]*2+DataTable[[#This Row],[Successful Hi. G. S.]]*10</f>
        <v>0</v>
      </c>
      <c r="H8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3">
        <f>IF(DataTable[[#This Row],[E. Game Compl.]]="Nothing",0,IF(DataTable[[#This Row],[E. Game Compl.]]="Challenging the Tower",5,IF(DataTable[[#This Row],[E. Game Compl.]]="Scaling the Tower",15,)))</f>
        <v>0</v>
      </c>
      <c r="J853">
        <f>Table2[[#This Row],[AUTO Pts]]+Table2[[#This Row],[Shooting Pts.]]+Table2[[#This Row],[Def. Points]]+Table2[[#This Row],[E. Game Pts.]]</f>
        <v>0</v>
      </c>
    </row>
    <row r="854" spans="1:10" x14ac:dyDescent="0.25">
      <c r="A854">
        <f>DataTable[[#This Row],[Tm.]]</f>
        <v>0</v>
      </c>
      <c r="B854">
        <f>DataTable[[#This Row],[Match Nr.]]</f>
        <v>0</v>
      </c>
      <c r="C8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4">
        <f>DataTable[[#This Row],[Successful Lo. G. S]]*2+DataTable[[#This Row],[Successful Hi. G. S.]]*10</f>
        <v>0</v>
      </c>
      <c r="H8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4">
        <f>IF(DataTable[[#This Row],[E. Game Compl.]]="Nothing",0,IF(DataTable[[#This Row],[E. Game Compl.]]="Challenging the Tower",5,IF(DataTable[[#This Row],[E. Game Compl.]]="Scaling the Tower",15,)))</f>
        <v>0</v>
      </c>
      <c r="J854">
        <f>Table2[[#This Row],[AUTO Pts]]+Table2[[#This Row],[Shooting Pts.]]+Table2[[#This Row],[Def. Points]]+Table2[[#This Row],[E. Game Pts.]]</f>
        <v>0</v>
      </c>
    </row>
    <row r="855" spans="1:10" x14ac:dyDescent="0.25">
      <c r="A855">
        <f>DataTable[[#This Row],[Tm.]]</f>
        <v>0</v>
      </c>
      <c r="B855">
        <f>DataTable[[#This Row],[Match Nr.]]</f>
        <v>0</v>
      </c>
      <c r="C8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5">
        <f>DataTable[[#This Row],[Successful Lo. G. S]]*2+DataTable[[#This Row],[Successful Hi. G. S.]]*10</f>
        <v>0</v>
      </c>
      <c r="H8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5">
        <f>IF(DataTable[[#This Row],[E. Game Compl.]]="Nothing",0,IF(DataTable[[#This Row],[E. Game Compl.]]="Challenging the Tower",5,IF(DataTable[[#This Row],[E. Game Compl.]]="Scaling the Tower",15,)))</f>
        <v>0</v>
      </c>
      <c r="J855">
        <f>Table2[[#This Row],[AUTO Pts]]+Table2[[#This Row],[Shooting Pts.]]+Table2[[#This Row],[Def. Points]]+Table2[[#This Row],[E. Game Pts.]]</f>
        <v>0</v>
      </c>
    </row>
    <row r="856" spans="1:10" x14ac:dyDescent="0.25">
      <c r="A856">
        <f>DataTable[[#This Row],[Tm.]]</f>
        <v>0</v>
      </c>
      <c r="B856">
        <f>DataTable[[#This Row],[Match Nr.]]</f>
        <v>0</v>
      </c>
      <c r="C8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6">
        <f>DataTable[[#This Row],[Successful Lo. G. S]]*2+DataTable[[#This Row],[Successful Hi. G. S.]]*10</f>
        <v>0</v>
      </c>
      <c r="H8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6">
        <f>IF(DataTable[[#This Row],[E. Game Compl.]]="Nothing",0,IF(DataTable[[#This Row],[E. Game Compl.]]="Challenging the Tower",5,IF(DataTable[[#This Row],[E. Game Compl.]]="Scaling the Tower",15,)))</f>
        <v>0</v>
      </c>
      <c r="J856">
        <f>Table2[[#This Row],[AUTO Pts]]+Table2[[#This Row],[Shooting Pts.]]+Table2[[#This Row],[Def. Points]]+Table2[[#This Row],[E. Game Pts.]]</f>
        <v>0</v>
      </c>
    </row>
    <row r="857" spans="1:10" x14ac:dyDescent="0.25">
      <c r="A857">
        <f>DataTable[[#This Row],[Tm.]]</f>
        <v>0</v>
      </c>
      <c r="B857">
        <f>DataTable[[#This Row],[Match Nr.]]</f>
        <v>0</v>
      </c>
      <c r="C8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7">
        <f>DataTable[[#This Row],[Successful Lo. G. S]]*2+DataTable[[#This Row],[Successful Hi. G. S.]]*10</f>
        <v>0</v>
      </c>
      <c r="H8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7">
        <f>IF(DataTable[[#This Row],[E. Game Compl.]]="Nothing",0,IF(DataTable[[#This Row],[E. Game Compl.]]="Challenging the Tower",5,IF(DataTable[[#This Row],[E. Game Compl.]]="Scaling the Tower",15,)))</f>
        <v>0</v>
      </c>
      <c r="J857">
        <f>Table2[[#This Row],[AUTO Pts]]+Table2[[#This Row],[Shooting Pts.]]+Table2[[#This Row],[Def. Points]]+Table2[[#This Row],[E. Game Pts.]]</f>
        <v>0</v>
      </c>
    </row>
    <row r="858" spans="1:10" x14ac:dyDescent="0.25">
      <c r="A858">
        <f>DataTable[[#This Row],[Tm.]]</f>
        <v>0</v>
      </c>
      <c r="B858">
        <f>DataTable[[#This Row],[Match Nr.]]</f>
        <v>0</v>
      </c>
      <c r="C8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8">
        <f>DataTable[[#This Row],[Successful Lo. G. S]]*2+DataTable[[#This Row],[Successful Hi. G. S.]]*10</f>
        <v>0</v>
      </c>
      <c r="H8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8">
        <f>IF(DataTable[[#This Row],[E. Game Compl.]]="Nothing",0,IF(DataTable[[#This Row],[E. Game Compl.]]="Challenging the Tower",5,IF(DataTable[[#This Row],[E. Game Compl.]]="Scaling the Tower",15,)))</f>
        <v>0</v>
      </c>
      <c r="J858">
        <f>Table2[[#This Row],[AUTO Pts]]+Table2[[#This Row],[Shooting Pts.]]+Table2[[#This Row],[Def. Points]]+Table2[[#This Row],[E. Game Pts.]]</f>
        <v>0</v>
      </c>
    </row>
    <row r="859" spans="1:10" x14ac:dyDescent="0.25">
      <c r="A859">
        <f>DataTable[[#This Row],[Tm.]]</f>
        <v>0</v>
      </c>
      <c r="B859">
        <f>DataTable[[#This Row],[Match Nr.]]</f>
        <v>0</v>
      </c>
      <c r="C8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9">
        <f>DataTable[[#This Row],[Successful Lo. G. S]]*2+DataTable[[#This Row],[Successful Hi. G. S.]]*10</f>
        <v>0</v>
      </c>
      <c r="H8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9">
        <f>IF(DataTable[[#This Row],[E. Game Compl.]]="Nothing",0,IF(DataTable[[#This Row],[E. Game Compl.]]="Challenging the Tower",5,IF(DataTable[[#This Row],[E. Game Compl.]]="Scaling the Tower",15,)))</f>
        <v>0</v>
      </c>
      <c r="J859">
        <f>Table2[[#This Row],[AUTO Pts]]+Table2[[#This Row],[Shooting Pts.]]+Table2[[#This Row],[Def. Points]]+Table2[[#This Row],[E. Game Pts.]]</f>
        <v>0</v>
      </c>
    </row>
    <row r="860" spans="1:10" x14ac:dyDescent="0.25">
      <c r="A860">
        <f>DataTable[[#This Row],[Tm.]]</f>
        <v>0</v>
      </c>
      <c r="B860">
        <f>DataTable[[#This Row],[Match Nr.]]</f>
        <v>0</v>
      </c>
      <c r="C8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0">
        <f>DataTable[[#This Row],[Successful Lo. G. S]]*2+DataTable[[#This Row],[Successful Hi. G. S.]]*10</f>
        <v>0</v>
      </c>
      <c r="H8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0">
        <f>IF(DataTable[[#This Row],[E. Game Compl.]]="Nothing",0,IF(DataTable[[#This Row],[E. Game Compl.]]="Challenging the Tower",5,IF(DataTable[[#This Row],[E. Game Compl.]]="Scaling the Tower",15,)))</f>
        <v>0</v>
      </c>
      <c r="J860">
        <f>Table2[[#This Row],[AUTO Pts]]+Table2[[#This Row],[Shooting Pts.]]+Table2[[#This Row],[Def. Points]]+Table2[[#This Row],[E. Game Pts.]]</f>
        <v>0</v>
      </c>
    </row>
    <row r="861" spans="1:10" x14ac:dyDescent="0.25">
      <c r="A861">
        <f>DataTable[[#This Row],[Tm.]]</f>
        <v>0</v>
      </c>
      <c r="B861">
        <f>DataTable[[#This Row],[Match Nr.]]</f>
        <v>0</v>
      </c>
      <c r="C8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1">
        <f>DataTable[[#This Row],[Successful Lo. G. S]]*2+DataTable[[#This Row],[Successful Hi. G. S.]]*10</f>
        <v>0</v>
      </c>
      <c r="H8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1">
        <f>IF(DataTable[[#This Row],[E. Game Compl.]]="Nothing",0,IF(DataTable[[#This Row],[E. Game Compl.]]="Challenging the Tower",5,IF(DataTable[[#This Row],[E. Game Compl.]]="Scaling the Tower",15,)))</f>
        <v>0</v>
      </c>
      <c r="J861">
        <f>Table2[[#This Row],[AUTO Pts]]+Table2[[#This Row],[Shooting Pts.]]+Table2[[#This Row],[Def. Points]]+Table2[[#This Row],[E. Game Pts.]]</f>
        <v>0</v>
      </c>
    </row>
    <row r="862" spans="1:10" x14ac:dyDescent="0.25">
      <c r="A862">
        <f>DataTable[[#This Row],[Tm.]]</f>
        <v>0</v>
      </c>
      <c r="B862">
        <f>DataTable[[#This Row],[Match Nr.]]</f>
        <v>0</v>
      </c>
      <c r="C8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2">
        <f>DataTable[[#This Row],[Successful Lo. G. S]]*2+DataTable[[#This Row],[Successful Hi. G. S.]]*10</f>
        <v>0</v>
      </c>
      <c r="H8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2">
        <f>IF(DataTable[[#This Row],[E. Game Compl.]]="Nothing",0,IF(DataTable[[#This Row],[E. Game Compl.]]="Challenging the Tower",5,IF(DataTable[[#This Row],[E. Game Compl.]]="Scaling the Tower",15,)))</f>
        <v>0</v>
      </c>
      <c r="J862">
        <f>Table2[[#This Row],[AUTO Pts]]+Table2[[#This Row],[Shooting Pts.]]+Table2[[#This Row],[Def. Points]]+Table2[[#This Row],[E. Game Pts.]]</f>
        <v>0</v>
      </c>
    </row>
    <row r="863" spans="1:10" x14ac:dyDescent="0.25">
      <c r="A863">
        <f>DataTable[[#This Row],[Tm.]]</f>
        <v>0</v>
      </c>
      <c r="B863">
        <f>DataTable[[#This Row],[Match Nr.]]</f>
        <v>0</v>
      </c>
      <c r="C8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3">
        <f>DataTable[[#This Row],[Successful Lo. G. S]]*2+DataTable[[#This Row],[Successful Hi. G. S.]]*10</f>
        <v>0</v>
      </c>
      <c r="H8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3">
        <f>IF(DataTable[[#This Row],[E. Game Compl.]]="Nothing",0,IF(DataTable[[#This Row],[E. Game Compl.]]="Challenging the Tower",5,IF(DataTable[[#This Row],[E. Game Compl.]]="Scaling the Tower",15,)))</f>
        <v>0</v>
      </c>
      <c r="J863">
        <f>Table2[[#This Row],[AUTO Pts]]+Table2[[#This Row],[Shooting Pts.]]+Table2[[#This Row],[Def. Points]]+Table2[[#This Row],[E. Game Pts.]]</f>
        <v>0</v>
      </c>
    </row>
    <row r="864" spans="1:10" x14ac:dyDescent="0.25">
      <c r="A864">
        <f>DataTable[[#This Row],[Tm.]]</f>
        <v>0</v>
      </c>
      <c r="B864">
        <f>DataTable[[#This Row],[Match Nr.]]</f>
        <v>0</v>
      </c>
      <c r="C8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4">
        <f>DataTable[[#This Row],[Successful Lo. G. S]]*2+DataTable[[#This Row],[Successful Hi. G. S.]]*10</f>
        <v>0</v>
      </c>
      <c r="H8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4">
        <f>IF(DataTable[[#This Row],[E. Game Compl.]]="Nothing",0,IF(DataTable[[#This Row],[E. Game Compl.]]="Challenging the Tower",5,IF(DataTable[[#This Row],[E. Game Compl.]]="Scaling the Tower",15,)))</f>
        <v>0</v>
      </c>
      <c r="J864">
        <f>Table2[[#This Row],[AUTO Pts]]+Table2[[#This Row],[Shooting Pts.]]+Table2[[#This Row],[Def. Points]]+Table2[[#This Row],[E. Game Pts.]]</f>
        <v>0</v>
      </c>
    </row>
    <row r="865" spans="1:10" x14ac:dyDescent="0.25">
      <c r="A865">
        <f>DataTable[[#This Row],[Tm.]]</f>
        <v>0</v>
      </c>
      <c r="B865">
        <f>DataTable[[#This Row],[Match Nr.]]</f>
        <v>0</v>
      </c>
      <c r="C8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5">
        <f>DataTable[[#This Row],[Successful Lo. G. S]]*2+DataTable[[#This Row],[Successful Hi. G. S.]]*10</f>
        <v>0</v>
      </c>
      <c r="H8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5">
        <f>IF(DataTable[[#This Row],[E. Game Compl.]]="Nothing",0,IF(DataTable[[#This Row],[E. Game Compl.]]="Challenging the Tower",5,IF(DataTable[[#This Row],[E. Game Compl.]]="Scaling the Tower",15,)))</f>
        <v>0</v>
      </c>
      <c r="J865">
        <f>Table2[[#This Row],[AUTO Pts]]+Table2[[#This Row],[Shooting Pts.]]+Table2[[#This Row],[Def. Points]]+Table2[[#This Row],[E. Game Pts.]]</f>
        <v>0</v>
      </c>
    </row>
    <row r="866" spans="1:10" x14ac:dyDescent="0.25">
      <c r="A866">
        <f>DataTable[[#This Row],[Tm.]]</f>
        <v>0</v>
      </c>
      <c r="B866">
        <f>DataTable[[#This Row],[Match Nr.]]</f>
        <v>0</v>
      </c>
      <c r="C8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6">
        <f>DataTable[[#This Row],[Successful Lo. G. S]]*2+DataTable[[#This Row],[Successful Hi. G. S.]]*10</f>
        <v>0</v>
      </c>
      <c r="H8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6">
        <f>IF(DataTable[[#This Row],[E. Game Compl.]]="Nothing",0,IF(DataTable[[#This Row],[E. Game Compl.]]="Challenging the Tower",5,IF(DataTable[[#This Row],[E. Game Compl.]]="Scaling the Tower",15,)))</f>
        <v>0</v>
      </c>
      <c r="J866">
        <f>Table2[[#This Row],[AUTO Pts]]+Table2[[#This Row],[Shooting Pts.]]+Table2[[#This Row],[Def. Points]]+Table2[[#This Row],[E. Game Pts.]]</f>
        <v>0</v>
      </c>
    </row>
    <row r="867" spans="1:10" x14ac:dyDescent="0.25">
      <c r="A867">
        <f>DataTable[[#This Row],[Tm.]]</f>
        <v>0</v>
      </c>
      <c r="B867">
        <f>DataTable[[#This Row],[Match Nr.]]</f>
        <v>0</v>
      </c>
      <c r="C8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7">
        <f>DataTable[[#This Row],[Successful Lo. G. S]]*2+DataTable[[#This Row],[Successful Hi. G. S.]]*10</f>
        <v>0</v>
      </c>
      <c r="H8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7">
        <f>IF(DataTable[[#This Row],[E. Game Compl.]]="Nothing",0,IF(DataTable[[#This Row],[E. Game Compl.]]="Challenging the Tower",5,IF(DataTable[[#This Row],[E. Game Compl.]]="Scaling the Tower",15,)))</f>
        <v>0</v>
      </c>
      <c r="J867">
        <f>Table2[[#This Row],[AUTO Pts]]+Table2[[#This Row],[Shooting Pts.]]+Table2[[#This Row],[Def. Points]]+Table2[[#This Row],[E. Game Pts.]]</f>
        <v>0</v>
      </c>
    </row>
    <row r="868" spans="1:10" x14ac:dyDescent="0.25">
      <c r="A868">
        <f>DataTable[[#This Row],[Tm.]]</f>
        <v>0</v>
      </c>
      <c r="B868">
        <f>DataTable[[#This Row],[Match Nr.]]</f>
        <v>0</v>
      </c>
      <c r="C8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8">
        <f>DataTable[[#This Row],[Successful Lo. G. S]]*2+DataTable[[#This Row],[Successful Hi. G. S.]]*10</f>
        <v>0</v>
      </c>
      <c r="H8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8">
        <f>IF(DataTable[[#This Row],[E. Game Compl.]]="Nothing",0,IF(DataTable[[#This Row],[E. Game Compl.]]="Challenging the Tower",5,IF(DataTable[[#This Row],[E. Game Compl.]]="Scaling the Tower",15,)))</f>
        <v>0</v>
      </c>
      <c r="J868">
        <f>Table2[[#This Row],[AUTO Pts]]+Table2[[#This Row],[Shooting Pts.]]+Table2[[#This Row],[Def. Points]]+Table2[[#This Row],[E. Game Pts.]]</f>
        <v>0</v>
      </c>
    </row>
    <row r="869" spans="1:10" x14ac:dyDescent="0.25">
      <c r="A869">
        <f>DataTable[[#This Row],[Tm.]]</f>
        <v>0</v>
      </c>
      <c r="B869">
        <f>DataTable[[#This Row],[Match Nr.]]</f>
        <v>0</v>
      </c>
      <c r="C8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9">
        <f>DataTable[[#This Row],[Successful Lo. G. S]]*2+DataTable[[#This Row],[Successful Hi. G. S.]]*10</f>
        <v>0</v>
      </c>
      <c r="H8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9">
        <f>IF(DataTable[[#This Row],[E. Game Compl.]]="Nothing",0,IF(DataTable[[#This Row],[E. Game Compl.]]="Challenging the Tower",5,IF(DataTable[[#This Row],[E. Game Compl.]]="Scaling the Tower",15,)))</f>
        <v>0</v>
      </c>
      <c r="J869">
        <f>Table2[[#This Row],[AUTO Pts]]+Table2[[#This Row],[Shooting Pts.]]+Table2[[#This Row],[Def. Points]]+Table2[[#This Row],[E. Game Pts.]]</f>
        <v>0</v>
      </c>
    </row>
    <row r="870" spans="1:10" x14ac:dyDescent="0.25">
      <c r="A870">
        <f>DataTable[[#This Row],[Tm.]]</f>
        <v>0</v>
      </c>
      <c r="B870">
        <f>DataTable[[#This Row],[Match Nr.]]</f>
        <v>0</v>
      </c>
      <c r="C8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0">
        <f>DataTable[[#This Row],[Successful Lo. G. S]]*2+DataTable[[#This Row],[Successful Hi. G. S.]]*10</f>
        <v>0</v>
      </c>
      <c r="H8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0">
        <f>IF(DataTable[[#This Row],[E. Game Compl.]]="Nothing",0,IF(DataTable[[#This Row],[E. Game Compl.]]="Challenging the Tower",5,IF(DataTable[[#This Row],[E. Game Compl.]]="Scaling the Tower",15,)))</f>
        <v>0</v>
      </c>
      <c r="J870">
        <f>Table2[[#This Row],[AUTO Pts]]+Table2[[#This Row],[Shooting Pts.]]+Table2[[#This Row],[Def. Points]]+Table2[[#This Row],[E. Game Pts.]]</f>
        <v>0</v>
      </c>
    </row>
    <row r="871" spans="1:10" x14ac:dyDescent="0.25">
      <c r="A871">
        <f>DataTable[[#This Row],[Tm.]]</f>
        <v>0</v>
      </c>
      <c r="B871">
        <f>DataTable[[#This Row],[Match Nr.]]</f>
        <v>0</v>
      </c>
      <c r="C8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1">
        <f>DataTable[[#This Row],[Successful Lo. G. S]]*2+DataTable[[#This Row],[Successful Hi. G. S.]]*10</f>
        <v>0</v>
      </c>
      <c r="H8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1">
        <f>IF(DataTable[[#This Row],[E. Game Compl.]]="Nothing",0,IF(DataTable[[#This Row],[E. Game Compl.]]="Challenging the Tower",5,IF(DataTable[[#This Row],[E. Game Compl.]]="Scaling the Tower",15,)))</f>
        <v>0</v>
      </c>
      <c r="J871">
        <f>Table2[[#This Row],[AUTO Pts]]+Table2[[#This Row],[Shooting Pts.]]+Table2[[#This Row],[Def. Points]]+Table2[[#This Row],[E. Game Pts.]]</f>
        <v>0</v>
      </c>
    </row>
    <row r="872" spans="1:10" x14ac:dyDescent="0.25">
      <c r="A872">
        <f>DataTable[[#This Row],[Tm.]]</f>
        <v>0</v>
      </c>
      <c r="B872">
        <f>DataTable[[#This Row],[Match Nr.]]</f>
        <v>0</v>
      </c>
      <c r="C8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2">
        <f>DataTable[[#This Row],[Successful Lo. G. S]]*2+DataTable[[#This Row],[Successful Hi. G. S.]]*10</f>
        <v>0</v>
      </c>
      <c r="H8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2">
        <f>IF(DataTable[[#This Row],[E. Game Compl.]]="Nothing",0,IF(DataTable[[#This Row],[E. Game Compl.]]="Challenging the Tower",5,IF(DataTable[[#This Row],[E. Game Compl.]]="Scaling the Tower",15,)))</f>
        <v>0</v>
      </c>
      <c r="J872">
        <f>Table2[[#This Row],[AUTO Pts]]+Table2[[#This Row],[Shooting Pts.]]+Table2[[#This Row],[Def. Points]]+Table2[[#This Row],[E. Game Pts.]]</f>
        <v>0</v>
      </c>
    </row>
    <row r="873" spans="1:10" x14ac:dyDescent="0.25">
      <c r="A873">
        <f>DataTable[[#This Row],[Tm.]]</f>
        <v>0</v>
      </c>
      <c r="B873">
        <f>DataTable[[#This Row],[Match Nr.]]</f>
        <v>0</v>
      </c>
      <c r="C8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3">
        <f>DataTable[[#This Row],[Successful Lo. G. S]]*2+DataTable[[#This Row],[Successful Hi. G. S.]]*10</f>
        <v>0</v>
      </c>
      <c r="H8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3">
        <f>IF(DataTable[[#This Row],[E. Game Compl.]]="Nothing",0,IF(DataTable[[#This Row],[E. Game Compl.]]="Challenging the Tower",5,IF(DataTable[[#This Row],[E. Game Compl.]]="Scaling the Tower",15,)))</f>
        <v>0</v>
      </c>
      <c r="J873">
        <f>Table2[[#This Row],[AUTO Pts]]+Table2[[#This Row],[Shooting Pts.]]+Table2[[#This Row],[Def. Points]]+Table2[[#This Row],[E. Game Pts.]]</f>
        <v>0</v>
      </c>
    </row>
    <row r="874" spans="1:10" x14ac:dyDescent="0.25">
      <c r="A874">
        <f>DataTable[[#This Row],[Tm.]]</f>
        <v>0</v>
      </c>
      <c r="B874">
        <f>DataTable[[#This Row],[Match Nr.]]</f>
        <v>0</v>
      </c>
      <c r="C8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4">
        <f>DataTable[[#This Row],[Successful Lo. G. S]]*2+DataTable[[#This Row],[Successful Hi. G. S.]]*10</f>
        <v>0</v>
      </c>
      <c r="H8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4">
        <f>IF(DataTable[[#This Row],[E. Game Compl.]]="Nothing",0,IF(DataTable[[#This Row],[E. Game Compl.]]="Challenging the Tower",5,IF(DataTable[[#This Row],[E. Game Compl.]]="Scaling the Tower",15,)))</f>
        <v>0</v>
      </c>
      <c r="J874">
        <f>Table2[[#This Row],[AUTO Pts]]+Table2[[#This Row],[Shooting Pts.]]+Table2[[#This Row],[Def. Points]]+Table2[[#This Row],[E. Game Pts.]]</f>
        <v>0</v>
      </c>
    </row>
    <row r="875" spans="1:10" x14ac:dyDescent="0.25">
      <c r="A875">
        <f>DataTable[[#This Row],[Tm.]]</f>
        <v>0</v>
      </c>
      <c r="B875">
        <f>DataTable[[#This Row],[Match Nr.]]</f>
        <v>0</v>
      </c>
      <c r="C8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5">
        <f>DataTable[[#This Row],[Successful Lo. G. S]]*2+DataTable[[#This Row],[Successful Hi. G. S.]]*10</f>
        <v>0</v>
      </c>
      <c r="H8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5">
        <f>IF(DataTable[[#This Row],[E. Game Compl.]]="Nothing",0,IF(DataTable[[#This Row],[E. Game Compl.]]="Challenging the Tower",5,IF(DataTable[[#This Row],[E. Game Compl.]]="Scaling the Tower",15,)))</f>
        <v>0</v>
      </c>
      <c r="J875">
        <f>Table2[[#This Row],[AUTO Pts]]+Table2[[#This Row],[Shooting Pts.]]+Table2[[#This Row],[Def. Points]]+Table2[[#This Row],[E. Game Pts.]]</f>
        <v>0</v>
      </c>
    </row>
    <row r="876" spans="1:10" x14ac:dyDescent="0.25">
      <c r="A876">
        <f>DataTable[[#This Row],[Tm.]]</f>
        <v>0</v>
      </c>
      <c r="B876">
        <f>DataTable[[#This Row],[Match Nr.]]</f>
        <v>0</v>
      </c>
      <c r="C8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6">
        <f>DataTable[[#This Row],[Successful Lo. G. S]]*2+DataTable[[#This Row],[Successful Hi. G. S.]]*10</f>
        <v>0</v>
      </c>
      <c r="H8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6">
        <f>IF(DataTable[[#This Row],[E. Game Compl.]]="Nothing",0,IF(DataTable[[#This Row],[E. Game Compl.]]="Challenging the Tower",5,IF(DataTable[[#This Row],[E. Game Compl.]]="Scaling the Tower",15,)))</f>
        <v>0</v>
      </c>
      <c r="J876">
        <f>Table2[[#This Row],[AUTO Pts]]+Table2[[#This Row],[Shooting Pts.]]+Table2[[#This Row],[Def. Points]]+Table2[[#This Row],[E. Game Pts.]]</f>
        <v>0</v>
      </c>
    </row>
    <row r="877" spans="1:10" x14ac:dyDescent="0.25">
      <c r="A877">
        <f>DataTable[[#This Row],[Tm.]]</f>
        <v>0</v>
      </c>
      <c r="B877">
        <f>DataTable[[#This Row],[Match Nr.]]</f>
        <v>0</v>
      </c>
      <c r="C8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7">
        <f>DataTable[[#This Row],[Successful Lo. G. S]]*2+DataTable[[#This Row],[Successful Hi. G. S.]]*10</f>
        <v>0</v>
      </c>
      <c r="H8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7">
        <f>IF(DataTable[[#This Row],[E. Game Compl.]]="Nothing",0,IF(DataTable[[#This Row],[E. Game Compl.]]="Challenging the Tower",5,IF(DataTable[[#This Row],[E. Game Compl.]]="Scaling the Tower",15,)))</f>
        <v>0</v>
      </c>
      <c r="J877">
        <f>Table2[[#This Row],[AUTO Pts]]+Table2[[#This Row],[Shooting Pts.]]+Table2[[#This Row],[Def. Points]]+Table2[[#This Row],[E. Game Pts.]]</f>
        <v>0</v>
      </c>
    </row>
    <row r="878" spans="1:10" x14ac:dyDescent="0.25">
      <c r="A878">
        <f>DataTable[[#This Row],[Tm.]]</f>
        <v>0</v>
      </c>
      <c r="B878">
        <f>DataTable[[#This Row],[Match Nr.]]</f>
        <v>0</v>
      </c>
      <c r="C8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8">
        <f>DataTable[[#This Row],[Successful Lo. G. S]]*2+DataTable[[#This Row],[Successful Hi. G. S.]]*10</f>
        <v>0</v>
      </c>
      <c r="H8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8">
        <f>IF(DataTable[[#This Row],[E. Game Compl.]]="Nothing",0,IF(DataTable[[#This Row],[E. Game Compl.]]="Challenging the Tower",5,IF(DataTable[[#This Row],[E. Game Compl.]]="Scaling the Tower",15,)))</f>
        <v>0</v>
      </c>
      <c r="J878">
        <f>Table2[[#This Row],[AUTO Pts]]+Table2[[#This Row],[Shooting Pts.]]+Table2[[#This Row],[Def. Points]]+Table2[[#This Row],[E. Game Pts.]]</f>
        <v>0</v>
      </c>
    </row>
    <row r="879" spans="1:10" x14ac:dyDescent="0.25">
      <c r="A879">
        <f>DataTable[[#This Row],[Tm.]]</f>
        <v>0</v>
      </c>
      <c r="B879">
        <f>DataTable[[#This Row],[Match Nr.]]</f>
        <v>0</v>
      </c>
      <c r="C8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9">
        <f>DataTable[[#This Row],[Successful Lo. G. S]]*2+DataTable[[#This Row],[Successful Hi. G. S.]]*10</f>
        <v>0</v>
      </c>
      <c r="H8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9">
        <f>IF(DataTable[[#This Row],[E. Game Compl.]]="Nothing",0,IF(DataTable[[#This Row],[E. Game Compl.]]="Challenging the Tower",5,IF(DataTable[[#This Row],[E. Game Compl.]]="Scaling the Tower",15,)))</f>
        <v>0</v>
      </c>
      <c r="J879">
        <f>Table2[[#This Row],[AUTO Pts]]+Table2[[#This Row],[Shooting Pts.]]+Table2[[#This Row],[Def. Points]]+Table2[[#This Row],[E. Game Pts.]]</f>
        <v>0</v>
      </c>
    </row>
    <row r="880" spans="1:10" x14ac:dyDescent="0.25">
      <c r="A880">
        <f>DataTable[[#This Row],[Tm.]]</f>
        <v>0</v>
      </c>
      <c r="B880">
        <f>DataTable[[#This Row],[Match Nr.]]</f>
        <v>0</v>
      </c>
      <c r="C8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0">
        <f>DataTable[[#This Row],[Successful Lo. G. S]]*2+DataTable[[#This Row],[Successful Hi. G. S.]]*10</f>
        <v>0</v>
      </c>
      <c r="H8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0">
        <f>IF(DataTable[[#This Row],[E. Game Compl.]]="Nothing",0,IF(DataTable[[#This Row],[E. Game Compl.]]="Challenging the Tower",5,IF(DataTable[[#This Row],[E. Game Compl.]]="Scaling the Tower",15,)))</f>
        <v>0</v>
      </c>
      <c r="J880">
        <f>Table2[[#This Row],[AUTO Pts]]+Table2[[#This Row],[Shooting Pts.]]+Table2[[#This Row],[Def. Points]]+Table2[[#This Row],[E. Game Pts.]]</f>
        <v>0</v>
      </c>
    </row>
    <row r="881" spans="1:10" x14ac:dyDescent="0.25">
      <c r="A881">
        <f>DataTable[[#This Row],[Tm.]]</f>
        <v>0</v>
      </c>
      <c r="B881">
        <f>DataTable[[#This Row],[Match Nr.]]</f>
        <v>0</v>
      </c>
      <c r="C8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1">
        <f>DataTable[[#This Row],[Successful Lo. G. S]]*2+DataTable[[#This Row],[Successful Hi. G. S.]]*10</f>
        <v>0</v>
      </c>
      <c r="H8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1">
        <f>IF(DataTable[[#This Row],[E. Game Compl.]]="Nothing",0,IF(DataTable[[#This Row],[E. Game Compl.]]="Challenging the Tower",5,IF(DataTable[[#This Row],[E. Game Compl.]]="Scaling the Tower",15,)))</f>
        <v>0</v>
      </c>
      <c r="J881">
        <f>Table2[[#This Row],[AUTO Pts]]+Table2[[#This Row],[Shooting Pts.]]+Table2[[#This Row],[Def. Points]]+Table2[[#This Row],[E. Game Pts.]]</f>
        <v>0</v>
      </c>
    </row>
    <row r="882" spans="1:10" x14ac:dyDescent="0.25">
      <c r="A882">
        <f>DataTable[[#This Row],[Tm.]]</f>
        <v>0</v>
      </c>
      <c r="B882">
        <f>DataTable[[#This Row],[Match Nr.]]</f>
        <v>0</v>
      </c>
      <c r="C8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2">
        <f>DataTable[[#This Row],[Successful Lo. G. S]]*2+DataTable[[#This Row],[Successful Hi. G. S.]]*10</f>
        <v>0</v>
      </c>
      <c r="H8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2">
        <f>IF(DataTable[[#This Row],[E. Game Compl.]]="Nothing",0,IF(DataTable[[#This Row],[E. Game Compl.]]="Challenging the Tower",5,IF(DataTable[[#This Row],[E. Game Compl.]]="Scaling the Tower",15,)))</f>
        <v>0</v>
      </c>
      <c r="J882">
        <f>Table2[[#This Row],[AUTO Pts]]+Table2[[#This Row],[Shooting Pts.]]+Table2[[#This Row],[Def. Points]]+Table2[[#This Row],[E. Game Pts.]]</f>
        <v>0</v>
      </c>
    </row>
    <row r="883" spans="1:10" x14ac:dyDescent="0.25">
      <c r="A883">
        <f>DataTable[[#This Row],[Tm.]]</f>
        <v>0</v>
      </c>
      <c r="B883">
        <f>DataTable[[#This Row],[Match Nr.]]</f>
        <v>0</v>
      </c>
      <c r="C8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3">
        <f>DataTable[[#This Row],[Successful Lo. G. S]]*2+DataTable[[#This Row],[Successful Hi. G. S.]]*10</f>
        <v>0</v>
      </c>
      <c r="H8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3">
        <f>IF(DataTable[[#This Row],[E. Game Compl.]]="Nothing",0,IF(DataTable[[#This Row],[E. Game Compl.]]="Challenging the Tower",5,IF(DataTable[[#This Row],[E. Game Compl.]]="Scaling the Tower",15,)))</f>
        <v>0</v>
      </c>
      <c r="J883">
        <f>Table2[[#This Row],[AUTO Pts]]+Table2[[#This Row],[Shooting Pts.]]+Table2[[#This Row],[Def. Points]]+Table2[[#This Row],[E. Game Pts.]]</f>
        <v>0</v>
      </c>
    </row>
    <row r="884" spans="1:10" x14ac:dyDescent="0.25">
      <c r="A884">
        <f>DataTable[[#This Row],[Tm.]]</f>
        <v>0</v>
      </c>
      <c r="B884">
        <f>DataTable[[#This Row],[Match Nr.]]</f>
        <v>0</v>
      </c>
      <c r="C8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4">
        <f>DataTable[[#This Row],[Successful Lo. G. S]]*2+DataTable[[#This Row],[Successful Hi. G. S.]]*10</f>
        <v>0</v>
      </c>
      <c r="H8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4">
        <f>IF(DataTable[[#This Row],[E. Game Compl.]]="Nothing",0,IF(DataTable[[#This Row],[E. Game Compl.]]="Challenging the Tower",5,IF(DataTable[[#This Row],[E. Game Compl.]]="Scaling the Tower",15,)))</f>
        <v>0</v>
      </c>
      <c r="J884">
        <f>Table2[[#This Row],[AUTO Pts]]+Table2[[#This Row],[Shooting Pts.]]+Table2[[#This Row],[Def. Points]]+Table2[[#This Row],[E. Game Pts.]]</f>
        <v>0</v>
      </c>
    </row>
    <row r="885" spans="1:10" x14ac:dyDescent="0.25">
      <c r="A885">
        <f>DataTable[[#This Row],[Tm.]]</f>
        <v>0</v>
      </c>
      <c r="B885">
        <f>DataTable[[#This Row],[Match Nr.]]</f>
        <v>0</v>
      </c>
      <c r="C8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5">
        <f>DataTable[[#This Row],[Successful Lo. G. S]]*2+DataTable[[#This Row],[Successful Hi. G. S.]]*10</f>
        <v>0</v>
      </c>
      <c r="H8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5">
        <f>IF(DataTable[[#This Row],[E. Game Compl.]]="Nothing",0,IF(DataTable[[#This Row],[E. Game Compl.]]="Challenging the Tower",5,IF(DataTable[[#This Row],[E. Game Compl.]]="Scaling the Tower",15,)))</f>
        <v>0</v>
      </c>
      <c r="J885">
        <f>Table2[[#This Row],[AUTO Pts]]+Table2[[#This Row],[Shooting Pts.]]+Table2[[#This Row],[Def. Points]]+Table2[[#This Row],[E. Game Pts.]]</f>
        <v>0</v>
      </c>
    </row>
    <row r="886" spans="1:10" x14ac:dyDescent="0.25">
      <c r="A886">
        <f>DataTable[[#This Row],[Tm.]]</f>
        <v>0</v>
      </c>
      <c r="B886">
        <f>DataTable[[#This Row],[Match Nr.]]</f>
        <v>0</v>
      </c>
      <c r="C8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6">
        <f>DataTable[[#This Row],[Successful Lo. G. S]]*2+DataTable[[#This Row],[Successful Hi. G. S.]]*10</f>
        <v>0</v>
      </c>
      <c r="H8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6">
        <f>IF(DataTable[[#This Row],[E. Game Compl.]]="Nothing",0,IF(DataTable[[#This Row],[E. Game Compl.]]="Challenging the Tower",5,IF(DataTable[[#This Row],[E. Game Compl.]]="Scaling the Tower",15,)))</f>
        <v>0</v>
      </c>
      <c r="J886">
        <f>Table2[[#This Row],[AUTO Pts]]+Table2[[#This Row],[Shooting Pts.]]+Table2[[#This Row],[Def. Points]]+Table2[[#This Row],[E. Game Pts.]]</f>
        <v>0</v>
      </c>
    </row>
    <row r="887" spans="1:10" x14ac:dyDescent="0.25">
      <c r="A887">
        <f>DataTable[[#This Row],[Tm.]]</f>
        <v>0</v>
      </c>
      <c r="B887">
        <f>DataTable[[#This Row],[Match Nr.]]</f>
        <v>0</v>
      </c>
      <c r="C8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7">
        <f>DataTable[[#This Row],[Successful Lo. G. S]]*2+DataTable[[#This Row],[Successful Hi. G. S.]]*10</f>
        <v>0</v>
      </c>
      <c r="H8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7">
        <f>IF(DataTable[[#This Row],[E. Game Compl.]]="Nothing",0,IF(DataTable[[#This Row],[E. Game Compl.]]="Challenging the Tower",5,IF(DataTable[[#This Row],[E. Game Compl.]]="Scaling the Tower",15,)))</f>
        <v>0</v>
      </c>
      <c r="J887">
        <f>Table2[[#This Row],[AUTO Pts]]+Table2[[#This Row],[Shooting Pts.]]+Table2[[#This Row],[Def. Points]]+Table2[[#This Row],[E. Game Pts.]]</f>
        <v>0</v>
      </c>
    </row>
    <row r="888" spans="1:10" x14ac:dyDescent="0.25">
      <c r="A888">
        <f>DataTable[[#This Row],[Tm.]]</f>
        <v>0</v>
      </c>
      <c r="B888">
        <f>DataTable[[#This Row],[Match Nr.]]</f>
        <v>0</v>
      </c>
      <c r="C8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8">
        <f>DataTable[[#This Row],[Successful Lo. G. S]]*2+DataTable[[#This Row],[Successful Hi. G. S.]]*10</f>
        <v>0</v>
      </c>
      <c r="H8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8">
        <f>IF(DataTable[[#This Row],[E. Game Compl.]]="Nothing",0,IF(DataTable[[#This Row],[E. Game Compl.]]="Challenging the Tower",5,IF(DataTable[[#This Row],[E. Game Compl.]]="Scaling the Tower",15,)))</f>
        <v>0</v>
      </c>
      <c r="J888">
        <f>Table2[[#This Row],[AUTO Pts]]+Table2[[#This Row],[Shooting Pts.]]+Table2[[#This Row],[Def. Points]]+Table2[[#This Row],[E. Game Pts.]]</f>
        <v>0</v>
      </c>
    </row>
    <row r="889" spans="1:10" x14ac:dyDescent="0.25">
      <c r="A889">
        <f>DataTable[[#This Row],[Tm.]]</f>
        <v>0</v>
      </c>
      <c r="B889">
        <f>DataTable[[#This Row],[Match Nr.]]</f>
        <v>0</v>
      </c>
      <c r="C8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9">
        <f>DataTable[[#This Row],[Successful Lo. G. S]]*2+DataTable[[#This Row],[Successful Hi. G. S.]]*10</f>
        <v>0</v>
      </c>
      <c r="H8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9">
        <f>IF(DataTable[[#This Row],[E. Game Compl.]]="Nothing",0,IF(DataTable[[#This Row],[E. Game Compl.]]="Challenging the Tower",5,IF(DataTable[[#This Row],[E. Game Compl.]]="Scaling the Tower",15,)))</f>
        <v>0</v>
      </c>
      <c r="J889">
        <f>Table2[[#This Row],[AUTO Pts]]+Table2[[#This Row],[Shooting Pts.]]+Table2[[#This Row],[Def. Points]]+Table2[[#This Row],[E. Game Pts.]]</f>
        <v>0</v>
      </c>
    </row>
    <row r="890" spans="1:10" x14ac:dyDescent="0.25">
      <c r="A890">
        <f>DataTable[[#This Row],[Tm.]]</f>
        <v>0</v>
      </c>
      <c r="B890">
        <f>DataTable[[#This Row],[Match Nr.]]</f>
        <v>0</v>
      </c>
      <c r="C8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0">
        <f>DataTable[[#This Row],[Successful Lo. G. S]]*2+DataTable[[#This Row],[Successful Hi. G. S.]]*10</f>
        <v>0</v>
      </c>
      <c r="H8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0">
        <f>IF(DataTable[[#This Row],[E. Game Compl.]]="Nothing",0,IF(DataTable[[#This Row],[E. Game Compl.]]="Challenging the Tower",5,IF(DataTable[[#This Row],[E. Game Compl.]]="Scaling the Tower",15,)))</f>
        <v>0</v>
      </c>
      <c r="J890">
        <f>Table2[[#This Row],[AUTO Pts]]+Table2[[#This Row],[Shooting Pts.]]+Table2[[#This Row],[Def. Points]]+Table2[[#This Row],[E. Game Pts.]]</f>
        <v>0</v>
      </c>
    </row>
    <row r="891" spans="1:10" x14ac:dyDescent="0.25">
      <c r="A891">
        <f>DataTable[[#This Row],[Tm.]]</f>
        <v>0</v>
      </c>
      <c r="B891">
        <f>DataTable[[#This Row],[Match Nr.]]</f>
        <v>0</v>
      </c>
      <c r="C8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1">
        <f>DataTable[[#This Row],[Successful Lo. G. S]]*2+DataTable[[#This Row],[Successful Hi. G. S.]]*10</f>
        <v>0</v>
      </c>
      <c r="H8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1">
        <f>IF(DataTable[[#This Row],[E. Game Compl.]]="Nothing",0,IF(DataTable[[#This Row],[E. Game Compl.]]="Challenging the Tower",5,IF(DataTable[[#This Row],[E. Game Compl.]]="Scaling the Tower",15,)))</f>
        <v>0</v>
      </c>
      <c r="J891">
        <f>Table2[[#This Row],[AUTO Pts]]+Table2[[#This Row],[Shooting Pts.]]+Table2[[#This Row],[Def. Points]]+Table2[[#This Row],[E. Game Pts.]]</f>
        <v>0</v>
      </c>
    </row>
    <row r="892" spans="1:10" x14ac:dyDescent="0.25">
      <c r="A892">
        <f>DataTable[[#This Row],[Tm.]]</f>
        <v>0</v>
      </c>
      <c r="B892">
        <f>DataTable[[#This Row],[Match Nr.]]</f>
        <v>0</v>
      </c>
      <c r="C8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2">
        <f>DataTable[[#This Row],[Successful Lo. G. S]]*2+DataTable[[#This Row],[Successful Hi. G. S.]]*10</f>
        <v>0</v>
      </c>
      <c r="H8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2">
        <f>IF(DataTable[[#This Row],[E. Game Compl.]]="Nothing",0,IF(DataTable[[#This Row],[E. Game Compl.]]="Challenging the Tower",5,IF(DataTable[[#This Row],[E. Game Compl.]]="Scaling the Tower",15,)))</f>
        <v>0</v>
      </c>
      <c r="J892">
        <f>Table2[[#This Row],[AUTO Pts]]+Table2[[#This Row],[Shooting Pts.]]+Table2[[#This Row],[Def. Points]]+Table2[[#This Row],[E. Game Pts.]]</f>
        <v>0</v>
      </c>
    </row>
    <row r="893" spans="1:10" x14ac:dyDescent="0.25">
      <c r="A893">
        <f>DataTable[[#This Row],[Tm.]]</f>
        <v>0</v>
      </c>
      <c r="B893">
        <f>DataTable[[#This Row],[Match Nr.]]</f>
        <v>0</v>
      </c>
      <c r="C8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3">
        <f>DataTable[[#This Row],[Successful Lo. G. S]]*2+DataTable[[#This Row],[Successful Hi. G. S.]]*10</f>
        <v>0</v>
      </c>
      <c r="H8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3">
        <f>IF(DataTable[[#This Row],[E. Game Compl.]]="Nothing",0,IF(DataTable[[#This Row],[E. Game Compl.]]="Challenging the Tower",5,IF(DataTable[[#This Row],[E. Game Compl.]]="Scaling the Tower",15,)))</f>
        <v>0</v>
      </c>
      <c r="J893">
        <f>Table2[[#This Row],[AUTO Pts]]+Table2[[#This Row],[Shooting Pts.]]+Table2[[#This Row],[Def. Points]]+Table2[[#This Row],[E. Game Pts.]]</f>
        <v>0</v>
      </c>
    </row>
    <row r="894" spans="1:10" x14ac:dyDescent="0.25">
      <c r="A894">
        <f>DataTable[[#This Row],[Tm.]]</f>
        <v>0</v>
      </c>
      <c r="B894">
        <f>DataTable[[#This Row],[Match Nr.]]</f>
        <v>0</v>
      </c>
      <c r="C8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4">
        <f>DataTable[[#This Row],[Successful Lo. G. S]]*2+DataTable[[#This Row],[Successful Hi. G. S.]]*10</f>
        <v>0</v>
      </c>
      <c r="H8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4">
        <f>IF(DataTable[[#This Row],[E. Game Compl.]]="Nothing",0,IF(DataTable[[#This Row],[E. Game Compl.]]="Challenging the Tower",5,IF(DataTable[[#This Row],[E. Game Compl.]]="Scaling the Tower",15,)))</f>
        <v>0</v>
      </c>
      <c r="J894">
        <f>Table2[[#This Row],[AUTO Pts]]+Table2[[#This Row],[Shooting Pts.]]+Table2[[#This Row],[Def. Points]]+Table2[[#This Row],[E. Game Pts.]]</f>
        <v>0</v>
      </c>
    </row>
    <row r="895" spans="1:10" x14ac:dyDescent="0.25">
      <c r="A895">
        <f>DataTable[[#This Row],[Tm.]]</f>
        <v>0</v>
      </c>
      <c r="B895">
        <f>DataTable[[#This Row],[Match Nr.]]</f>
        <v>0</v>
      </c>
      <c r="C8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5">
        <f>DataTable[[#This Row],[Successful Lo. G. S]]*2+DataTable[[#This Row],[Successful Hi. G. S.]]*10</f>
        <v>0</v>
      </c>
      <c r="H8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5">
        <f>IF(DataTable[[#This Row],[E. Game Compl.]]="Nothing",0,IF(DataTable[[#This Row],[E. Game Compl.]]="Challenging the Tower",5,IF(DataTable[[#This Row],[E. Game Compl.]]="Scaling the Tower",15,)))</f>
        <v>0</v>
      </c>
      <c r="J895">
        <f>Table2[[#This Row],[AUTO Pts]]+Table2[[#This Row],[Shooting Pts.]]+Table2[[#This Row],[Def. Points]]+Table2[[#This Row],[E. Game Pts.]]</f>
        <v>0</v>
      </c>
    </row>
    <row r="896" spans="1:10" x14ac:dyDescent="0.25">
      <c r="A896">
        <f>DataTable[[#This Row],[Tm.]]</f>
        <v>0</v>
      </c>
      <c r="B896">
        <f>DataTable[[#This Row],[Match Nr.]]</f>
        <v>0</v>
      </c>
      <c r="C8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6">
        <f>DataTable[[#This Row],[Successful Lo. G. S]]*2+DataTable[[#This Row],[Successful Hi. G. S.]]*10</f>
        <v>0</v>
      </c>
      <c r="H8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6">
        <f>IF(DataTable[[#This Row],[E. Game Compl.]]="Nothing",0,IF(DataTable[[#This Row],[E. Game Compl.]]="Challenging the Tower",5,IF(DataTable[[#This Row],[E. Game Compl.]]="Scaling the Tower",15,)))</f>
        <v>0</v>
      </c>
      <c r="J896">
        <f>Table2[[#This Row],[AUTO Pts]]+Table2[[#This Row],[Shooting Pts.]]+Table2[[#This Row],[Def. Points]]+Table2[[#This Row],[E. Game Pts.]]</f>
        <v>0</v>
      </c>
    </row>
    <row r="897" spans="1:10" x14ac:dyDescent="0.25">
      <c r="A897">
        <f>DataTable[[#This Row],[Tm.]]</f>
        <v>0</v>
      </c>
      <c r="B897">
        <f>DataTable[[#This Row],[Match Nr.]]</f>
        <v>0</v>
      </c>
      <c r="C8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7">
        <f>DataTable[[#This Row],[Successful Lo. G. S]]*2+DataTable[[#This Row],[Successful Hi. G. S.]]*10</f>
        <v>0</v>
      </c>
      <c r="H8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7">
        <f>IF(DataTable[[#This Row],[E. Game Compl.]]="Nothing",0,IF(DataTable[[#This Row],[E. Game Compl.]]="Challenging the Tower",5,IF(DataTable[[#This Row],[E. Game Compl.]]="Scaling the Tower",15,)))</f>
        <v>0</v>
      </c>
      <c r="J897">
        <f>Table2[[#This Row],[AUTO Pts]]+Table2[[#This Row],[Shooting Pts.]]+Table2[[#This Row],[Def. Points]]+Table2[[#This Row],[E. Game Pts.]]</f>
        <v>0</v>
      </c>
    </row>
    <row r="898" spans="1:10" x14ac:dyDescent="0.25">
      <c r="A898">
        <f>DataTable[[#This Row],[Tm.]]</f>
        <v>0</v>
      </c>
      <c r="B898">
        <f>DataTable[[#This Row],[Match Nr.]]</f>
        <v>0</v>
      </c>
      <c r="C8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8">
        <f>DataTable[[#This Row],[Successful Lo. G. S]]*2+DataTable[[#This Row],[Successful Hi. G. S.]]*10</f>
        <v>0</v>
      </c>
      <c r="H8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8">
        <f>IF(DataTable[[#This Row],[E. Game Compl.]]="Nothing",0,IF(DataTable[[#This Row],[E. Game Compl.]]="Challenging the Tower",5,IF(DataTable[[#This Row],[E. Game Compl.]]="Scaling the Tower",15,)))</f>
        <v>0</v>
      </c>
      <c r="J898">
        <f>Table2[[#This Row],[AUTO Pts]]+Table2[[#This Row],[Shooting Pts.]]+Table2[[#This Row],[Def. Points]]+Table2[[#This Row],[E. Game Pts.]]</f>
        <v>0</v>
      </c>
    </row>
    <row r="899" spans="1:10" x14ac:dyDescent="0.25">
      <c r="A899">
        <f>DataTable[[#This Row],[Tm.]]</f>
        <v>0</v>
      </c>
      <c r="B899">
        <f>DataTable[[#This Row],[Match Nr.]]</f>
        <v>0</v>
      </c>
      <c r="C8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9">
        <f>DataTable[[#This Row],[Successful Lo. G. S]]*2+DataTable[[#This Row],[Successful Hi. G. S.]]*10</f>
        <v>0</v>
      </c>
      <c r="H8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9">
        <f>IF(DataTable[[#This Row],[E. Game Compl.]]="Nothing",0,IF(DataTable[[#This Row],[E. Game Compl.]]="Challenging the Tower",5,IF(DataTable[[#This Row],[E. Game Compl.]]="Scaling the Tower",15,)))</f>
        <v>0</v>
      </c>
      <c r="J899">
        <f>Table2[[#This Row],[AUTO Pts]]+Table2[[#This Row],[Shooting Pts.]]+Table2[[#This Row],[Def. Points]]+Table2[[#This Row],[E. Game Pts.]]</f>
        <v>0</v>
      </c>
    </row>
    <row r="900" spans="1:10" x14ac:dyDescent="0.25">
      <c r="A900">
        <f>DataTable[[#This Row],[Tm.]]</f>
        <v>0</v>
      </c>
      <c r="B900">
        <f>DataTable[[#This Row],[Match Nr.]]</f>
        <v>0</v>
      </c>
      <c r="C9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0">
        <f>DataTable[[#This Row],[Successful Lo. G. S]]*2+DataTable[[#This Row],[Successful Hi. G. S.]]*10</f>
        <v>0</v>
      </c>
      <c r="H9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0">
        <f>IF(DataTable[[#This Row],[E. Game Compl.]]="Nothing",0,IF(DataTable[[#This Row],[E. Game Compl.]]="Challenging the Tower",5,IF(DataTable[[#This Row],[E. Game Compl.]]="Scaling the Tower",15,)))</f>
        <v>0</v>
      </c>
      <c r="J900">
        <f>Table2[[#This Row],[AUTO Pts]]+Table2[[#This Row],[Shooting Pts.]]+Table2[[#This Row],[Def. Points]]+Table2[[#This Row],[E. Game Pts.]]</f>
        <v>0</v>
      </c>
    </row>
    <row r="901" spans="1:10" x14ac:dyDescent="0.25">
      <c r="A901">
        <f>DataTable[[#This Row],[Tm.]]</f>
        <v>0</v>
      </c>
      <c r="B901">
        <f>DataTable[[#This Row],[Match Nr.]]</f>
        <v>0</v>
      </c>
      <c r="C9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1">
        <f>DataTable[[#This Row],[Successful Lo. G. S]]*2+DataTable[[#This Row],[Successful Hi. G. S.]]*10</f>
        <v>0</v>
      </c>
      <c r="H9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1">
        <f>IF(DataTable[[#This Row],[E. Game Compl.]]="Nothing",0,IF(DataTable[[#This Row],[E. Game Compl.]]="Challenging the Tower",5,IF(DataTable[[#This Row],[E. Game Compl.]]="Scaling the Tower",15,)))</f>
        <v>0</v>
      </c>
      <c r="J901">
        <f>Table2[[#This Row],[AUTO Pts]]+Table2[[#This Row],[Shooting Pts.]]+Table2[[#This Row],[Def. Points]]+Table2[[#This Row],[E. Game Pts.]]</f>
        <v>0</v>
      </c>
    </row>
    <row r="902" spans="1:10" x14ac:dyDescent="0.25">
      <c r="A902">
        <f>DataTable[[#This Row],[Tm.]]</f>
        <v>0</v>
      </c>
      <c r="B902">
        <f>DataTable[[#This Row],[Match Nr.]]</f>
        <v>0</v>
      </c>
      <c r="C9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2">
        <f>DataTable[[#This Row],[Successful Lo. G. S]]*2+DataTable[[#This Row],[Successful Hi. G. S.]]*10</f>
        <v>0</v>
      </c>
      <c r="H9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2">
        <f>IF(DataTable[[#This Row],[E. Game Compl.]]="Nothing",0,IF(DataTable[[#This Row],[E. Game Compl.]]="Challenging the Tower",5,IF(DataTable[[#This Row],[E. Game Compl.]]="Scaling the Tower",15,)))</f>
        <v>0</v>
      </c>
      <c r="J902">
        <f>Table2[[#This Row],[AUTO Pts]]+Table2[[#This Row],[Shooting Pts.]]+Table2[[#This Row],[Def. Points]]+Table2[[#This Row],[E. Game Pts.]]</f>
        <v>0</v>
      </c>
    </row>
    <row r="903" spans="1:10" x14ac:dyDescent="0.25">
      <c r="A903">
        <f>DataTable[[#This Row],[Tm.]]</f>
        <v>0</v>
      </c>
      <c r="B903">
        <f>DataTable[[#This Row],[Match Nr.]]</f>
        <v>0</v>
      </c>
      <c r="C9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3">
        <f>DataTable[[#This Row],[Successful Lo. G. S]]*2+DataTable[[#This Row],[Successful Hi. G. S.]]*10</f>
        <v>0</v>
      </c>
      <c r="H9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3">
        <f>IF(DataTable[[#This Row],[E. Game Compl.]]="Nothing",0,IF(DataTable[[#This Row],[E. Game Compl.]]="Challenging the Tower",5,IF(DataTable[[#This Row],[E. Game Compl.]]="Scaling the Tower",15,)))</f>
        <v>0</v>
      </c>
      <c r="J903">
        <f>Table2[[#This Row],[AUTO Pts]]+Table2[[#This Row],[Shooting Pts.]]+Table2[[#This Row],[Def. Points]]+Table2[[#This Row],[E. Game Pts.]]</f>
        <v>0</v>
      </c>
    </row>
    <row r="904" spans="1:10" x14ac:dyDescent="0.25">
      <c r="A904">
        <f>DataTable[[#This Row],[Tm.]]</f>
        <v>0</v>
      </c>
      <c r="B904">
        <f>DataTable[[#This Row],[Match Nr.]]</f>
        <v>0</v>
      </c>
      <c r="C9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4">
        <f>DataTable[[#This Row],[Successful Lo. G. S]]*2+DataTable[[#This Row],[Successful Hi. G. S.]]*10</f>
        <v>0</v>
      </c>
      <c r="H9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4">
        <f>IF(DataTable[[#This Row],[E. Game Compl.]]="Nothing",0,IF(DataTable[[#This Row],[E. Game Compl.]]="Challenging the Tower",5,IF(DataTable[[#This Row],[E. Game Compl.]]="Scaling the Tower",15,)))</f>
        <v>0</v>
      </c>
      <c r="J904">
        <f>Table2[[#This Row],[AUTO Pts]]+Table2[[#This Row],[Shooting Pts.]]+Table2[[#This Row],[Def. Points]]+Table2[[#This Row],[E. Game Pts.]]</f>
        <v>0</v>
      </c>
    </row>
    <row r="905" spans="1:10" x14ac:dyDescent="0.25">
      <c r="A905">
        <f>DataTable[[#This Row],[Tm.]]</f>
        <v>0</v>
      </c>
      <c r="B905">
        <f>DataTable[[#This Row],[Match Nr.]]</f>
        <v>0</v>
      </c>
      <c r="C9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5">
        <f>DataTable[[#This Row],[Successful Lo. G. S]]*2+DataTable[[#This Row],[Successful Hi. G. S.]]*10</f>
        <v>0</v>
      </c>
      <c r="H9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5">
        <f>IF(DataTable[[#This Row],[E. Game Compl.]]="Nothing",0,IF(DataTable[[#This Row],[E. Game Compl.]]="Challenging the Tower",5,IF(DataTable[[#This Row],[E. Game Compl.]]="Scaling the Tower",15,)))</f>
        <v>0</v>
      </c>
      <c r="J905">
        <f>Table2[[#This Row],[AUTO Pts]]+Table2[[#This Row],[Shooting Pts.]]+Table2[[#This Row],[Def. Points]]+Table2[[#This Row],[E. Game Pts.]]</f>
        <v>0</v>
      </c>
    </row>
    <row r="906" spans="1:10" x14ac:dyDescent="0.25">
      <c r="A906">
        <f>DataTable[[#This Row],[Tm.]]</f>
        <v>0</v>
      </c>
      <c r="B906">
        <f>DataTable[[#This Row],[Match Nr.]]</f>
        <v>0</v>
      </c>
      <c r="C9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6">
        <f>DataTable[[#This Row],[Successful Lo. G. S]]*2+DataTable[[#This Row],[Successful Hi. G. S.]]*10</f>
        <v>0</v>
      </c>
      <c r="H9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6">
        <f>IF(DataTable[[#This Row],[E. Game Compl.]]="Nothing",0,IF(DataTable[[#This Row],[E. Game Compl.]]="Challenging the Tower",5,IF(DataTable[[#This Row],[E. Game Compl.]]="Scaling the Tower",15,)))</f>
        <v>0</v>
      </c>
      <c r="J906">
        <f>Table2[[#This Row],[AUTO Pts]]+Table2[[#This Row],[Shooting Pts.]]+Table2[[#This Row],[Def. Points]]+Table2[[#This Row],[E. Game Pts.]]</f>
        <v>0</v>
      </c>
    </row>
    <row r="907" spans="1:10" x14ac:dyDescent="0.25">
      <c r="A907">
        <f>DataTable[[#This Row],[Tm.]]</f>
        <v>0</v>
      </c>
      <c r="B907">
        <f>DataTable[[#This Row],[Match Nr.]]</f>
        <v>0</v>
      </c>
      <c r="C9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7">
        <f>DataTable[[#This Row],[Successful Lo. G. S]]*2+DataTable[[#This Row],[Successful Hi. G. S.]]*10</f>
        <v>0</v>
      </c>
      <c r="H9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7">
        <f>IF(DataTable[[#This Row],[E. Game Compl.]]="Nothing",0,IF(DataTable[[#This Row],[E. Game Compl.]]="Challenging the Tower",5,IF(DataTable[[#This Row],[E. Game Compl.]]="Scaling the Tower",15,)))</f>
        <v>0</v>
      </c>
      <c r="J907">
        <f>Table2[[#This Row],[AUTO Pts]]+Table2[[#This Row],[Shooting Pts.]]+Table2[[#This Row],[Def. Points]]+Table2[[#This Row],[E. Game Pts.]]</f>
        <v>0</v>
      </c>
    </row>
    <row r="908" spans="1:10" x14ac:dyDescent="0.25">
      <c r="A908">
        <f>DataTable[[#This Row],[Tm.]]</f>
        <v>0</v>
      </c>
      <c r="B908">
        <f>DataTable[[#This Row],[Match Nr.]]</f>
        <v>0</v>
      </c>
      <c r="C9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8">
        <f>DataTable[[#This Row],[Successful Lo. G. S]]*2+DataTable[[#This Row],[Successful Hi. G. S.]]*10</f>
        <v>0</v>
      </c>
      <c r="H9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8">
        <f>IF(DataTable[[#This Row],[E. Game Compl.]]="Nothing",0,IF(DataTable[[#This Row],[E. Game Compl.]]="Challenging the Tower",5,IF(DataTable[[#This Row],[E. Game Compl.]]="Scaling the Tower",15,)))</f>
        <v>0</v>
      </c>
      <c r="J908">
        <f>Table2[[#This Row],[AUTO Pts]]+Table2[[#This Row],[Shooting Pts.]]+Table2[[#This Row],[Def. Points]]+Table2[[#This Row],[E. Game Pts.]]</f>
        <v>0</v>
      </c>
    </row>
    <row r="909" spans="1:10" x14ac:dyDescent="0.25">
      <c r="A909">
        <f>DataTable[[#This Row],[Tm.]]</f>
        <v>0</v>
      </c>
      <c r="B909">
        <f>DataTable[[#This Row],[Match Nr.]]</f>
        <v>0</v>
      </c>
      <c r="C9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9">
        <f>DataTable[[#This Row],[Successful Lo. G. S]]*2+DataTable[[#This Row],[Successful Hi. G. S.]]*10</f>
        <v>0</v>
      </c>
      <c r="H9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9">
        <f>IF(DataTable[[#This Row],[E. Game Compl.]]="Nothing",0,IF(DataTable[[#This Row],[E. Game Compl.]]="Challenging the Tower",5,IF(DataTable[[#This Row],[E. Game Compl.]]="Scaling the Tower",15,)))</f>
        <v>0</v>
      </c>
      <c r="J909">
        <f>Table2[[#This Row],[AUTO Pts]]+Table2[[#This Row],[Shooting Pts.]]+Table2[[#This Row],[Def. Points]]+Table2[[#This Row],[E. Game Pts.]]</f>
        <v>0</v>
      </c>
    </row>
    <row r="910" spans="1:10" x14ac:dyDescent="0.25">
      <c r="A910">
        <f>DataTable[[#This Row],[Tm.]]</f>
        <v>0</v>
      </c>
      <c r="B910">
        <f>DataTable[[#This Row],[Match Nr.]]</f>
        <v>0</v>
      </c>
      <c r="C9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0">
        <f>DataTable[[#This Row],[Successful Lo. G. S]]*2+DataTable[[#This Row],[Successful Hi. G. S.]]*10</f>
        <v>0</v>
      </c>
      <c r="H9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0">
        <f>IF(DataTable[[#This Row],[E. Game Compl.]]="Nothing",0,IF(DataTable[[#This Row],[E. Game Compl.]]="Challenging the Tower",5,IF(DataTable[[#This Row],[E. Game Compl.]]="Scaling the Tower",15,)))</f>
        <v>0</v>
      </c>
      <c r="J910">
        <f>Table2[[#This Row],[AUTO Pts]]+Table2[[#This Row],[Shooting Pts.]]+Table2[[#This Row],[Def. Points]]+Table2[[#This Row],[E. Game Pts.]]</f>
        <v>0</v>
      </c>
    </row>
    <row r="911" spans="1:10" x14ac:dyDescent="0.25">
      <c r="A911">
        <f>DataTable[[#This Row],[Tm.]]</f>
        <v>0</v>
      </c>
      <c r="B911">
        <f>DataTable[[#This Row],[Match Nr.]]</f>
        <v>0</v>
      </c>
      <c r="C9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1">
        <f>DataTable[[#This Row],[Successful Lo. G. S]]*2+DataTable[[#This Row],[Successful Hi. G. S.]]*10</f>
        <v>0</v>
      </c>
      <c r="H9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1">
        <f>IF(DataTable[[#This Row],[E. Game Compl.]]="Nothing",0,IF(DataTable[[#This Row],[E. Game Compl.]]="Challenging the Tower",5,IF(DataTable[[#This Row],[E. Game Compl.]]="Scaling the Tower",15,)))</f>
        <v>0</v>
      </c>
      <c r="J911">
        <f>Table2[[#This Row],[AUTO Pts]]+Table2[[#This Row],[Shooting Pts.]]+Table2[[#This Row],[Def. Points]]+Table2[[#This Row],[E. Game Pts.]]</f>
        <v>0</v>
      </c>
    </row>
    <row r="912" spans="1:10" x14ac:dyDescent="0.25">
      <c r="A912">
        <f>DataTable[[#This Row],[Tm.]]</f>
        <v>0</v>
      </c>
      <c r="B912">
        <f>DataTable[[#This Row],[Match Nr.]]</f>
        <v>0</v>
      </c>
      <c r="C9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2">
        <f>DataTable[[#This Row],[Successful Lo. G. S]]*2+DataTable[[#This Row],[Successful Hi. G. S.]]*10</f>
        <v>0</v>
      </c>
      <c r="H9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2">
        <f>IF(DataTable[[#This Row],[E. Game Compl.]]="Nothing",0,IF(DataTable[[#This Row],[E. Game Compl.]]="Challenging the Tower",5,IF(DataTable[[#This Row],[E. Game Compl.]]="Scaling the Tower",15,)))</f>
        <v>0</v>
      </c>
      <c r="J912">
        <f>Table2[[#This Row],[AUTO Pts]]+Table2[[#This Row],[Shooting Pts.]]+Table2[[#This Row],[Def. Points]]+Table2[[#This Row],[E. Game Pts.]]</f>
        <v>0</v>
      </c>
    </row>
    <row r="913" spans="1:10" x14ac:dyDescent="0.25">
      <c r="A913">
        <f>DataTable[[#This Row],[Tm.]]</f>
        <v>0</v>
      </c>
      <c r="B913">
        <f>DataTable[[#This Row],[Match Nr.]]</f>
        <v>0</v>
      </c>
      <c r="C9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3">
        <f>DataTable[[#This Row],[Successful Lo. G. S]]*2+DataTable[[#This Row],[Successful Hi. G. S.]]*10</f>
        <v>0</v>
      </c>
      <c r="H9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3">
        <f>IF(DataTable[[#This Row],[E. Game Compl.]]="Nothing",0,IF(DataTable[[#This Row],[E. Game Compl.]]="Challenging the Tower",5,IF(DataTable[[#This Row],[E. Game Compl.]]="Scaling the Tower",15,)))</f>
        <v>0</v>
      </c>
      <c r="J913">
        <f>Table2[[#This Row],[AUTO Pts]]+Table2[[#This Row],[Shooting Pts.]]+Table2[[#This Row],[Def. Points]]+Table2[[#This Row],[E. Game Pts.]]</f>
        <v>0</v>
      </c>
    </row>
    <row r="914" spans="1:10" x14ac:dyDescent="0.25">
      <c r="A914">
        <f>DataTable[[#This Row],[Tm.]]</f>
        <v>0</v>
      </c>
      <c r="B914">
        <f>DataTable[[#This Row],[Match Nr.]]</f>
        <v>0</v>
      </c>
      <c r="C9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4">
        <f>DataTable[[#This Row],[Successful Lo. G. S]]*2+DataTable[[#This Row],[Successful Hi. G. S.]]*10</f>
        <v>0</v>
      </c>
      <c r="H9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4">
        <f>IF(DataTable[[#This Row],[E. Game Compl.]]="Nothing",0,IF(DataTable[[#This Row],[E. Game Compl.]]="Challenging the Tower",5,IF(DataTable[[#This Row],[E. Game Compl.]]="Scaling the Tower",15,)))</f>
        <v>0</v>
      </c>
      <c r="J914">
        <f>Table2[[#This Row],[AUTO Pts]]+Table2[[#This Row],[Shooting Pts.]]+Table2[[#This Row],[Def. Points]]+Table2[[#This Row],[E. Game Pts.]]</f>
        <v>0</v>
      </c>
    </row>
    <row r="915" spans="1:10" x14ac:dyDescent="0.25">
      <c r="A915">
        <f>DataTable[[#This Row],[Tm.]]</f>
        <v>0</v>
      </c>
      <c r="B915">
        <f>DataTable[[#This Row],[Match Nr.]]</f>
        <v>0</v>
      </c>
      <c r="C9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5">
        <f>DataTable[[#This Row],[Successful Lo. G. S]]*2+DataTable[[#This Row],[Successful Hi. G. S.]]*10</f>
        <v>0</v>
      </c>
      <c r="H9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5">
        <f>IF(DataTable[[#This Row],[E. Game Compl.]]="Nothing",0,IF(DataTable[[#This Row],[E. Game Compl.]]="Challenging the Tower",5,IF(DataTable[[#This Row],[E. Game Compl.]]="Scaling the Tower",15,)))</f>
        <v>0</v>
      </c>
      <c r="J915">
        <f>Table2[[#This Row],[AUTO Pts]]+Table2[[#This Row],[Shooting Pts.]]+Table2[[#This Row],[Def. Points]]+Table2[[#This Row],[E. Game Pts.]]</f>
        <v>0</v>
      </c>
    </row>
    <row r="916" spans="1:10" x14ac:dyDescent="0.25">
      <c r="A916">
        <f>DataTable[[#This Row],[Tm.]]</f>
        <v>0</v>
      </c>
      <c r="B916">
        <f>DataTable[[#This Row],[Match Nr.]]</f>
        <v>0</v>
      </c>
      <c r="C9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6">
        <f>DataTable[[#This Row],[Successful Lo. G. S]]*2+DataTable[[#This Row],[Successful Hi. G. S.]]*10</f>
        <v>0</v>
      </c>
      <c r="H9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6">
        <f>IF(DataTable[[#This Row],[E. Game Compl.]]="Nothing",0,IF(DataTable[[#This Row],[E. Game Compl.]]="Challenging the Tower",5,IF(DataTable[[#This Row],[E. Game Compl.]]="Scaling the Tower",15,)))</f>
        <v>0</v>
      </c>
      <c r="J916">
        <f>Table2[[#This Row],[AUTO Pts]]+Table2[[#This Row],[Shooting Pts.]]+Table2[[#This Row],[Def. Points]]+Table2[[#This Row],[E. Game Pts.]]</f>
        <v>0</v>
      </c>
    </row>
    <row r="917" spans="1:10" x14ac:dyDescent="0.25">
      <c r="A917">
        <f>DataTable[[#This Row],[Tm.]]</f>
        <v>0</v>
      </c>
      <c r="B917">
        <f>DataTable[[#This Row],[Match Nr.]]</f>
        <v>0</v>
      </c>
      <c r="C9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7">
        <f>DataTable[[#This Row],[Successful Lo. G. S]]*2+DataTable[[#This Row],[Successful Hi. G. S.]]*10</f>
        <v>0</v>
      </c>
      <c r="H9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7">
        <f>IF(DataTable[[#This Row],[E. Game Compl.]]="Nothing",0,IF(DataTable[[#This Row],[E. Game Compl.]]="Challenging the Tower",5,IF(DataTable[[#This Row],[E. Game Compl.]]="Scaling the Tower",15,)))</f>
        <v>0</v>
      </c>
      <c r="J917">
        <f>Table2[[#This Row],[AUTO Pts]]+Table2[[#This Row],[Shooting Pts.]]+Table2[[#This Row],[Def. Points]]+Table2[[#This Row],[E. Game Pts.]]</f>
        <v>0</v>
      </c>
    </row>
    <row r="918" spans="1:10" x14ac:dyDescent="0.25">
      <c r="A918">
        <f>DataTable[[#This Row],[Tm.]]</f>
        <v>0</v>
      </c>
      <c r="B918">
        <f>DataTable[[#This Row],[Match Nr.]]</f>
        <v>0</v>
      </c>
      <c r="C9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8">
        <f>DataTable[[#This Row],[Successful Lo. G. S]]*2+DataTable[[#This Row],[Successful Hi. G. S.]]*10</f>
        <v>0</v>
      </c>
      <c r="H9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8">
        <f>IF(DataTable[[#This Row],[E. Game Compl.]]="Nothing",0,IF(DataTable[[#This Row],[E. Game Compl.]]="Challenging the Tower",5,IF(DataTable[[#This Row],[E. Game Compl.]]="Scaling the Tower",15,)))</f>
        <v>0</v>
      </c>
      <c r="J918">
        <f>Table2[[#This Row],[AUTO Pts]]+Table2[[#This Row],[Shooting Pts.]]+Table2[[#This Row],[Def. Points]]+Table2[[#This Row],[E. Game Pts.]]</f>
        <v>0</v>
      </c>
    </row>
    <row r="919" spans="1:10" x14ac:dyDescent="0.25">
      <c r="A919">
        <f>DataTable[[#This Row],[Tm.]]</f>
        <v>0</v>
      </c>
      <c r="B919">
        <f>DataTable[[#This Row],[Match Nr.]]</f>
        <v>0</v>
      </c>
      <c r="C9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9">
        <f>DataTable[[#This Row],[Successful Lo. G. S]]*2+DataTable[[#This Row],[Successful Hi. G. S.]]*10</f>
        <v>0</v>
      </c>
      <c r="H9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9">
        <f>IF(DataTable[[#This Row],[E. Game Compl.]]="Nothing",0,IF(DataTable[[#This Row],[E. Game Compl.]]="Challenging the Tower",5,IF(DataTable[[#This Row],[E. Game Compl.]]="Scaling the Tower",15,)))</f>
        <v>0</v>
      </c>
      <c r="J919">
        <f>Table2[[#This Row],[AUTO Pts]]+Table2[[#This Row],[Shooting Pts.]]+Table2[[#This Row],[Def. Points]]+Table2[[#This Row],[E. Game Pts.]]</f>
        <v>0</v>
      </c>
    </row>
    <row r="920" spans="1:10" x14ac:dyDescent="0.25">
      <c r="A920">
        <f>DataTable[[#This Row],[Tm.]]</f>
        <v>0</v>
      </c>
      <c r="B920">
        <f>DataTable[[#This Row],[Match Nr.]]</f>
        <v>0</v>
      </c>
      <c r="C9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0">
        <f>DataTable[[#This Row],[Successful Lo. G. S]]*2+DataTable[[#This Row],[Successful Hi. G. S.]]*10</f>
        <v>0</v>
      </c>
      <c r="H9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0">
        <f>IF(DataTable[[#This Row],[E. Game Compl.]]="Nothing",0,IF(DataTable[[#This Row],[E. Game Compl.]]="Challenging the Tower",5,IF(DataTable[[#This Row],[E. Game Compl.]]="Scaling the Tower",15,)))</f>
        <v>0</v>
      </c>
      <c r="J920">
        <f>Table2[[#This Row],[AUTO Pts]]+Table2[[#This Row],[Shooting Pts.]]+Table2[[#This Row],[Def. Points]]+Table2[[#This Row],[E. Game Pts.]]</f>
        <v>0</v>
      </c>
    </row>
    <row r="921" spans="1:10" x14ac:dyDescent="0.25">
      <c r="A921">
        <f>DataTable[[#This Row],[Tm.]]</f>
        <v>0</v>
      </c>
      <c r="B921">
        <f>DataTable[[#This Row],[Match Nr.]]</f>
        <v>0</v>
      </c>
      <c r="C9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1">
        <f>DataTable[[#This Row],[Successful Lo. G. S]]*2+DataTable[[#This Row],[Successful Hi. G. S.]]*10</f>
        <v>0</v>
      </c>
      <c r="H9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1">
        <f>IF(DataTable[[#This Row],[E. Game Compl.]]="Nothing",0,IF(DataTable[[#This Row],[E. Game Compl.]]="Challenging the Tower",5,IF(DataTable[[#This Row],[E. Game Compl.]]="Scaling the Tower",15,)))</f>
        <v>0</v>
      </c>
      <c r="J921">
        <f>Table2[[#This Row],[AUTO Pts]]+Table2[[#This Row],[Shooting Pts.]]+Table2[[#This Row],[Def. Points]]+Table2[[#This Row],[E. Game Pts.]]</f>
        <v>0</v>
      </c>
    </row>
    <row r="922" spans="1:10" x14ac:dyDescent="0.25">
      <c r="A922">
        <f>DataTable[[#This Row],[Tm.]]</f>
        <v>0</v>
      </c>
      <c r="B922">
        <f>DataTable[[#This Row],[Match Nr.]]</f>
        <v>0</v>
      </c>
      <c r="C9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2">
        <f>DataTable[[#This Row],[Successful Lo. G. S]]*2+DataTable[[#This Row],[Successful Hi. G. S.]]*10</f>
        <v>0</v>
      </c>
      <c r="H9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2">
        <f>IF(DataTable[[#This Row],[E. Game Compl.]]="Nothing",0,IF(DataTable[[#This Row],[E. Game Compl.]]="Challenging the Tower",5,IF(DataTable[[#This Row],[E. Game Compl.]]="Scaling the Tower",15,)))</f>
        <v>0</v>
      </c>
      <c r="J922">
        <f>Table2[[#This Row],[AUTO Pts]]+Table2[[#This Row],[Shooting Pts.]]+Table2[[#This Row],[Def. Points]]+Table2[[#This Row],[E. Game Pts.]]</f>
        <v>0</v>
      </c>
    </row>
    <row r="923" spans="1:10" x14ac:dyDescent="0.25">
      <c r="A923">
        <f>DataTable[[#This Row],[Tm.]]</f>
        <v>0</v>
      </c>
      <c r="B923">
        <f>DataTable[[#This Row],[Match Nr.]]</f>
        <v>0</v>
      </c>
      <c r="C9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3">
        <f>DataTable[[#This Row],[Successful Lo. G. S]]*2+DataTable[[#This Row],[Successful Hi. G. S.]]*10</f>
        <v>0</v>
      </c>
      <c r="H9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3">
        <f>IF(DataTable[[#This Row],[E. Game Compl.]]="Nothing",0,IF(DataTable[[#This Row],[E. Game Compl.]]="Challenging the Tower",5,IF(DataTable[[#This Row],[E. Game Compl.]]="Scaling the Tower",15,)))</f>
        <v>0</v>
      </c>
      <c r="J923">
        <f>Table2[[#This Row],[AUTO Pts]]+Table2[[#This Row],[Shooting Pts.]]+Table2[[#This Row],[Def. Points]]+Table2[[#This Row],[E. Game Pts.]]</f>
        <v>0</v>
      </c>
    </row>
    <row r="924" spans="1:10" x14ac:dyDescent="0.25">
      <c r="A924">
        <f>DataTable[[#This Row],[Tm.]]</f>
        <v>0</v>
      </c>
      <c r="B924">
        <f>DataTable[[#This Row],[Match Nr.]]</f>
        <v>0</v>
      </c>
      <c r="C9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4">
        <f>DataTable[[#This Row],[Successful Lo. G. S]]*2+DataTable[[#This Row],[Successful Hi. G. S.]]*10</f>
        <v>0</v>
      </c>
      <c r="H9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4">
        <f>IF(DataTable[[#This Row],[E. Game Compl.]]="Nothing",0,IF(DataTable[[#This Row],[E. Game Compl.]]="Challenging the Tower",5,IF(DataTable[[#This Row],[E. Game Compl.]]="Scaling the Tower",15,)))</f>
        <v>0</v>
      </c>
      <c r="J924">
        <f>Table2[[#This Row],[AUTO Pts]]+Table2[[#This Row],[Shooting Pts.]]+Table2[[#This Row],[Def. Points]]+Table2[[#This Row],[E. Game Pts.]]</f>
        <v>0</v>
      </c>
    </row>
    <row r="925" spans="1:10" x14ac:dyDescent="0.25">
      <c r="A925">
        <f>DataTable[[#This Row],[Tm.]]</f>
        <v>0</v>
      </c>
      <c r="B925">
        <f>DataTable[[#This Row],[Match Nr.]]</f>
        <v>0</v>
      </c>
      <c r="C9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5">
        <f>DataTable[[#This Row],[Successful Lo. G. S]]*2+DataTable[[#This Row],[Successful Hi. G. S.]]*10</f>
        <v>0</v>
      </c>
      <c r="H9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5">
        <f>IF(DataTable[[#This Row],[E. Game Compl.]]="Nothing",0,IF(DataTable[[#This Row],[E. Game Compl.]]="Challenging the Tower",5,IF(DataTable[[#This Row],[E. Game Compl.]]="Scaling the Tower",15,)))</f>
        <v>0</v>
      </c>
      <c r="J925">
        <f>Table2[[#This Row],[AUTO Pts]]+Table2[[#This Row],[Shooting Pts.]]+Table2[[#This Row],[Def. Points]]+Table2[[#This Row],[E. Game Pts.]]</f>
        <v>0</v>
      </c>
    </row>
    <row r="926" spans="1:10" x14ac:dyDescent="0.25">
      <c r="A926">
        <f>DataTable[[#This Row],[Tm.]]</f>
        <v>0</v>
      </c>
      <c r="B926">
        <f>DataTable[[#This Row],[Match Nr.]]</f>
        <v>0</v>
      </c>
      <c r="C9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6">
        <f>DataTable[[#This Row],[Successful Lo. G. S]]*2+DataTable[[#This Row],[Successful Hi. G. S.]]*10</f>
        <v>0</v>
      </c>
      <c r="H9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6">
        <f>IF(DataTable[[#This Row],[E. Game Compl.]]="Nothing",0,IF(DataTable[[#This Row],[E. Game Compl.]]="Challenging the Tower",5,IF(DataTable[[#This Row],[E. Game Compl.]]="Scaling the Tower",15,)))</f>
        <v>0</v>
      </c>
      <c r="J926">
        <f>Table2[[#This Row],[AUTO Pts]]+Table2[[#This Row],[Shooting Pts.]]+Table2[[#This Row],[Def. Points]]+Table2[[#This Row],[E. Game Pts.]]</f>
        <v>0</v>
      </c>
    </row>
    <row r="927" spans="1:10" x14ac:dyDescent="0.25">
      <c r="A927">
        <f>DataTable[[#This Row],[Tm.]]</f>
        <v>0</v>
      </c>
      <c r="B927">
        <f>DataTable[[#This Row],[Match Nr.]]</f>
        <v>0</v>
      </c>
      <c r="C9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7">
        <f>DataTable[[#This Row],[Successful Lo. G. S]]*2+DataTable[[#This Row],[Successful Hi. G. S.]]*10</f>
        <v>0</v>
      </c>
      <c r="H9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7">
        <f>IF(DataTable[[#This Row],[E. Game Compl.]]="Nothing",0,IF(DataTable[[#This Row],[E. Game Compl.]]="Challenging the Tower",5,IF(DataTable[[#This Row],[E. Game Compl.]]="Scaling the Tower",15,)))</f>
        <v>0</v>
      </c>
      <c r="J927">
        <f>Table2[[#This Row],[AUTO Pts]]+Table2[[#This Row],[Shooting Pts.]]+Table2[[#This Row],[Def. Points]]+Table2[[#This Row],[E. Game Pts.]]</f>
        <v>0</v>
      </c>
    </row>
    <row r="928" spans="1:10" x14ac:dyDescent="0.25">
      <c r="A928">
        <f>DataTable[[#This Row],[Tm.]]</f>
        <v>0</v>
      </c>
      <c r="B928">
        <f>DataTable[[#This Row],[Match Nr.]]</f>
        <v>0</v>
      </c>
      <c r="C9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8">
        <f>DataTable[[#This Row],[Successful Lo. G. S]]*2+DataTable[[#This Row],[Successful Hi. G. S.]]*10</f>
        <v>0</v>
      </c>
      <c r="H9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8">
        <f>IF(DataTable[[#This Row],[E. Game Compl.]]="Nothing",0,IF(DataTable[[#This Row],[E. Game Compl.]]="Challenging the Tower",5,IF(DataTable[[#This Row],[E. Game Compl.]]="Scaling the Tower",15,)))</f>
        <v>0</v>
      </c>
      <c r="J928">
        <f>Table2[[#This Row],[AUTO Pts]]+Table2[[#This Row],[Shooting Pts.]]+Table2[[#This Row],[Def. Points]]+Table2[[#This Row],[E. Game Pts.]]</f>
        <v>0</v>
      </c>
    </row>
    <row r="929" spans="1:10" x14ac:dyDescent="0.25">
      <c r="A929">
        <f>DataTable[[#This Row],[Tm.]]</f>
        <v>0</v>
      </c>
      <c r="B929">
        <f>DataTable[[#This Row],[Match Nr.]]</f>
        <v>0</v>
      </c>
      <c r="C9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9">
        <f>DataTable[[#This Row],[Successful Lo. G. S]]*2+DataTable[[#This Row],[Successful Hi. G. S.]]*10</f>
        <v>0</v>
      </c>
      <c r="H9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9">
        <f>IF(DataTable[[#This Row],[E. Game Compl.]]="Nothing",0,IF(DataTable[[#This Row],[E. Game Compl.]]="Challenging the Tower",5,IF(DataTable[[#This Row],[E. Game Compl.]]="Scaling the Tower",15,)))</f>
        <v>0</v>
      </c>
      <c r="J929">
        <f>Table2[[#This Row],[AUTO Pts]]+Table2[[#This Row],[Shooting Pts.]]+Table2[[#This Row],[Def. Points]]+Table2[[#This Row],[E. Game Pts.]]</f>
        <v>0</v>
      </c>
    </row>
    <row r="930" spans="1:10" x14ac:dyDescent="0.25">
      <c r="A930">
        <f>DataTable[[#This Row],[Tm.]]</f>
        <v>0</v>
      </c>
      <c r="B930">
        <f>DataTable[[#This Row],[Match Nr.]]</f>
        <v>0</v>
      </c>
      <c r="C9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0">
        <f>DataTable[[#This Row],[Successful Lo. G. S]]*2+DataTable[[#This Row],[Successful Hi. G. S.]]*10</f>
        <v>0</v>
      </c>
      <c r="H9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0">
        <f>IF(DataTable[[#This Row],[E. Game Compl.]]="Nothing",0,IF(DataTable[[#This Row],[E. Game Compl.]]="Challenging the Tower",5,IF(DataTable[[#This Row],[E. Game Compl.]]="Scaling the Tower",15,)))</f>
        <v>0</v>
      </c>
      <c r="J930">
        <f>Table2[[#This Row],[AUTO Pts]]+Table2[[#This Row],[Shooting Pts.]]+Table2[[#This Row],[Def. Points]]+Table2[[#This Row],[E. Game Pts.]]</f>
        <v>0</v>
      </c>
    </row>
    <row r="931" spans="1:10" x14ac:dyDescent="0.25">
      <c r="A931">
        <f>DataTable[[#This Row],[Tm.]]</f>
        <v>0</v>
      </c>
      <c r="B931">
        <f>DataTable[[#This Row],[Match Nr.]]</f>
        <v>0</v>
      </c>
      <c r="C9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1">
        <f>DataTable[[#This Row],[Successful Lo. G. S]]*2+DataTable[[#This Row],[Successful Hi. G. S.]]*10</f>
        <v>0</v>
      </c>
      <c r="H9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1">
        <f>IF(DataTable[[#This Row],[E. Game Compl.]]="Nothing",0,IF(DataTable[[#This Row],[E. Game Compl.]]="Challenging the Tower",5,IF(DataTable[[#This Row],[E. Game Compl.]]="Scaling the Tower",15,)))</f>
        <v>0</v>
      </c>
      <c r="J931">
        <f>Table2[[#This Row],[AUTO Pts]]+Table2[[#This Row],[Shooting Pts.]]+Table2[[#This Row],[Def. Points]]+Table2[[#This Row],[E. Game Pts.]]</f>
        <v>0</v>
      </c>
    </row>
    <row r="932" spans="1:10" x14ac:dyDescent="0.25">
      <c r="A932">
        <f>DataTable[[#This Row],[Tm.]]</f>
        <v>0</v>
      </c>
      <c r="B932">
        <f>DataTable[[#This Row],[Match Nr.]]</f>
        <v>0</v>
      </c>
      <c r="C9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2">
        <f>DataTable[[#This Row],[Successful Lo. G. S]]*2+DataTable[[#This Row],[Successful Hi. G. S.]]*10</f>
        <v>0</v>
      </c>
      <c r="H9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2">
        <f>IF(DataTable[[#This Row],[E. Game Compl.]]="Nothing",0,IF(DataTable[[#This Row],[E. Game Compl.]]="Challenging the Tower",5,IF(DataTable[[#This Row],[E. Game Compl.]]="Scaling the Tower",15,)))</f>
        <v>0</v>
      </c>
      <c r="J932">
        <f>Table2[[#This Row],[AUTO Pts]]+Table2[[#This Row],[Shooting Pts.]]+Table2[[#This Row],[Def. Points]]+Table2[[#This Row],[E. Game Pts.]]</f>
        <v>0</v>
      </c>
    </row>
    <row r="933" spans="1:10" x14ac:dyDescent="0.25">
      <c r="A933">
        <f>DataTable[[#This Row],[Tm.]]</f>
        <v>0</v>
      </c>
      <c r="B933">
        <f>DataTable[[#This Row],[Match Nr.]]</f>
        <v>0</v>
      </c>
      <c r="C9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3">
        <f>DataTable[[#This Row],[Successful Lo. G. S]]*2+DataTable[[#This Row],[Successful Hi. G. S.]]*10</f>
        <v>0</v>
      </c>
      <c r="H9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3">
        <f>IF(DataTable[[#This Row],[E. Game Compl.]]="Nothing",0,IF(DataTable[[#This Row],[E. Game Compl.]]="Challenging the Tower",5,IF(DataTable[[#This Row],[E. Game Compl.]]="Scaling the Tower",15,)))</f>
        <v>0</v>
      </c>
      <c r="J933">
        <f>Table2[[#This Row],[AUTO Pts]]+Table2[[#This Row],[Shooting Pts.]]+Table2[[#This Row],[Def. Points]]+Table2[[#This Row],[E. Game Pts.]]</f>
        <v>0</v>
      </c>
    </row>
    <row r="934" spans="1:10" x14ac:dyDescent="0.25">
      <c r="A934">
        <f>DataTable[[#This Row],[Tm.]]</f>
        <v>0</v>
      </c>
      <c r="B934">
        <f>DataTable[[#This Row],[Match Nr.]]</f>
        <v>0</v>
      </c>
      <c r="C9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4">
        <f>DataTable[[#This Row],[Successful Lo. G. S]]*2+DataTable[[#This Row],[Successful Hi. G. S.]]*10</f>
        <v>0</v>
      </c>
      <c r="H9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4">
        <f>IF(DataTable[[#This Row],[E. Game Compl.]]="Nothing",0,IF(DataTable[[#This Row],[E. Game Compl.]]="Challenging the Tower",5,IF(DataTable[[#This Row],[E. Game Compl.]]="Scaling the Tower",15,)))</f>
        <v>0</v>
      </c>
      <c r="J934">
        <f>Table2[[#This Row],[AUTO Pts]]+Table2[[#This Row],[Shooting Pts.]]+Table2[[#This Row],[Def. Points]]+Table2[[#This Row],[E. Game Pts.]]</f>
        <v>0</v>
      </c>
    </row>
    <row r="935" spans="1:10" x14ac:dyDescent="0.25">
      <c r="A935">
        <f>DataTable[[#This Row],[Tm.]]</f>
        <v>0</v>
      </c>
      <c r="B935">
        <f>DataTable[[#This Row],[Match Nr.]]</f>
        <v>0</v>
      </c>
      <c r="C9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5">
        <f>DataTable[[#This Row],[Successful Lo. G. S]]*2+DataTable[[#This Row],[Successful Hi. G. S.]]*10</f>
        <v>0</v>
      </c>
      <c r="H9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5">
        <f>IF(DataTable[[#This Row],[E. Game Compl.]]="Nothing",0,IF(DataTable[[#This Row],[E. Game Compl.]]="Challenging the Tower",5,IF(DataTable[[#This Row],[E. Game Compl.]]="Scaling the Tower",15,)))</f>
        <v>0</v>
      </c>
      <c r="J935">
        <f>Table2[[#This Row],[AUTO Pts]]+Table2[[#This Row],[Shooting Pts.]]+Table2[[#This Row],[Def. Points]]+Table2[[#This Row],[E. Game Pts.]]</f>
        <v>0</v>
      </c>
    </row>
    <row r="936" spans="1:10" x14ac:dyDescent="0.25">
      <c r="A936">
        <f>DataTable[[#This Row],[Tm.]]</f>
        <v>0</v>
      </c>
      <c r="B936">
        <f>DataTable[[#This Row],[Match Nr.]]</f>
        <v>0</v>
      </c>
      <c r="C9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6">
        <f>DataTable[[#This Row],[Successful Lo. G. S]]*2+DataTable[[#This Row],[Successful Hi. G. S.]]*10</f>
        <v>0</v>
      </c>
      <c r="H9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6">
        <f>IF(DataTable[[#This Row],[E. Game Compl.]]="Nothing",0,IF(DataTable[[#This Row],[E. Game Compl.]]="Challenging the Tower",5,IF(DataTable[[#This Row],[E. Game Compl.]]="Scaling the Tower",15,)))</f>
        <v>0</v>
      </c>
      <c r="J936">
        <f>Table2[[#This Row],[AUTO Pts]]+Table2[[#This Row],[Shooting Pts.]]+Table2[[#This Row],[Def. Points]]+Table2[[#This Row],[E. Game Pts.]]</f>
        <v>0</v>
      </c>
    </row>
    <row r="937" spans="1:10" x14ac:dyDescent="0.25">
      <c r="A937">
        <f>DataTable[[#This Row],[Tm.]]</f>
        <v>0</v>
      </c>
      <c r="B937">
        <f>DataTable[[#This Row],[Match Nr.]]</f>
        <v>0</v>
      </c>
      <c r="C9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7">
        <f>DataTable[[#This Row],[Successful Lo. G. S]]*2+DataTable[[#This Row],[Successful Hi. G. S.]]*10</f>
        <v>0</v>
      </c>
      <c r="H9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7">
        <f>IF(DataTable[[#This Row],[E. Game Compl.]]="Nothing",0,IF(DataTable[[#This Row],[E. Game Compl.]]="Challenging the Tower",5,IF(DataTable[[#This Row],[E. Game Compl.]]="Scaling the Tower",15,)))</f>
        <v>0</v>
      </c>
      <c r="J937">
        <f>Table2[[#This Row],[AUTO Pts]]+Table2[[#This Row],[Shooting Pts.]]+Table2[[#This Row],[Def. Points]]+Table2[[#This Row],[E. Game Pts.]]</f>
        <v>0</v>
      </c>
    </row>
    <row r="938" spans="1:10" x14ac:dyDescent="0.25">
      <c r="A938">
        <f>DataTable[[#This Row],[Tm.]]</f>
        <v>0</v>
      </c>
      <c r="B938">
        <f>DataTable[[#This Row],[Match Nr.]]</f>
        <v>0</v>
      </c>
      <c r="C9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8">
        <f>DataTable[[#This Row],[Successful Lo. G. S]]*2+DataTable[[#This Row],[Successful Hi. G. S.]]*10</f>
        <v>0</v>
      </c>
      <c r="H9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8">
        <f>IF(DataTable[[#This Row],[E. Game Compl.]]="Nothing",0,IF(DataTable[[#This Row],[E. Game Compl.]]="Challenging the Tower",5,IF(DataTable[[#This Row],[E. Game Compl.]]="Scaling the Tower",15,)))</f>
        <v>0</v>
      </c>
      <c r="J938">
        <f>Table2[[#This Row],[AUTO Pts]]+Table2[[#This Row],[Shooting Pts.]]+Table2[[#This Row],[Def. Points]]+Table2[[#This Row],[E. Game Pts.]]</f>
        <v>0</v>
      </c>
    </row>
    <row r="939" spans="1:10" x14ac:dyDescent="0.25">
      <c r="A939">
        <f>DataTable[[#This Row],[Tm.]]</f>
        <v>0</v>
      </c>
      <c r="B939">
        <f>DataTable[[#This Row],[Match Nr.]]</f>
        <v>0</v>
      </c>
      <c r="C9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9">
        <f>DataTable[[#This Row],[Successful Lo. G. S]]*2+DataTable[[#This Row],[Successful Hi. G. S.]]*10</f>
        <v>0</v>
      </c>
      <c r="H9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9">
        <f>IF(DataTable[[#This Row],[E. Game Compl.]]="Nothing",0,IF(DataTable[[#This Row],[E. Game Compl.]]="Challenging the Tower",5,IF(DataTable[[#This Row],[E. Game Compl.]]="Scaling the Tower",15,)))</f>
        <v>0</v>
      </c>
      <c r="J939">
        <f>Table2[[#This Row],[AUTO Pts]]+Table2[[#This Row],[Shooting Pts.]]+Table2[[#This Row],[Def. Points]]+Table2[[#This Row],[E. Game Pts.]]</f>
        <v>0</v>
      </c>
    </row>
    <row r="940" spans="1:10" x14ac:dyDescent="0.25">
      <c r="A940">
        <f>DataTable[[#This Row],[Tm.]]</f>
        <v>0</v>
      </c>
      <c r="B940">
        <f>DataTable[[#This Row],[Match Nr.]]</f>
        <v>0</v>
      </c>
      <c r="C9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0">
        <f>DataTable[[#This Row],[Successful Lo. G. S]]*2+DataTable[[#This Row],[Successful Hi. G. S.]]*10</f>
        <v>0</v>
      </c>
      <c r="H9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0">
        <f>IF(DataTable[[#This Row],[E. Game Compl.]]="Nothing",0,IF(DataTable[[#This Row],[E. Game Compl.]]="Challenging the Tower",5,IF(DataTable[[#This Row],[E. Game Compl.]]="Scaling the Tower",15,)))</f>
        <v>0</v>
      </c>
      <c r="J940">
        <f>Table2[[#This Row],[AUTO Pts]]+Table2[[#This Row],[Shooting Pts.]]+Table2[[#This Row],[Def. Points]]+Table2[[#This Row],[E. Game Pts.]]</f>
        <v>0</v>
      </c>
    </row>
    <row r="941" spans="1:10" x14ac:dyDescent="0.25">
      <c r="A941">
        <f>DataTable[[#This Row],[Tm.]]</f>
        <v>0</v>
      </c>
      <c r="B941">
        <f>DataTable[[#This Row],[Match Nr.]]</f>
        <v>0</v>
      </c>
      <c r="C9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1">
        <f>DataTable[[#This Row],[Successful Lo. G. S]]*2+DataTable[[#This Row],[Successful Hi. G. S.]]*10</f>
        <v>0</v>
      </c>
      <c r="H9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1">
        <f>IF(DataTable[[#This Row],[E. Game Compl.]]="Nothing",0,IF(DataTable[[#This Row],[E. Game Compl.]]="Challenging the Tower",5,IF(DataTable[[#This Row],[E. Game Compl.]]="Scaling the Tower",15,)))</f>
        <v>0</v>
      </c>
      <c r="J941">
        <f>Table2[[#This Row],[AUTO Pts]]+Table2[[#This Row],[Shooting Pts.]]+Table2[[#This Row],[Def. Points]]+Table2[[#This Row],[E. Game Pts.]]</f>
        <v>0</v>
      </c>
    </row>
    <row r="942" spans="1:10" x14ac:dyDescent="0.25">
      <c r="A942">
        <f>DataTable[[#This Row],[Tm.]]</f>
        <v>0</v>
      </c>
      <c r="B942">
        <f>DataTable[[#This Row],[Match Nr.]]</f>
        <v>0</v>
      </c>
      <c r="C9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2">
        <f>DataTable[[#This Row],[Successful Lo. G. S]]*2+DataTable[[#This Row],[Successful Hi. G. S.]]*10</f>
        <v>0</v>
      </c>
      <c r="H9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2">
        <f>IF(DataTable[[#This Row],[E. Game Compl.]]="Nothing",0,IF(DataTable[[#This Row],[E. Game Compl.]]="Challenging the Tower",5,IF(DataTable[[#This Row],[E. Game Compl.]]="Scaling the Tower",15,)))</f>
        <v>0</v>
      </c>
      <c r="J942">
        <f>Table2[[#This Row],[AUTO Pts]]+Table2[[#This Row],[Shooting Pts.]]+Table2[[#This Row],[Def. Points]]+Table2[[#This Row],[E. Game Pts.]]</f>
        <v>0</v>
      </c>
    </row>
    <row r="943" spans="1:10" x14ac:dyDescent="0.25">
      <c r="A943">
        <f>DataTable[[#This Row],[Tm.]]</f>
        <v>0</v>
      </c>
      <c r="B943">
        <f>DataTable[[#This Row],[Match Nr.]]</f>
        <v>0</v>
      </c>
      <c r="C9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3">
        <f>DataTable[[#This Row],[Successful Lo. G. S]]*2+DataTable[[#This Row],[Successful Hi. G. S.]]*10</f>
        <v>0</v>
      </c>
      <c r="H9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3">
        <f>IF(DataTable[[#This Row],[E. Game Compl.]]="Nothing",0,IF(DataTable[[#This Row],[E. Game Compl.]]="Challenging the Tower",5,IF(DataTable[[#This Row],[E. Game Compl.]]="Scaling the Tower",15,)))</f>
        <v>0</v>
      </c>
      <c r="J943">
        <f>Table2[[#This Row],[AUTO Pts]]+Table2[[#This Row],[Shooting Pts.]]+Table2[[#This Row],[Def. Points]]+Table2[[#This Row],[E. Game Pts.]]</f>
        <v>0</v>
      </c>
    </row>
    <row r="944" spans="1:10" x14ac:dyDescent="0.25">
      <c r="A944">
        <f>DataTable[[#This Row],[Tm.]]</f>
        <v>0</v>
      </c>
      <c r="B944">
        <f>DataTable[[#This Row],[Match Nr.]]</f>
        <v>0</v>
      </c>
      <c r="C9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4">
        <f>DataTable[[#This Row],[Successful Lo. G. S]]*2+DataTable[[#This Row],[Successful Hi. G. S.]]*10</f>
        <v>0</v>
      </c>
      <c r="H9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4">
        <f>IF(DataTable[[#This Row],[E. Game Compl.]]="Nothing",0,IF(DataTable[[#This Row],[E. Game Compl.]]="Challenging the Tower",5,IF(DataTable[[#This Row],[E. Game Compl.]]="Scaling the Tower",15,)))</f>
        <v>0</v>
      </c>
      <c r="J944">
        <f>Table2[[#This Row],[AUTO Pts]]+Table2[[#This Row],[Shooting Pts.]]+Table2[[#This Row],[Def. Points]]+Table2[[#This Row],[E. Game Pts.]]</f>
        <v>0</v>
      </c>
    </row>
    <row r="945" spans="1:10" x14ac:dyDescent="0.25">
      <c r="A945">
        <f>DataTable[[#This Row],[Tm.]]</f>
        <v>0</v>
      </c>
      <c r="B945">
        <f>DataTable[[#This Row],[Match Nr.]]</f>
        <v>0</v>
      </c>
      <c r="C9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5">
        <f>DataTable[[#This Row],[Successful Lo. G. S]]*2+DataTable[[#This Row],[Successful Hi. G. S.]]*10</f>
        <v>0</v>
      </c>
      <c r="H9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5">
        <f>IF(DataTable[[#This Row],[E. Game Compl.]]="Nothing",0,IF(DataTable[[#This Row],[E. Game Compl.]]="Challenging the Tower",5,IF(DataTable[[#This Row],[E. Game Compl.]]="Scaling the Tower",15,)))</f>
        <v>0</v>
      </c>
      <c r="J945">
        <f>Table2[[#This Row],[AUTO Pts]]+Table2[[#This Row],[Shooting Pts.]]+Table2[[#This Row],[Def. Points]]+Table2[[#This Row],[E. Game Pts.]]</f>
        <v>0</v>
      </c>
    </row>
    <row r="946" spans="1:10" x14ac:dyDescent="0.25">
      <c r="A946">
        <f>DataTable[[#This Row],[Tm.]]</f>
        <v>0</v>
      </c>
      <c r="B946">
        <f>DataTable[[#This Row],[Match Nr.]]</f>
        <v>0</v>
      </c>
      <c r="C9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6">
        <f>DataTable[[#This Row],[Successful Lo. G. S]]*2+DataTable[[#This Row],[Successful Hi. G. S.]]*10</f>
        <v>0</v>
      </c>
      <c r="H9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6">
        <f>IF(DataTable[[#This Row],[E. Game Compl.]]="Nothing",0,IF(DataTable[[#This Row],[E. Game Compl.]]="Challenging the Tower",5,IF(DataTable[[#This Row],[E. Game Compl.]]="Scaling the Tower",15,)))</f>
        <v>0</v>
      </c>
      <c r="J946">
        <f>Table2[[#This Row],[AUTO Pts]]+Table2[[#This Row],[Shooting Pts.]]+Table2[[#This Row],[Def. Points]]+Table2[[#This Row],[E. Game Pts.]]</f>
        <v>0</v>
      </c>
    </row>
    <row r="947" spans="1:10" x14ac:dyDescent="0.25">
      <c r="A947">
        <f>DataTable[[#This Row],[Tm.]]</f>
        <v>0</v>
      </c>
      <c r="B947">
        <f>DataTable[[#This Row],[Match Nr.]]</f>
        <v>0</v>
      </c>
      <c r="C9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7">
        <f>DataTable[[#This Row],[Successful Lo. G. S]]*2+DataTable[[#This Row],[Successful Hi. G. S.]]*10</f>
        <v>0</v>
      </c>
      <c r="H9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7">
        <f>IF(DataTable[[#This Row],[E. Game Compl.]]="Nothing",0,IF(DataTable[[#This Row],[E. Game Compl.]]="Challenging the Tower",5,IF(DataTable[[#This Row],[E. Game Compl.]]="Scaling the Tower",15,)))</f>
        <v>0</v>
      </c>
      <c r="J947">
        <f>Table2[[#This Row],[AUTO Pts]]+Table2[[#This Row],[Shooting Pts.]]+Table2[[#This Row],[Def. Points]]+Table2[[#This Row],[E. Game Pts.]]</f>
        <v>0</v>
      </c>
    </row>
    <row r="948" spans="1:10" x14ac:dyDescent="0.25">
      <c r="A948">
        <f>DataTable[[#This Row],[Tm.]]</f>
        <v>0</v>
      </c>
      <c r="B948">
        <f>DataTable[[#This Row],[Match Nr.]]</f>
        <v>0</v>
      </c>
      <c r="C9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8">
        <f>DataTable[[#This Row],[Successful Lo. G. S]]*2+DataTable[[#This Row],[Successful Hi. G. S.]]*10</f>
        <v>0</v>
      </c>
      <c r="H9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8">
        <f>IF(DataTable[[#This Row],[E. Game Compl.]]="Nothing",0,IF(DataTable[[#This Row],[E. Game Compl.]]="Challenging the Tower",5,IF(DataTable[[#This Row],[E. Game Compl.]]="Scaling the Tower",15,)))</f>
        <v>0</v>
      </c>
      <c r="J948">
        <f>Table2[[#This Row],[AUTO Pts]]+Table2[[#This Row],[Shooting Pts.]]+Table2[[#This Row],[Def. Points]]+Table2[[#This Row],[E. Game Pts.]]</f>
        <v>0</v>
      </c>
    </row>
    <row r="949" spans="1:10" x14ac:dyDescent="0.25">
      <c r="A949">
        <f>DataTable[[#This Row],[Tm.]]</f>
        <v>0</v>
      </c>
      <c r="B949">
        <f>DataTable[[#This Row],[Match Nr.]]</f>
        <v>0</v>
      </c>
      <c r="C9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9">
        <f>DataTable[[#This Row],[Successful Lo. G. S]]*2+DataTable[[#This Row],[Successful Hi. G. S.]]*10</f>
        <v>0</v>
      </c>
      <c r="H9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9">
        <f>IF(DataTable[[#This Row],[E. Game Compl.]]="Nothing",0,IF(DataTable[[#This Row],[E. Game Compl.]]="Challenging the Tower",5,IF(DataTable[[#This Row],[E. Game Compl.]]="Scaling the Tower",15,)))</f>
        <v>0</v>
      </c>
      <c r="J949">
        <f>Table2[[#This Row],[AUTO Pts]]+Table2[[#This Row],[Shooting Pts.]]+Table2[[#This Row],[Def. Points]]+Table2[[#This Row],[E. Game Pts.]]</f>
        <v>0</v>
      </c>
    </row>
    <row r="950" spans="1:10" x14ac:dyDescent="0.25">
      <c r="A950">
        <f>DataTable[[#This Row],[Tm.]]</f>
        <v>0</v>
      </c>
      <c r="B950">
        <f>DataTable[[#This Row],[Match Nr.]]</f>
        <v>0</v>
      </c>
      <c r="C9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0">
        <f>DataTable[[#This Row],[Successful Lo. G. S]]*2+DataTable[[#This Row],[Successful Hi. G. S.]]*10</f>
        <v>0</v>
      </c>
      <c r="H9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0">
        <f>IF(DataTable[[#This Row],[E. Game Compl.]]="Nothing",0,IF(DataTable[[#This Row],[E. Game Compl.]]="Challenging the Tower",5,IF(DataTable[[#This Row],[E. Game Compl.]]="Scaling the Tower",15,)))</f>
        <v>0</v>
      </c>
      <c r="J950">
        <f>Table2[[#This Row],[AUTO Pts]]+Table2[[#This Row],[Shooting Pts.]]+Table2[[#This Row],[Def. Points]]+Table2[[#This Row],[E. Game Pts.]]</f>
        <v>0</v>
      </c>
    </row>
    <row r="951" spans="1:10" x14ac:dyDescent="0.25">
      <c r="A951">
        <f>DataTable[[#This Row],[Tm.]]</f>
        <v>0</v>
      </c>
      <c r="B951">
        <f>DataTable[[#This Row],[Match Nr.]]</f>
        <v>0</v>
      </c>
      <c r="C9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1">
        <f>DataTable[[#This Row],[Successful Lo. G. S]]*2+DataTable[[#This Row],[Successful Hi. G. S.]]*10</f>
        <v>0</v>
      </c>
      <c r="H9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1">
        <f>IF(DataTable[[#This Row],[E. Game Compl.]]="Nothing",0,IF(DataTable[[#This Row],[E. Game Compl.]]="Challenging the Tower",5,IF(DataTable[[#This Row],[E. Game Compl.]]="Scaling the Tower",15,)))</f>
        <v>0</v>
      </c>
      <c r="J951">
        <f>Table2[[#This Row],[AUTO Pts]]+Table2[[#This Row],[Shooting Pts.]]+Table2[[#This Row],[Def. Points]]+Table2[[#This Row],[E. Game Pts.]]</f>
        <v>0</v>
      </c>
    </row>
    <row r="952" spans="1:10" x14ac:dyDescent="0.25">
      <c r="A952">
        <f>DataTable[[#This Row],[Tm.]]</f>
        <v>0</v>
      </c>
      <c r="B952">
        <f>DataTable[[#This Row],[Match Nr.]]</f>
        <v>0</v>
      </c>
      <c r="C9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2">
        <f>DataTable[[#This Row],[Successful Lo. G. S]]*2+DataTable[[#This Row],[Successful Hi. G. S.]]*10</f>
        <v>0</v>
      </c>
      <c r="H9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2">
        <f>IF(DataTable[[#This Row],[E. Game Compl.]]="Nothing",0,IF(DataTable[[#This Row],[E. Game Compl.]]="Challenging the Tower",5,IF(DataTable[[#This Row],[E. Game Compl.]]="Scaling the Tower",15,)))</f>
        <v>0</v>
      </c>
      <c r="J952">
        <f>Table2[[#This Row],[AUTO Pts]]+Table2[[#This Row],[Shooting Pts.]]+Table2[[#This Row],[Def. Points]]+Table2[[#This Row],[E. Game Pts.]]</f>
        <v>0</v>
      </c>
    </row>
    <row r="953" spans="1:10" x14ac:dyDescent="0.25">
      <c r="A953">
        <f>DataTable[[#This Row],[Tm.]]</f>
        <v>0</v>
      </c>
      <c r="B953">
        <f>DataTable[[#This Row],[Match Nr.]]</f>
        <v>0</v>
      </c>
      <c r="C9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3">
        <f>DataTable[[#This Row],[Successful Lo. G. S]]*2+DataTable[[#This Row],[Successful Hi. G. S.]]*10</f>
        <v>0</v>
      </c>
      <c r="H9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3">
        <f>IF(DataTable[[#This Row],[E. Game Compl.]]="Nothing",0,IF(DataTable[[#This Row],[E. Game Compl.]]="Challenging the Tower",5,IF(DataTable[[#This Row],[E. Game Compl.]]="Scaling the Tower",15,)))</f>
        <v>0</v>
      </c>
      <c r="J953">
        <f>Table2[[#This Row],[AUTO Pts]]+Table2[[#This Row],[Shooting Pts.]]+Table2[[#This Row],[Def. Points]]+Table2[[#This Row],[E. Game Pts.]]</f>
        <v>0</v>
      </c>
    </row>
    <row r="954" spans="1:10" x14ac:dyDescent="0.25">
      <c r="A954">
        <f>DataTable[[#This Row],[Tm.]]</f>
        <v>0</v>
      </c>
      <c r="B954">
        <f>DataTable[[#This Row],[Match Nr.]]</f>
        <v>0</v>
      </c>
      <c r="C9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4">
        <f>DataTable[[#This Row],[Successful Lo. G. S]]*2+DataTable[[#This Row],[Successful Hi. G. S.]]*10</f>
        <v>0</v>
      </c>
      <c r="H9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4">
        <f>IF(DataTable[[#This Row],[E. Game Compl.]]="Nothing",0,IF(DataTable[[#This Row],[E. Game Compl.]]="Challenging the Tower",5,IF(DataTable[[#This Row],[E. Game Compl.]]="Scaling the Tower",15,)))</f>
        <v>0</v>
      </c>
      <c r="J954">
        <f>Table2[[#This Row],[AUTO Pts]]+Table2[[#This Row],[Shooting Pts.]]+Table2[[#This Row],[Def. Points]]+Table2[[#This Row],[E. Game Pts.]]</f>
        <v>0</v>
      </c>
    </row>
    <row r="955" spans="1:10" x14ac:dyDescent="0.25">
      <c r="A955">
        <f>DataTable[[#This Row],[Tm.]]</f>
        <v>0</v>
      </c>
      <c r="B955">
        <f>DataTable[[#This Row],[Match Nr.]]</f>
        <v>0</v>
      </c>
      <c r="C9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5">
        <f>DataTable[[#This Row],[Successful Lo. G. S]]*2+DataTable[[#This Row],[Successful Hi. G. S.]]*10</f>
        <v>0</v>
      </c>
      <c r="H9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5">
        <f>IF(DataTable[[#This Row],[E. Game Compl.]]="Nothing",0,IF(DataTable[[#This Row],[E. Game Compl.]]="Challenging the Tower",5,IF(DataTable[[#This Row],[E. Game Compl.]]="Scaling the Tower",15,)))</f>
        <v>0</v>
      </c>
      <c r="J955">
        <f>Table2[[#This Row],[AUTO Pts]]+Table2[[#This Row],[Shooting Pts.]]+Table2[[#This Row],[Def. Points]]+Table2[[#This Row],[E. Game Pts.]]</f>
        <v>0</v>
      </c>
    </row>
    <row r="956" spans="1:10" x14ac:dyDescent="0.25">
      <c r="A956">
        <f>DataTable[[#This Row],[Tm.]]</f>
        <v>0</v>
      </c>
      <c r="B956">
        <f>DataTable[[#This Row],[Match Nr.]]</f>
        <v>0</v>
      </c>
      <c r="C9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6">
        <f>DataTable[[#This Row],[Successful Lo. G. S]]*2+DataTable[[#This Row],[Successful Hi. G. S.]]*10</f>
        <v>0</v>
      </c>
      <c r="H9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6">
        <f>IF(DataTable[[#This Row],[E. Game Compl.]]="Nothing",0,IF(DataTable[[#This Row],[E. Game Compl.]]="Challenging the Tower",5,IF(DataTable[[#This Row],[E. Game Compl.]]="Scaling the Tower",15,)))</f>
        <v>0</v>
      </c>
      <c r="J956">
        <f>Table2[[#This Row],[AUTO Pts]]+Table2[[#This Row],[Shooting Pts.]]+Table2[[#This Row],[Def. Points]]+Table2[[#This Row],[E. Game Pts.]]</f>
        <v>0</v>
      </c>
    </row>
    <row r="957" spans="1:10" x14ac:dyDescent="0.25">
      <c r="A957">
        <f>DataTable[[#This Row],[Tm.]]</f>
        <v>0</v>
      </c>
      <c r="B957">
        <f>DataTable[[#This Row],[Match Nr.]]</f>
        <v>0</v>
      </c>
      <c r="C9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7">
        <f>DataTable[[#This Row],[Successful Lo. G. S]]*2+DataTable[[#This Row],[Successful Hi. G. S.]]*10</f>
        <v>0</v>
      </c>
      <c r="H9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7">
        <f>IF(DataTable[[#This Row],[E. Game Compl.]]="Nothing",0,IF(DataTable[[#This Row],[E. Game Compl.]]="Challenging the Tower",5,IF(DataTable[[#This Row],[E. Game Compl.]]="Scaling the Tower",15,)))</f>
        <v>0</v>
      </c>
      <c r="J957">
        <f>Table2[[#This Row],[AUTO Pts]]+Table2[[#This Row],[Shooting Pts.]]+Table2[[#This Row],[Def. Points]]+Table2[[#This Row],[E. Game Pts.]]</f>
        <v>0</v>
      </c>
    </row>
    <row r="958" spans="1:10" x14ac:dyDescent="0.25">
      <c r="A958">
        <f>DataTable[[#This Row],[Tm.]]</f>
        <v>0</v>
      </c>
      <c r="B958">
        <f>DataTable[[#This Row],[Match Nr.]]</f>
        <v>0</v>
      </c>
      <c r="C9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8">
        <f>DataTable[[#This Row],[Successful Lo. G. S]]*2+DataTable[[#This Row],[Successful Hi. G. S.]]*10</f>
        <v>0</v>
      </c>
      <c r="H9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8">
        <f>IF(DataTable[[#This Row],[E. Game Compl.]]="Nothing",0,IF(DataTable[[#This Row],[E. Game Compl.]]="Challenging the Tower",5,IF(DataTable[[#This Row],[E. Game Compl.]]="Scaling the Tower",15,)))</f>
        <v>0</v>
      </c>
      <c r="J958">
        <f>Table2[[#This Row],[AUTO Pts]]+Table2[[#This Row],[Shooting Pts.]]+Table2[[#This Row],[Def. Points]]+Table2[[#This Row],[E. Game Pts.]]</f>
        <v>0</v>
      </c>
    </row>
    <row r="959" spans="1:10" x14ac:dyDescent="0.25">
      <c r="A959">
        <f>DataTable[[#This Row],[Tm.]]</f>
        <v>0</v>
      </c>
      <c r="B959">
        <f>DataTable[[#This Row],[Match Nr.]]</f>
        <v>0</v>
      </c>
      <c r="C9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9">
        <f>DataTable[[#This Row],[Successful Lo. G. S]]*2+DataTable[[#This Row],[Successful Hi. G. S.]]*10</f>
        <v>0</v>
      </c>
      <c r="H9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9">
        <f>IF(DataTable[[#This Row],[E. Game Compl.]]="Nothing",0,IF(DataTable[[#This Row],[E. Game Compl.]]="Challenging the Tower",5,IF(DataTable[[#This Row],[E. Game Compl.]]="Scaling the Tower",15,)))</f>
        <v>0</v>
      </c>
      <c r="J959">
        <f>Table2[[#This Row],[AUTO Pts]]+Table2[[#This Row],[Shooting Pts.]]+Table2[[#This Row],[Def. Points]]+Table2[[#This Row],[E. Game Pts.]]</f>
        <v>0</v>
      </c>
    </row>
    <row r="960" spans="1:10" x14ac:dyDescent="0.25">
      <c r="A960">
        <f>DataTable[[#This Row],[Tm.]]</f>
        <v>0</v>
      </c>
      <c r="B960">
        <f>DataTable[[#This Row],[Match Nr.]]</f>
        <v>0</v>
      </c>
      <c r="C9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0">
        <f>DataTable[[#This Row],[Successful Lo. G. S]]*2+DataTable[[#This Row],[Successful Hi. G. S.]]*10</f>
        <v>0</v>
      </c>
      <c r="H9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0">
        <f>IF(DataTable[[#This Row],[E. Game Compl.]]="Nothing",0,IF(DataTable[[#This Row],[E. Game Compl.]]="Challenging the Tower",5,IF(DataTable[[#This Row],[E. Game Compl.]]="Scaling the Tower",15,)))</f>
        <v>0</v>
      </c>
      <c r="J960">
        <f>Table2[[#This Row],[AUTO Pts]]+Table2[[#This Row],[Shooting Pts.]]+Table2[[#This Row],[Def. Points]]+Table2[[#This Row],[E. Game Pts.]]</f>
        <v>0</v>
      </c>
    </row>
    <row r="961" spans="1:10" x14ac:dyDescent="0.25">
      <c r="A961">
        <f>DataTable[[#This Row],[Tm.]]</f>
        <v>0</v>
      </c>
      <c r="B961">
        <f>DataTable[[#This Row],[Match Nr.]]</f>
        <v>0</v>
      </c>
      <c r="C9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1">
        <f>DataTable[[#This Row],[Successful Lo. G. S]]*2+DataTable[[#This Row],[Successful Hi. G. S.]]*10</f>
        <v>0</v>
      </c>
      <c r="H9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1">
        <f>IF(DataTable[[#This Row],[E. Game Compl.]]="Nothing",0,IF(DataTable[[#This Row],[E. Game Compl.]]="Challenging the Tower",5,IF(DataTable[[#This Row],[E. Game Compl.]]="Scaling the Tower",15,)))</f>
        <v>0</v>
      </c>
      <c r="J961">
        <f>Table2[[#This Row],[AUTO Pts]]+Table2[[#This Row],[Shooting Pts.]]+Table2[[#This Row],[Def. Points]]+Table2[[#This Row],[E. Game Pts.]]</f>
        <v>0</v>
      </c>
    </row>
    <row r="962" spans="1:10" x14ac:dyDescent="0.25">
      <c r="A962">
        <f>DataTable[[#This Row],[Tm.]]</f>
        <v>0</v>
      </c>
      <c r="B962">
        <f>DataTable[[#This Row],[Match Nr.]]</f>
        <v>0</v>
      </c>
      <c r="C9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2">
        <f>DataTable[[#This Row],[Successful Lo. G. S]]*2+DataTable[[#This Row],[Successful Hi. G. S.]]*10</f>
        <v>0</v>
      </c>
      <c r="H9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2">
        <f>IF(DataTable[[#This Row],[E. Game Compl.]]="Nothing",0,IF(DataTable[[#This Row],[E. Game Compl.]]="Challenging the Tower",5,IF(DataTable[[#This Row],[E. Game Compl.]]="Scaling the Tower",15,)))</f>
        <v>0</v>
      </c>
      <c r="J962">
        <f>Table2[[#This Row],[AUTO Pts]]+Table2[[#This Row],[Shooting Pts.]]+Table2[[#This Row],[Def. Points]]+Table2[[#This Row],[E. Game Pts.]]</f>
        <v>0</v>
      </c>
    </row>
    <row r="963" spans="1:10" x14ac:dyDescent="0.25">
      <c r="A963">
        <f>DataTable[[#This Row],[Tm.]]</f>
        <v>0</v>
      </c>
      <c r="B963">
        <f>DataTable[[#This Row],[Match Nr.]]</f>
        <v>0</v>
      </c>
      <c r="C9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3">
        <f>DataTable[[#This Row],[Successful Lo. G. S]]*2+DataTable[[#This Row],[Successful Hi. G. S.]]*10</f>
        <v>0</v>
      </c>
      <c r="H9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3">
        <f>IF(DataTable[[#This Row],[E. Game Compl.]]="Nothing",0,IF(DataTable[[#This Row],[E. Game Compl.]]="Challenging the Tower",5,IF(DataTable[[#This Row],[E. Game Compl.]]="Scaling the Tower",15,)))</f>
        <v>0</v>
      </c>
      <c r="J963">
        <f>Table2[[#This Row],[AUTO Pts]]+Table2[[#This Row],[Shooting Pts.]]+Table2[[#This Row],[Def. Points]]+Table2[[#This Row],[E. Game Pts.]]</f>
        <v>0</v>
      </c>
    </row>
    <row r="964" spans="1:10" x14ac:dyDescent="0.25">
      <c r="A964">
        <f>DataTable[[#This Row],[Tm.]]</f>
        <v>0</v>
      </c>
      <c r="B964">
        <f>DataTable[[#This Row],[Match Nr.]]</f>
        <v>0</v>
      </c>
      <c r="C9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4">
        <f>DataTable[[#This Row],[Successful Lo. G. S]]*2+DataTable[[#This Row],[Successful Hi. G. S.]]*10</f>
        <v>0</v>
      </c>
      <c r="H9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4">
        <f>IF(DataTable[[#This Row],[E. Game Compl.]]="Nothing",0,IF(DataTable[[#This Row],[E. Game Compl.]]="Challenging the Tower",5,IF(DataTable[[#This Row],[E. Game Compl.]]="Scaling the Tower",15,)))</f>
        <v>0</v>
      </c>
      <c r="J964">
        <f>Table2[[#This Row],[AUTO Pts]]+Table2[[#This Row],[Shooting Pts.]]+Table2[[#This Row],[Def. Points]]+Table2[[#This Row],[E. Game Pts.]]</f>
        <v>0</v>
      </c>
    </row>
    <row r="965" spans="1:10" x14ac:dyDescent="0.25">
      <c r="A965">
        <f>DataTable[[#This Row],[Tm.]]</f>
        <v>0</v>
      </c>
      <c r="B965">
        <f>DataTable[[#This Row],[Match Nr.]]</f>
        <v>0</v>
      </c>
      <c r="C9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5">
        <f>DataTable[[#This Row],[Successful Lo. G. S]]*2+DataTable[[#This Row],[Successful Hi. G. S.]]*10</f>
        <v>0</v>
      </c>
      <c r="H9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5">
        <f>IF(DataTable[[#This Row],[E. Game Compl.]]="Nothing",0,IF(DataTable[[#This Row],[E. Game Compl.]]="Challenging the Tower",5,IF(DataTable[[#This Row],[E. Game Compl.]]="Scaling the Tower",15,)))</f>
        <v>0</v>
      </c>
      <c r="J965">
        <f>Table2[[#This Row],[AUTO Pts]]+Table2[[#This Row],[Shooting Pts.]]+Table2[[#This Row],[Def. Points]]+Table2[[#This Row],[E. Game Pts.]]</f>
        <v>0</v>
      </c>
    </row>
    <row r="966" spans="1:10" x14ac:dyDescent="0.25">
      <c r="A966">
        <f>DataTable[[#This Row],[Tm.]]</f>
        <v>0</v>
      </c>
      <c r="B966">
        <f>DataTable[[#This Row],[Match Nr.]]</f>
        <v>0</v>
      </c>
      <c r="C9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6">
        <f>DataTable[[#This Row],[Successful Lo. G. S]]*2+DataTable[[#This Row],[Successful Hi. G. S.]]*10</f>
        <v>0</v>
      </c>
      <c r="H9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6">
        <f>IF(DataTable[[#This Row],[E. Game Compl.]]="Nothing",0,IF(DataTable[[#This Row],[E. Game Compl.]]="Challenging the Tower",5,IF(DataTable[[#This Row],[E. Game Compl.]]="Scaling the Tower",15,)))</f>
        <v>0</v>
      </c>
      <c r="J966">
        <f>Table2[[#This Row],[AUTO Pts]]+Table2[[#This Row],[Shooting Pts.]]+Table2[[#This Row],[Def. Points]]+Table2[[#This Row],[E. Game Pts.]]</f>
        <v>0</v>
      </c>
    </row>
    <row r="967" spans="1:10" x14ac:dyDescent="0.25">
      <c r="A967">
        <f>DataTable[[#This Row],[Tm.]]</f>
        <v>0</v>
      </c>
      <c r="B967">
        <f>DataTable[[#This Row],[Match Nr.]]</f>
        <v>0</v>
      </c>
      <c r="C9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7">
        <f>DataTable[[#This Row],[Successful Lo. G. S]]*2+DataTable[[#This Row],[Successful Hi. G. S.]]*10</f>
        <v>0</v>
      </c>
      <c r="H9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7">
        <f>IF(DataTable[[#This Row],[E. Game Compl.]]="Nothing",0,IF(DataTable[[#This Row],[E. Game Compl.]]="Challenging the Tower",5,IF(DataTable[[#This Row],[E. Game Compl.]]="Scaling the Tower",15,)))</f>
        <v>0</v>
      </c>
      <c r="J967">
        <f>Table2[[#This Row],[AUTO Pts]]+Table2[[#This Row],[Shooting Pts.]]+Table2[[#This Row],[Def. Points]]+Table2[[#This Row],[E. Game Pts.]]</f>
        <v>0</v>
      </c>
    </row>
    <row r="968" spans="1:10" x14ac:dyDescent="0.25">
      <c r="A968">
        <f>DataTable[[#This Row],[Tm.]]</f>
        <v>0</v>
      </c>
      <c r="B968">
        <f>DataTable[[#This Row],[Match Nr.]]</f>
        <v>0</v>
      </c>
      <c r="C9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8">
        <f>DataTable[[#This Row],[Successful Lo. G. S]]*2+DataTable[[#This Row],[Successful Hi. G. S.]]*10</f>
        <v>0</v>
      </c>
      <c r="H9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8">
        <f>IF(DataTable[[#This Row],[E. Game Compl.]]="Nothing",0,IF(DataTable[[#This Row],[E. Game Compl.]]="Challenging the Tower",5,IF(DataTable[[#This Row],[E. Game Compl.]]="Scaling the Tower",15,)))</f>
        <v>0</v>
      </c>
      <c r="J968">
        <f>Table2[[#This Row],[AUTO Pts]]+Table2[[#This Row],[Shooting Pts.]]+Table2[[#This Row],[Def. Points]]+Table2[[#This Row],[E. Game Pts.]]</f>
        <v>0</v>
      </c>
    </row>
    <row r="969" spans="1:10" x14ac:dyDescent="0.25">
      <c r="A969">
        <f>DataTable[[#This Row],[Tm.]]</f>
        <v>0</v>
      </c>
      <c r="B969">
        <f>DataTable[[#This Row],[Match Nr.]]</f>
        <v>0</v>
      </c>
      <c r="C9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9">
        <f>DataTable[[#This Row],[Successful Lo. G. S]]*2+DataTable[[#This Row],[Successful Hi. G. S.]]*10</f>
        <v>0</v>
      </c>
      <c r="H9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9">
        <f>IF(DataTable[[#This Row],[E. Game Compl.]]="Nothing",0,IF(DataTable[[#This Row],[E. Game Compl.]]="Challenging the Tower",5,IF(DataTable[[#This Row],[E. Game Compl.]]="Scaling the Tower",15,)))</f>
        <v>0</v>
      </c>
      <c r="J969">
        <f>Table2[[#This Row],[AUTO Pts]]+Table2[[#This Row],[Shooting Pts.]]+Table2[[#This Row],[Def. Points]]+Table2[[#This Row],[E. Game Pts.]]</f>
        <v>0</v>
      </c>
    </row>
    <row r="970" spans="1:10" x14ac:dyDescent="0.25">
      <c r="A970">
        <f>DataTable[[#This Row],[Tm.]]</f>
        <v>0</v>
      </c>
      <c r="B970">
        <f>DataTable[[#This Row],[Match Nr.]]</f>
        <v>0</v>
      </c>
      <c r="C9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0">
        <f>DataTable[[#This Row],[Successful Lo. G. S]]*2+DataTable[[#This Row],[Successful Hi. G. S.]]*10</f>
        <v>0</v>
      </c>
      <c r="H9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0">
        <f>IF(DataTable[[#This Row],[E. Game Compl.]]="Nothing",0,IF(DataTable[[#This Row],[E. Game Compl.]]="Challenging the Tower",5,IF(DataTable[[#This Row],[E. Game Compl.]]="Scaling the Tower",15,)))</f>
        <v>0</v>
      </c>
      <c r="J970">
        <f>Table2[[#This Row],[AUTO Pts]]+Table2[[#This Row],[Shooting Pts.]]+Table2[[#This Row],[Def. Points]]+Table2[[#This Row],[E. Game Pts.]]</f>
        <v>0</v>
      </c>
    </row>
    <row r="971" spans="1:10" x14ac:dyDescent="0.25">
      <c r="A971">
        <f>DataTable[[#This Row],[Tm.]]</f>
        <v>0</v>
      </c>
      <c r="B971">
        <f>DataTable[[#This Row],[Match Nr.]]</f>
        <v>0</v>
      </c>
      <c r="C9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1">
        <f>DataTable[[#This Row],[Successful Lo. G. S]]*2+DataTable[[#This Row],[Successful Hi. G. S.]]*10</f>
        <v>0</v>
      </c>
      <c r="H9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1">
        <f>IF(DataTable[[#This Row],[E. Game Compl.]]="Nothing",0,IF(DataTable[[#This Row],[E. Game Compl.]]="Challenging the Tower",5,IF(DataTable[[#This Row],[E. Game Compl.]]="Scaling the Tower",15,)))</f>
        <v>0</v>
      </c>
      <c r="J971">
        <f>Table2[[#This Row],[AUTO Pts]]+Table2[[#This Row],[Shooting Pts.]]+Table2[[#This Row],[Def. Points]]+Table2[[#This Row],[E. Game Pts.]]</f>
        <v>0</v>
      </c>
    </row>
    <row r="972" spans="1:10" x14ac:dyDescent="0.25">
      <c r="A972">
        <f>DataTable[[#This Row],[Tm.]]</f>
        <v>0</v>
      </c>
      <c r="B972">
        <f>DataTable[[#This Row],[Match Nr.]]</f>
        <v>0</v>
      </c>
      <c r="C9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2">
        <f>DataTable[[#This Row],[Successful Lo. G. S]]*2+DataTable[[#This Row],[Successful Hi. G. S.]]*10</f>
        <v>0</v>
      </c>
      <c r="H9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2">
        <f>IF(DataTable[[#This Row],[E. Game Compl.]]="Nothing",0,IF(DataTable[[#This Row],[E. Game Compl.]]="Challenging the Tower",5,IF(DataTable[[#This Row],[E. Game Compl.]]="Scaling the Tower",15,)))</f>
        <v>0</v>
      </c>
      <c r="J972">
        <f>Table2[[#This Row],[AUTO Pts]]+Table2[[#This Row],[Shooting Pts.]]+Table2[[#This Row],[Def. Points]]+Table2[[#This Row],[E. Game Pts.]]</f>
        <v>0</v>
      </c>
    </row>
    <row r="973" spans="1:10" x14ac:dyDescent="0.25">
      <c r="A973">
        <f>DataTable[[#This Row],[Tm.]]</f>
        <v>0</v>
      </c>
      <c r="B973">
        <f>DataTable[[#This Row],[Match Nr.]]</f>
        <v>0</v>
      </c>
      <c r="C9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3">
        <f>DataTable[[#This Row],[Successful Lo. G. S]]*2+DataTable[[#This Row],[Successful Hi. G. S.]]*10</f>
        <v>0</v>
      </c>
      <c r="H9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3">
        <f>IF(DataTable[[#This Row],[E. Game Compl.]]="Nothing",0,IF(DataTable[[#This Row],[E. Game Compl.]]="Challenging the Tower",5,IF(DataTable[[#This Row],[E. Game Compl.]]="Scaling the Tower",15,)))</f>
        <v>0</v>
      </c>
      <c r="J973">
        <f>Table2[[#This Row],[AUTO Pts]]+Table2[[#This Row],[Shooting Pts.]]+Table2[[#This Row],[Def. Points]]+Table2[[#This Row],[E. Game Pts.]]</f>
        <v>0</v>
      </c>
    </row>
    <row r="974" spans="1:10" x14ac:dyDescent="0.25">
      <c r="A974">
        <f>DataTable[[#This Row],[Tm.]]</f>
        <v>0</v>
      </c>
      <c r="B974">
        <f>DataTable[[#This Row],[Match Nr.]]</f>
        <v>0</v>
      </c>
      <c r="C9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4">
        <f>DataTable[[#This Row],[Successful Lo. G. S]]*2+DataTable[[#This Row],[Successful Hi. G. S.]]*10</f>
        <v>0</v>
      </c>
      <c r="H9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4">
        <f>IF(DataTable[[#This Row],[E. Game Compl.]]="Nothing",0,IF(DataTable[[#This Row],[E. Game Compl.]]="Challenging the Tower",5,IF(DataTable[[#This Row],[E. Game Compl.]]="Scaling the Tower",15,)))</f>
        <v>0</v>
      </c>
      <c r="J974">
        <f>Table2[[#This Row],[AUTO Pts]]+Table2[[#This Row],[Shooting Pts.]]+Table2[[#This Row],[Def. Points]]+Table2[[#This Row],[E. Game Pts.]]</f>
        <v>0</v>
      </c>
    </row>
    <row r="975" spans="1:10" x14ac:dyDescent="0.25">
      <c r="A975">
        <f>DataTable[[#This Row],[Tm.]]</f>
        <v>0</v>
      </c>
      <c r="B975">
        <f>DataTable[[#This Row],[Match Nr.]]</f>
        <v>0</v>
      </c>
      <c r="C9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5">
        <f>DataTable[[#This Row],[Successful Lo. G. S]]*2+DataTable[[#This Row],[Successful Hi. G. S.]]*10</f>
        <v>0</v>
      </c>
      <c r="H9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5">
        <f>IF(DataTable[[#This Row],[E. Game Compl.]]="Nothing",0,IF(DataTable[[#This Row],[E. Game Compl.]]="Challenging the Tower",5,IF(DataTable[[#This Row],[E. Game Compl.]]="Scaling the Tower",15,)))</f>
        <v>0</v>
      </c>
      <c r="J975">
        <f>Table2[[#This Row],[AUTO Pts]]+Table2[[#This Row],[Shooting Pts.]]+Table2[[#This Row],[Def. Points]]+Table2[[#This Row],[E. Game Pts.]]</f>
        <v>0</v>
      </c>
    </row>
    <row r="976" spans="1:10" x14ac:dyDescent="0.25">
      <c r="A976">
        <f>DataTable[[#This Row],[Tm.]]</f>
        <v>0</v>
      </c>
      <c r="B976">
        <f>DataTable[[#This Row],[Match Nr.]]</f>
        <v>0</v>
      </c>
      <c r="C9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6">
        <f>DataTable[[#This Row],[Successful Lo. G. S]]*2+DataTable[[#This Row],[Successful Hi. G. S.]]*10</f>
        <v>0</v>
      </c>
      <c r="H9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6">
        <f>IF(DataTable[[#This Row],[E. Game Compl.]]="Nothing",0,IF(DataTable[[#This Row],[E. Game Compl.]]="Challenging the Tower",5,IF(DataTable[[#This Row],[E. Game Compl.]]="Scaling the Tower",15,)))</f>
        <v>0</v>
      </c>
      <c r="J976">
        <f>Table2[[#This Row],[AUTO Pts]]+Table2[[#This Row],[Shooting Pts.]]+Table2[[#This Row],[Def. Points]]+Table2[[#This Row],[E. Game Pts.]]</f>
        <v>0</v>
      </c>
    </row>
    <row r="977" spans="1:10" x14ac:dyDescent="0.25">
      <c r="A977">
        <f>DataTable[[#This Row],[Tm.]]</f>
        <v>0</v>
      </c>
      <c r="B977">
        <f>DataTable[[#This Row],[Match Nr.]]</f>
        <v>0</v>
      </c>
      <c r="C9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7">
        <f>DataTable[[#This Row],[Successful Lo. G. S]]*2+DataTable[[#This Row],[Successful Hi. G. S.]]*10</f>
        <v>0</v>
      </c>
      <c r="H9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7">
        <f>IF(DataTable[[#This Row],[E. Game Compl.]]="Nothing",0,IF(DataTable[[#This Row],[E. Game Compl.]]="Challenging the Tower",5,IF(DataTable[[#This Row],[E. Game Compl.]]="Scaling the Tower",15,)))</f>
        <v>0</v>
      </c>
      <c r="J977">
        <f>Table2[[#This Row],[AUTO Pts]]+Table2[[#This Row],[Shooting Pts.]]+Table2[[#This Row],[Def. Points]]+Table2[[#This Row],[E. Game Pts.]]</f>
        <v>0</v>
      </c>
    </row>
    <row r="978" spans="1:10" x14ac:dyDescent="0.25">
      <c r="A978">
        <f>DataTable[[#This Row],[Tm.]]</f>
        <v>0</v>
      </c>
      <c r="B978">
        <f>DataTable[[#This Row],[Match Nr.]]</f>
        <v>0</v>
      </c>
      <c r="C9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8">
        <f>DataTable[[#This Row],[Successful Lo. G. S]]*2+DataTable[[#This Row],[Successful Hi. G. S.]]*10</f>
        <v>0</v>
      </c>
      <c r="H9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8">
        <f>IF(DataTable[[#This Row],[E. Game Compl.]]="Nothing",0,IF(DataTable[[#This Row],[E. Game Compl.]]="Challenging the Tower",5,IF(DataTable[[#This Row],[E. Game Compl.]]="Scaling the Tower",15,)))</f>
        <v>0</v>
      </c>
      <c r="J978">
        <f>Table2[[#This Row],[AUTO Pts]]+Table2[[#This Row],[Shooting Pts.]]+Table2[[#This Row],[Def. Points]]+Table2[[#This Row],[E. Game Pts.]]</f>
        <v>0</v>
      </c>
    </row>
    <row r="979" spans="1:10" x14ac:dyDescent="0.25">
      <c r="A979">
        <f>DataTable[[#This Row],[Tm.]]</f>
        <v>0</v>
      </c>
      <c r="B979">
        <f>DataTable[[#This Row],[Match Nr.]]</f>
        <v>0</v>
      </c>
      <c r="C9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9">
        <f>DataTable[[#This Row],[Successful Lo. G. S]]*2+DataTable[[#This Row],[Successful Hi. G. S.]]*10</f>
        <v>0</v>
      </c>
      <c r="H9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9">
        <f>IF(DataTable[[#This Row],[E. Game Compl.]]="Nothing",0,IF(DataTable[[#This Row],[E. Game Compl.]]="Challenging the Tower",5,IF(DataTable[[#This Row],[E. Game Compl.]]="Scaling the Tower",15,)))</f>
        <v>0</v>
      </c>
      <c r="J979">
        <f>Table2[[#This Row],[AUTO Pts]]+Table2[[#This Row],[Shooting Pts.]]+Table2[[#This Row],[Def. Points]]+Table2[[#This Row],[E. Game Pts.]]</f>
        <v>0</v>
      </c>
    </row>
    <row r="980" spans="1:10" x14ac:dyDescent="0.25">
      <c r="A980">
        <f>DataTable[[#This Row],[Tm.]]</f>
        <v>0</v>
      </c>
      <c r="B980">
        <f>DataTable[[#This Row],[Match Nr.]]</f>
        <v>0</v>
      </c>
      <c r="C9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0">
        <f>DataTable[[#This Row],[Successful Lo. G. S]]*2+DataTable[[#This Row],[Successful Hi. G. S.]]*10</f>
        <v>0</v>
      </c>
      <c r="H9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0">
        <f>IF(DataTable[[#This Row],[E. Game Compl.]]="Nothing",0,IF(DataTable[[#This Row],[E. Game Compl.]]="Challenging the Tower",5,IF(DataTable[[#This Row],[E. Game Compl.]]="Scaling the Tower",15,)))</f>
        <v>0</v>
      </c>
      <c r="J980">
        <f>Table2[[#This Row],[AUTO Pts]]+Table2[[#This Row],[Shooting Pts.]]+Table2[[#This Row],[Def. Points]]+Table2[[#This Row],[E. Game Pts.]]</f>
        <v>0</v>
      </c>
    </row>
    <row r="981" spans="1:10" x14ac:dyDescent="0.25">
      <c r="A981">
        <f>DataTable[[#This Row],[Tm.]]</f>
        <v>0</v>
      </c>
      <c r="B981">
        <f>DataTable[[#This Row],[Match Nr.]]</f>
        <v>0</v>
      </c>
      <c r="C9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1">
        <f>DataTable[[#This Row],[Successful Lo. G. S]]*2+DataTable[[#This Row],[Successful Hi. G. S.]]*10</f>
        <v>0</v>
      </c>
      <c r="H9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1">
        <f>IF(DataTable[[#This Row],[E. Game Compl.]]="Nothing",0,IF(DataTable[[#This Row],[E. Game Compl.]]="Challenging the Tower",5,IF(DataTable[[#This Row],[E. Game Compl.]]="Scaling the Tower",15,)))</f>
        <v>0</v>
      </c>
      <c r="J981">
        <f>Table2[[#This Row],[AUTO Pts]]+Table2[[#This Row],[Shooting Pts.]]+Table2[[#This Row],[Def. Points]]+Table2[[#This Row],[E. Game Pts.]]</f>
        <v>0</v>
      </c>
    </row>
    <row r="982" spans="1:10" x14ac:dyDescent="0.25">
      <c r="A982">
        <f>DataTable[[#This Row],[Tm.]]</f>
        <v>0</v>
      </c>
      <c r="B982">
        <f>DataTable[[#This Row],[Match Nr.]]</f>
        <v>0</v>
      </c>
      <c r="C9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2">
        <f>DataTable[[#This Row],[Successful Lo. G. S]]*2+DataTable[[#This Row],[Successful Hi. G. S.]]*10</f>
        <v>0</v>
      </c>
      <c r="H9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2">
        <f>IF(DataTable[[#This Row],[E. Game Compl.]]="Nothing",0,IF(DataTable[[#This Row],[E. Game Compl.]]="Challenging the Tower",5,IF(DataTable[[#This Row],[E. Game Compl.]]="Scaling the Tower",15,)))</f>
        <v>0</v>
      </c>
      <c r="J982">
        <f>Table2[[#This Row],[AUTO Pts]]+Table2[[#This Row],[Shooting Pts.]]+Table2[[#This Row],[Def. Points]]+Table2[[#This Row],[E. Game Pts.]]</f>
        <v>0</v>
      </c>
    </row>
    <row r="983" spans="1:10" x14ac:dyDescent="0.25">
      <c r="A983">
        <f>DataTable[[#This Row],[Tm.]]</f>
        <v>0</v>
      </c>
      <c r="B983">
        <f>DataTable[[#This Row],[Match Nr.]]</f>
        <v>0</v>
      </c>
      <c r="C9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3">
        <f>DataTable[[#This Row],[Successful Lo. G. S]]*2+DataTable[[#This Row],[Successful Hi. G. S.]]*10</f>
        <v>0</v>
      </c>
      <c r="H9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3">
        <f>IF(DataTable[[#This Row],[E. Game Compl.]]="Nothing",0,IF(DataTable[[#This Row],[E. Game Compl.]]="Challenging the Tower",5,IF(DataTable[[#This Row],[E. Game Compl.]]="Scaling the Tower",15,)))</f>
        <v>0</v>
      </c>
      <c r="J983">
        <f>Table2[[#This Row],[AUTO Pts]]+Table2[[#This Row],[Shooting Pts.]]+Table2[[#This Row],[Def. Points]]+Table2[[#This Row],[E. Game Pts.]]</f>
        <v>0</v>
      </c>
    </row>
    <row r="984" spans="1:10" x14ac:dyDescent="0.25">
      <c r="A984">
        <f>DataTable[[#This Row],[Tm.]]</f>
        <v>0</v>
      </c>
      <c r="B984">
        <f>DataTable[[#This Row],[Match Nr.]]</f>
        <v>0</v>
      </c>
      <c r="C9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4">
        <f>DataTable[[#This Row],[Successful Lo. G. S]]*2+DataTable[[#This Row],[Successful Hi. G. S.]]*10</f>
        <v>0</v>
      </c>
      <c r="H9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4">
        <f>IF(DataTable[[#This Row],[E. Game Compl.]]="Nothing",0,IF(DataTable[[#This Row],[E. Game Compl.]]="Challenging the Tower",5,IF(DataTable[[#This Row],[E. Game Compl.]]="Scaling the Tower",15,)))</f>
        <v>0</v>
      </c>
      <c r="J984">
        <f>Table2[[#This Row],[AUTO Pts]]+Table2[[#This Row],[Shooting Pts.]]+Table2[[#This Row],[Def. Points]]+Table2[[#This Row],[E. Game Pts.]]</f>
        <v>0</v>
      </c>
    </row>
    <row r="985" spans="1:10" x14ac:dyDescent="0.25">
      <c r="A985">
        <f>DataTable[[#This Row],[Tm.]]</f>
        <v>0</v>
      </c>
      <c r="B985">
        <f>DataTable[[#This Row],[Match Nr.]]</f>
        <v>0</v>
      </c>
      <c r="C9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5">
        <f>DataTable[[#This Row],[Successful Lo. G. S]]*2+DataTable[[#This Row],[Successful Hi. G. S.]]*10</f>
        <v>0</v>
      </c>
      <c r="H9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5">
        <f>IF(DataTable[[#This Row],[E. Game Compl.]]="Nothing",0,IF(DataTable[[#This Row],[E. Game Compl.]]="Challenging the Tower",5,IF(DataTable[[#This Row],[E. Game Compl.]]="Scaling the Tower",15,)))</f>
        <v>0</v>
      </c>
      <c r="J985">
        <f>Table2[[#This Row],[AUTO Pts]]+Table2[[#This Row],[Shooting Pts.]]+Table2[[#This Row],[Def. Points]]+Table2[[#This Row],[E. Game Pts.]]</f>
        <v>0</v>
      </c>
    </row>
    <row r="986" spans="1:10" x14ac:dyDescent="0.25">
      <c r="A986">
        <f>DataTable[[#This Row],[Tm.]]</f>
        <v>0</v>
      </c>
      <c r="B986">
        <f>DataTable[[#This Row],[Match Nr.]]</f>
        <v>0</v>
      </c>
      <c r="C9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6">
        <f>DataTable[[#This Row],[Successful Lo. G. S]]*2+DataTable[[#This Row],[Successful Hi. G. S.]]*10</f>
        <v>0</v>
      </c>
      <c r="H9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6">
        <f>IF(DataTable[[#This Row],[E. Game Compl.]]="Nothing",0,IF(DataTable[[#This Row],[E. Game Compl.]]="Challenging the Tower",5,IF(DataTable[[#This Row],[E. Game Compl.]]="Scaling the Tower",15,)))</f>
        <v>0</v>
      </c>
      <c r="J986">
        <f>Table2[[#This Row],[AUTO Pts]]+Table2[[#This Row],[Shooting Pts.]]+Table2[[#This Row],[Def. Points]]+Table2[[#This Row],[E. Game Pts.]]</f>
        <v>0</v>
      </c>
    </row>
    <row r="987" spans="1:10" x14ac:dyDescent="0.25">
      <c r="A987">
        <f>DataTable[[#This Row],[Tm.]]</f>
        <v>0</v>
      </c>
      <c r="B987">
        <f>DataTable[[#This Row],[Match Nr.]]</f>
        <v>0</v>
      </c>
      <c r="C9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7">
        <f>DataTable[[#This Row],[Successful Lo. G. S]]*2+DataTable[[#This Row],[Successful Hi. G. S.]]*10</f>
        <v>0</v>
      </c>
      <c r="H9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7">
        <f>IF(DataTable[[#This Row],[E. Game Compl.]]="Nothing",0,IF(DataTable[[#This Row],[E. Game Compl.]]="Challenging the Tower",5,IF(DataTable[[#This Row],[E. Game Compl.]]="Scaling the Tower",15,)))</f>
        <v>0</v>
      </c>
      <c r="J987">
        <f>Table2[[#This Row],[AUTO Pts]]+Table2[[#This Row],[Shooting Pts.]]+Table2[[#This Row],[Def. Points]]+Table2[[#This Row],[E. Game Pts.]]</f>
        <v>0</v>
      </c>
    </row>
    <row r="988" spans="1:10" x14ac:dyDescent="0.25">
      <c r="A988">
        <f>DataTable[[#This Row],[Tm.]]</f>
        <v>0</v>
      </c>
      <c r="B988">
        <f>DataTable[[#This Row],[Match Nr.]]</f>
        <v>0</v>
      </c>
      <c r="C9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8">
        <f>DataTable[[#This Row],[Successful Lo. G. S]]*2+DataTable[[#This Row],[Successful Hi. G. S.]]*10</f>
        <v>0</v>
      </c>
      <c r="H9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8">
        <f>IF(DataTable[[#This Row],[E. Game Compl.]]="Nothing",0,IF(DataTable[[#This Row],[E. Game Compl.]]="Challenging the Tower",5,IF(DataTable[[#This Row],[E. Game Compl.]]="Scaling the Tower",15,)))</f>
        <v>0</v>
      </c>
      <c r="J988">
        <f>Table2[[#This Row],[AUTO Pts]]+Table2[[#This Row],[Shooting Pts.]]+Table2[[#This Row],[Def. Points]]+Table2[[#This Row],[E. Game Pts.]]</f>
        <v>0</v>
      </c>
    </row>
    <row r="989" spans="1:10" x14ac:dyDescent="0.25">
      <c r="A989">
        <f>DataTable[[#This Row],[Tm.]]</f>
        <v>0</v>
      </c>
      <c r="B989">
        <f>DataTable[[#This Row],[Match Nr.]]</f>
        <v>0</v>
      </c>
      <c r="C9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9">
        <f>DataTable[[#This Row],[Successful Lo. G. S]]*2+DataTable[[#This Row],[Successful Hi. G. S.]]*10</f>
        <v>0</v>
      </c>
      <c r="H9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9">
        <f>IF(DataTable[[#This Row],[E. Game Compl.]]="Nothing",0,IF(DataTable[[#This Row],[E. Game Compl.]]="Challenging the Tower",5,IF(DataTable[[#This Row],[E. Game Compl.]]="Scaling the Tower",15,)))</f>
        <v>0</v>
      </c>
      <c r="J989">
        <f>Table2[[#This Row],[AUTO Pts]]+Table2[[#This Row],[Shooting Pts.]]+Table2[[#This Row],[Def. Points]]+Table2[[#This Row],[E. Game Pts.]]</f>
        <v>0</v>
      </c>
    </row>
    <row r="990" spans="1:10" x14ac:dyDescent="0.25">
      <c r="A990">
        <f>DataTable[[#This Row],[Tm.]]</f>
        <v>0</v>
      </c>
      <c r="B990">
        <f>DataTable[[#This Row],[Match Nr.]]</f>
        <v>0</v>
      </c>
      <c r="C9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0">
        <f>DataTable[[#This Row],[Successful Lo. G. S]]*2+DataTable[[#This Row],[Successful Hi. G. S.]]*10</f>
        <v>0</v>
      </c>
      <c r="H9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0">
        <f>IF(DataTable[[#This Row],[E. Game Compl.]]="Nothing",0,IF(DataTable[[#This Row],[E. Game Compl.]]="Challenging the Tower",5,IF(DataTable[[#This Row],[E. Game Compl.]]="Scaling the Tower",15,)))</f>
        <v>0</v>
      </c>
      <c r="J990">
        <f>Table2[[#This Row],[AUTO Pts]]+Table2[[#This Row],[Shooting Pts.]]+Table2[[#This Row],[Def. Points]]+Table2[[#This Row],[E. Game Pts.]]</f>
        <v>0</v>
      </c>
    </row>
    <row r="991" spans="1:10" x14ac:dyDescent="0.25">
      <c r="A991">
        <f>DataTable[[#This Row],[Tm.]]</f>
        <v>0</v>
      </c>
      <c r="B991">
        <f>DataTable[[#This Row],[Match Nr.]]</f>
        <v>0</v>
      </c>
      <c r="C9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1">
        <f>DataTable[[#This Row],[Successful Lo. G. S]]*2+DataTable[[#This Row],[Successful Hi. G. S.]]*10</f>
        <v>0</v>
      </c>
      <c r="H9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1">
        <f>IF(DataTable[[#This Row],[E. Game Compl.]]="Nothing",0,IF(DataTable[[#This Row],[E. Game Compl.]]="Challenging the Tower",5,IF(DataTable[[#This Row],[E. Game Compl.]]="Scaling the Tower",15,)))</f>
        <v>0</v>
      </c>
      <c r="J991">
        <f>Table2[[#This Row],[AUTO Pts]]+Table2[[#This Row],[Shooting Pts.]]+Table2[[#This Row],[Def. Points]]+Table2[[#This Row],[E. Game Pts.]]</f>
        <v>0</v>
      </c>
    </row>
    <row r="992" spans="1:10" x14ac:dyDescent="0.25">
      <c r="A992">
        <f>DataTable[[#This Row],[Tm.]]</f>
        <v>0</v>
      </c>
      <c r="B992">
        <f>DataTable[[#This Row],[Match Nr.]]</f>
        <v>0</v>
      </c>
      <c r="C9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2">
        <f>DataTable[[#This Row],[Successful Lo. G. S]]*2+DataTable[[#This Row],[Successful Hi. G. S.]]*10</f>
        <v>0</v>
      </c>
      <c r="H9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2">
        <f>IF(DataTable[[#This Row],[E. Game Compl.]]="Nothing",0,IF(DataTable[[#This Row],[E. Game Compl.]]="Challenging the Tower",5,IF(DataTable[[#This Row],[E. Game Compl.]]="Scaling the Tower",15,)))</f>
        <v>0</v>
      </c>
      <c r="J992">
        <f>Table2[[#This Row],[AUTO Pts]]+Table2[[#This Row],[Shooting Pts.]]+Table2[[#This Row],[Def. Points]]+Table2[[#This Row],[E. Game Pts.]]</f>
        <v>0</v>
      </c>
    </row>
    <row r="993" spans="1:10" x14ac:dyDescent="0.25">
      <c r="A993">
        <f>DataTable[[#This Row],[Tm.]]</f>
        <v>0</v>
      </c>
      <c r="B993">
        <f>DataTable[[#This Row],[Match Nr.]]</f>
        <v>0</v>
      </c>
      <c r="C9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3">
        <f>DataTable[[#This Row],[Successful Lo. G. S]]*2+DataTable[[#This Row],[Successful Hi. G. S.]]*10</f>
        <v>0</v>
      </c>
      <c r="H9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3">
        <f>IF(DataTable[[#This Row],[E. Game Compl.]]="Nothing",0,IF(DataTable[[#This Row],[E. Game Compl.]]="Challenging the Tower",5,IF(DataTable[[#This Row],[E. Game Compl.]]="Scaling the Tower",15,)))</f>
        <v>0</v>
      </c>
      <c r="J993">
        <f>Table2[[#This Row],[AUTO Pts]]+Table2[[#This Row],[Shooting Pts.]]+Table2[[#This Row],[Def. Points]]+Table2[[#This Row],[E. Game Pts.]]</f>
        <v>0</v>
      </c>
    </row>
    <row r="994" spans="1:10" x14ac:dyDescent="0.25">
      <c r="A994">
        <f>DataTable[[#This Row],[Tm.]]</f>
        <v>0</v>
      </c>
      <c r="B994">
        <f>DataTable[[#This Row],[Match Nr.]]</f>
        <v>0</v>
      </c>
      <c r="C9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4">
        <f>DataTable[[#This Row],[Successful Lo. G. S]]*2+DataTable[[#This Row],[Successful Hi. G. S.]]*10</f>
        <v>0</v>
      </c>
      <c r="H9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4">
        <f>IF(DataTable[[#This Row],[E. Game Compl.]]="Nothing",0,IF(DataTable[[#This Row],[E. Game Compl.]]="Challenging the Tower",5,IF(DataTable[[#This Row],[E. Game Compl.]]="Scaling the Tower",15,)))</f>
        <v>0</v>
      </c>
      <c r="J994">
        <f>Table2[[#This Row],[AUTO Pts]]+Table2[[#This Row],[Shooting Pts.]]+Table2[[#This Row],[Def. Points]]+Table2[[#This Row],[E. Game Pts.]]</f>
        <v>0</v>
      </c>
    </row>
    <row r="995" spans="1:10" x14ac:dyDescent="0.25">
      <c r="A995">
        <f>DataTable[[#This Row],[Tm.]]</f>
        <v>0</v>
      </c>
      <c r="B995">
        <f>DataTable[[#This Row],[Match Nr.]]</f>
        <v>0</v>
      </c>
      <c r="C9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5">
        <f>DataTable[[#This Row],[Successful Lo. G. S]]*2+DataTable[[#This Row],[Successful Hi. G. S.]]*10</f>
        <v>0</v>
      </c>
      <c r="H9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5">
        <f>IF(DataTable[[#This Row],[E. Game Compl.]]="Nothing",0,IF(DataTable[[#This Row],[E. Game Compl.]]="Challenging the Tower",5,IF(DataTable[[#This Row],[E. Game Compl.]]="Scaling the Tower",15,)))</f>
        <v>0</v>
      </c>
      <c r="J995">
        <f>Table2[[#This Row],[AUTO Pts]]+Table2[[#This Row],[Shooting Pts.]]+Table2[[#This Row],[Def. Points]]+Table2[[#This Row],[E. Game Pts.]]</f>
        <v>0</v>
      </c>
    </row>
    <row r="996" spans="1:10" x14ac:dyDescent="0.25">
      <c r="A996">
        <f>DataTable[[#This Row],[Tm.]]</f>
        <v>0</v>
      </c>
      <c r="B996">
        <f>DataTable[[#This Row],[Match Nr.]]</f>
        <v>0</v>
      </c>
      <c r="C9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6">
        <f>DataTable[[#This Row],[Successful Lo. G. S]]*2+DataTable[[#This Row],[Successful Hi. G. S.]]*10</f>
        <v>0</v>
      </c>
      <c r="H9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6">
        <f>IF(DataTable[[#This Row],[E. Game Compl.]]="Nothing",0,IF(DataTable[[#This Row],[E. Game Compl.]]="Challenging the Tower",5,IF(DataTable[[#This Row],[E. Game Compl.]]="Scaling the Tower",15,)))</f>
        <v>0</v>
      </c>
      <c r="J996">
        <f>Table2[[#This Row],[AUTO Pts]]+Table2[[#This Row],[Shooting Pts.]]+Table2[[#This Row],[Def. Points]]+Table2[[#This Row],[E. Game Pts.]]</f>
        <v>0</v>
      </c>
    </row>
    <row r="997" spans="1:10" x14ac:dyDescent="0.25">
      <c r="A997">
        <f>DataTable[[#This Row],[Tm.]]</f>
        <v>0</v>
      </c>
      <c r="B997">
        <f>DataTable[[#This Row],[Match Nr.]]</f>
        <v>0</v>
      </c>
      <c r="C9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7">
        <f>DataTable[[#This Row],[Successful Lo. G. S]]*2+DataTable[[#This Row],[Successful Hi. G. S.]]*10</f>
        <v>0</v>
      </c>
      <c r="H9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7">
        <f>IF(DataTable[[#This Row],[E. Game Compl.]]="Nothing",0,IF(DataTable[[#This Row],[E. Game Compl.]]="Challenging the Tower",5,IF(DataTable[[#This Row],[E. Game Compl.]]="Scaling the Tower",15,)))</f>
        <v>0</v>
      </c>
      <c r="J997">
        <f>Table2[[#This Row],[AUTO Pts]]+Table2[[#This Row],[Shooting Pts.]]+Table2[[#This Row],[Def. Points]]+Table2[[#This Row],[E. Game Pts.]]</f>
        <v>0</v>
      </c>
    </row>
    <row r="998" spans="1:10" x14ac:dyDescent="0.25">
      <c r="A998">
        <f>DataTable[[#This Row],[Tm.]]</f>
        <v>0</v>
      </c>
      <c r="B998">
        <f>DataTable[[#This Row],[Match Nr.]]</f>
        <v>0</v>
      </c>
      <c r="C9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8">
        <f>DataTable[[#This Row],[Successful Lo. G. S]]*2+DataTable[[#This Row],[Successful Hi. G. S.]]*10</f>
        <v>0</v>
      </c>
      <c r="H9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8">
        <f>IF(DataTable[[#This Row],[E. Game Compl.]]="Nothing",0,IF(DataTable[[#This Row],[E. Game Compl.]]="Challenging the Tower",5,IF(DataTable[[#This Row],[E. Game Compl.]]="Scaling the Tower",15,)))</f>
        <v>0</v>
      </c>
      <c r="J998">
        <f>Table2[[#This Row],[AUTO Pts]]+Table2[[#This Row],[Shooting Pts.]]+Table2[[#This Row],[Def. Points]]+Table2[[#This Row],[E. Game Pts.]]</f>
        <v>0</v>
      </c>
    </row>
    <row r="999" spans="1:10" x14ac:dyDescent="0.25">
      <c r="A999">
        <f>DataTable[[#This Row],[Tm.]]</f>
        <v>0</v>
      </c>
      <c r="B999">
        <f>DataTable[[#This Row],[Match Nr.]]</f>
        <v>0</v>
      </c>
      <c r="C9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9">
        <f>DataTable[[#This Row],[Successful Lo. G. S]]*2+DataTable[[#This Row],[Successful Hi. G. S.]]*10</f>
        <v>0</v>
      </c>
      <c r="H9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9">
        <f>IF(DataTable[[#This Row],[E. Game Compl.]]="Nothing",0,IF(DataTable[[#This Row],[E. Game Compl.]]="Challenging the Tower",5,IF(DataTable[[#This Row],[E. Game Compl.]]="Scaling the Tower",15,)))</f>
        <v>0</v>
      </c>
      <c r="J999">
        <f>Table2[[#This Row],[AUTO Pts]]+Table2[[#This Row],[Shooting Pts.]]+Table2[[#This Row],[Def. Points]]+Table2[[#This Row],[E. Game Pts.]]</f>
        <v>0</v>
      </c>
    </row>
    <row r="1000" spans="1:10" x14ac:dyDescent="0.25">
      <c r="A1000">
        <f>DataTable[[#This Row],[Tm.]]</f>
        <v>0</v>
      </c>
      <c r="B1000">
        <f>DataTable[[#This Row],[Match Nr.]]</f>
        <v>0</v>
      </c>
      <c r="C10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0">
        <f>DataTable[[#This Row],[Successful Lo. G. S]]*2+DataTable[[#This Row],[Successful Hi. G. S.]]*10</f>
        <v>0</v>
      </c>
      <c r="H10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0">
        <f>IF(DataTable[[#This Row],[E. Game Compl.]]="Nothing",0,IF(DataTable[[#This Row],[E. Game Compl.]]="Challenging the Tower",5,IF(DataTable[[#This Row],[E. Game Compl.]]="Scaling the Tower",15,)))</f>
        <v>0</v>
      </c>
      <c r="J1000">
        <f>Table2[[#This Row],[AUTO Pts]]+Table2[[#This Row],[Shooting Pts.]]+Table2[[#This Row],[Def. Points]]+Table2[[#This Row],[E. Game Pts.]]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Griffins 1884</cp:lastModifiedBy>
  <dcterms:created xsi:type="dcterms:W3CDTF">2016-02-07T09:43:34Z</dcterms:created>
  <dcterms:modified xsi:type="dcterms:W3CDTF">2016-02-29T21:01:09Z</dcterms:modified>
</cp:coreProperties>
</file>